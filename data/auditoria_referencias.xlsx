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06d3c40b412402a" /></Relationships>
</file>

<file path=xl/workbook.xml><?xml version="1.0" encoding="utf-8"?>
<x:workbook xmlns:x="http://schemas.openxmlformats.org/spreadsheetml/2006/main">
  <x:sheets>
    <x:sheet xmlns:r="http://schemas.openxmlformats.org/officeDocument/2006/relationships" name="Auditoría aleatoria" sheetId="1" r:id="Rb988590e3e1b4b40"/>
    <x:sheet xmlns:r="http://schemas.openxmlformats.org/officeDocument/2006/relationships" name="Casos dirigidos" sheetId="2" r:id="R05fb9cd2da7a444b"/>
    <x:sheet xmlns:r="http://schemas.openxmlformats.org/officeDocument/2006/relationships" name="Cobertura" sheetId="3" r:id="Re3926c7454a248a7"/>
    <x:sheet xmlns:r="http://schemas.openxmlformats.org/officeDocument/2006/relationships" name="Instrucciones" sheetId="4" r:id="R1fc616dee7cd4a68"/>
    <x:sheet xmlns:r="http://schemas.openxmlformats.org/officeDocument/2006/relationships" name="Control corregido" sheetId="5" r:id="R7a1a4175591e405c"/>
    <x:sheet xmlns:r="http://schemas.openxmlformats.org/officeDocument/2006/relationships" name="Conteos corregidos" sheetId="6" r:id="R4fb9dbbbad2c462e"/>
    <x:sheet xmlns:r="http://schemas.openxmlformats.org/officeDocument/2006/relationships" name="Remediación local" sheetId="7" r:id="R1cd9a1782101415c"/>
    <x:sheet xmlns:r="http://schemas.openxmlformats.org/officeDocument/2006/relationships" name="Control de reserva" sheetId="8" r:id="Ra578e3d1d53b4f83"/>
    <x:sheet xmlns:r="http://schemas.openxmlformats.org/officeDocument/2006/relationships" name="Tercera muestra" sheetId="9" r:id="Rd6a8e5af88fd4140"/>
    <x:sheet xmlns:r="http://schemas.openxmlformats.org/officeDocument/2006/relationships" name="Auditoría integral" sheetId="10" r:id="R038e7e872bc24e7d"/>
    <x:sheet xmlns:r="http://schemas.openxmlformats.org/officeDocument/2006/relationships" name="Detalle integral" sheetId="11" r:id="Rdecba6fb162a432e"/>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0"/>
    <x:numFmt numFmtId="202" formatCode="yyyy-mm-dd"/>
    <x:numFmt numFmtId="203" formatCode="0%"/>
    <x:numFmt numFmtId="204" formatCode="#,##0"/>
  </x:numFmts>
  <x:fonts count="11">
    <x:font>
      <x:sz val="11"/>
      <x:name val="Carlito"/>
    </x:font>
    <x:font>
      <x:b/>
      <x:sz val="15"/>
      <x:color rgb="FF17365D"/>
      <x:name val="Arial"/>
    </x:font>
    <x:font>
      <x:i/>
      <x:sz val="10"/>
      <x:color rgb="FF595959"/>
      <x:name val="Arial"/>
    </x:font>
    <x:font>
      <x:b/>
      <x:sz val="10"/>
      <x:color rgb="FF17365D"/>
      <x:name val="Arial"/>
    </x:font>
    <x:font>
      <x:b/>
      <x:sz val="11"/>
      <x:color rgb="FF222222"/>
      <x:name val="Arial"/>
    </x:font>
    <x:font>
      <x:i/>
      <x:sz val="10"/>
      <x:color rgb="FF7F6000"/>
      <x:name val="Arial"/>
    </x:font>
    <x:font>
      <x:b/>
      <x:sz val="10"/>
      <x:color rgb="FFFFFFFF"/>
      <x:name val="Arial"/>
    </x:font>
    <x:font>
      <x:sz val="10"/>
      <x:color rgb="FF222222"/>
      <x:name val="Arial"/>
    </x:font>
    <x:font>
      <x:b/>
      <x:sz val="14"/>
      <x:color rgb="FF17365D"/>
      <x:name val="Arial"/>
    </x:font>
    <x:font>
      <x:b/>
      <x:sz val="10"/>
      <x:color rgb="FF222222"/>
      <x:name val="Arial"/>
    </x:font>
    <x:font>
      <x:sz val="9"/>
      <x:color rgb="FF404040"/>
      <x:name val="Arial"/>
    </x:font>
  </x:fonts>
  <x:fills count="16">
    <x:fill>
      <x:patternFill patternType="none"/>
    </x:fill>
    <x:fill>
      <x:patternFill patternType="gray125"/>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D9EAF7"/>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D9EAF7"/>
      </x:patternFill>
    </x:fill>
  </x:fills>
  <x:borders count="11">
    <x:border/>
    <x:border>
      <x:right style="thin">
        <x:color rgb="FFFFFFFF"/>
      </x:right>
    </x:border>
    <x:border>
      <x:left style="thin">
        <x:color rgb="FFFFFFFF"/>
      </x:left>
      <x:right style="thin">
        <x:color rgb="FFFFFFFF"/>
      </x:right>
    </x:border>
    <x:border>
      <x:left style="thin">
        <x:color rgb="FFFFFFFF"/>
      </x:left>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right style="thin">
        <x:color rgb="FFD9E2F3"/>
      </x:right>
      <x:bottom style="thin">
        <x:color rgb="FFD9E2F3"/>
      </x:bottom>
    </x:border>
  </x:borders>
  <x:cellStyleXfs count="1">
    <x:xf numFmtId="0" fontId="0" fillId="0" borderId="0"/>
  </x:cellStyleXfs>
  <x:cellXfs count="90">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4" fillId="0" borderId="0" xfId="0" applyNumberFormat="1" applyFont="1" applyFill="1" applyBorder="1"/>
    <x:xf numFmtId="200" fontId="4" fillId="0" borderId="0" xfId="0" applyNumberFormat="1" applyFont="1" applyFill="1" applyBorder="1"/>
    <x:xf numFmtId="200" fontId="3" fillId="2" borderId="0" xfId="0" applyNumberFormat="1" applyFont="1" applyFill="1" applyBorder="1"/>
    <x:xf numFmtId="0" fontId="5" fillId="0" borderId="0" xfId="0" applyNumberFormat="1" applyFont="1" applyFill="1" applyBorder="1"/>
    <x:xf numFmtId="0" fontId="0" fillId="3" borderId="0" xfId="0" applyNumberFormat="1" applyFont="1" applyFill="1" applyBorder="1"/>
    <x:xf numFmtId="0" fontId="6" fillId="3" borderId="0" xfId="0" applyNumberFormat="1" applyFont="1" applyFill="1" applyBorder="1"/>
    <x:xf numFmtId="0" fontId="6" fillId="3" borderId="1" xfId="0" applyNumberFormat="1" applyFont="1" applyFill="1" applyBorder="1"/>
    <x:xf numFmtId="0" fontId="6" fillId="3" borderId="2" xfId="0" applyNumberFormat="1" applyFont="1" applyFill="1" applyBorder="1"/>
    <x:xf numFmtId="0" fontId="6" fillId="3" borderId="3" xfId="0" applyNumberFormat="1" applyFont="1" applyFill="1" applyBorder="1"/>
    <x:xf numFmtId="0" fontId="6" fillId="3" borderId="1" xfId="0" applyNumberFormat="1" applyFont="1" applyFill="1" applyBorder="1" applyAlignment="1">
      <x:alignment wrapText="1"/>
    </x:xf>
    <x:xf numFmtId="0" fontId="6" fillId="3" borderId="2" xfId="0" applyNumberFormat="1" applyFont="1" applyFill="1" applyBorder="1" applyAlignment="1">
      <x:alignment wrapText="1"/>
    </x:xf>
    <x:xf numFmtId="0" fontId="6" fillId="3" borderId="3" xfId="0" applyNumberFormat="1" applyFont="1" applyFill="1" applyBorder="1" applyAlignment="1">
      <x:alignment wrapText="1"/>
    </x:xf>
    <x:xf numFmtId="0" fontId="6" fillId="3" borderId="1" xfId="0" applyNumberFormat="1" applyFont="1" applyFill="1" applyBorder="1" applyAlignment="1">
      <x:alignment horizontal="center" wrapText="1"/>
    </x:xf>
    <x:xf numFmtId="0" fontId="6" fillId="3" borderId="2" xfId="0" applyNumberFormat="1" applyFont="1" applyFill="1" applyBorder="1" applyAlignment="1">
      <x:alignment horizontal="center" wrapText="1"/>
    </x:xf>
    <x:xf numFmtId="0" fontId="6" fillId="3" borderId="3" xfId="0" applyNumberFormat="1" applyFont="1" applyFill="1" applyBorder="1" applyAlignment="1">
      <x:alignment horizontal="center" wrapText="1"/>
    </x:xf>
    <x:xf numFmtId="0" fontId="6" fillId="3" borderId="1" xfId="0" applyNumberFormat="1" applyFont="1" applyFill="1" applyBorder="1" applyAlignment="1">
      <x:alignment horizontal="center" vertical="center" wrapText="1"/>
    </x:xf>
    <x:xf numFmtId="0" fontId="6" fillId="3" borderId="2" xfId="0" applyNumberFormat="1" applyFont="1" applyFill="1" applyBorder="1" applyAlignment="1">
      <x:alignment horizontal="center" vertical="center" wrapText="1"/>
    </x:xf>
    <x:xf numFmtId="0" fontId="6" fillId="3" borderId="3" xfId="0" applyNumberFormat="1" applyFont="1" applyFill="1" applyBorder="1" applyAlignment="1">
      <x:alignment horizontal="center" vertical="center" wrapText="1"/>
    </x:xf>
    <x:xf numFmtId="0" fontId="7" fillId="0" borderId="0" xfId="0" applyNumberFormat="1" applyFont="1" applyFill="1" applyBorder="1"/>
    <x:xf numFmtId="0" fontId="7" fillId="0" borderId="0" xfId="0" applyNumberFormat="1" applyFont="1" applyFill="1" applyBorder="1" applyAlignment="1">
      <x:alignment vertical="top"/>
    </x:xf>
    <x:xf numFmtId="0" fontId="7" fillId="0" borderId="0" xfId="0" applyNumberFormat="1" applyFont="1" applyFill="1" applyBorder="1" applyAlignment="1">
      <x:alignment vertical="top" wrapText="1"/>
    </x:xf>
    <x:xf numFmtId="201" fontId="7" fillId="0" borderId="0" xfId="0" applyNumberFormat="1" applyFont="1" applyFill="1" applyBorder="1" applyAlignment="1">
      <x:alignment vertical="top"/>
    </x:xf>
    <x:xf numFmtId="202" fontId="7" fillId="0" borderId="0" xfId="0" applyNumberFormat="1" applyFont="1" applyFill="1" applyBorder="1" applyAlignment="1">
      <x:alignment vertical="top"/>
    </x:xf>
    <x:xf numFmtId="0" fontId="7" fillId="4" borderId="0" xfId="0" applyNumberFormat="1" applyFont="1" applyFill="1" applyBorder="1" applyAlignment="1">
      <x:alignment vertical="top"/>
    </x:xf>
    <x:xf numFmtId="0" fontId="7" fillId="4" borderId="0" xfId="0" applyNumberFormat="1" applyFont="1" applyFill="1" applyBorder="1" applyAlignment="1">
      <x:alignment vertical="top" wrapText="1"/>
    </x:xf>
    <x:xf numFmtId="202" fontId="7" fillId="4" borderId="0" xfId="0" applyNumberFormat="1" applyFont="1" applyFill="1" applyBorder="1" applyAlignment="1">
      <x:alignment vertical="top"/>
    </x:xf>
    <x:xf numFmtId="0" fontId="7" fillId="0" borderId="0" xfId="0" applyNumberFormat="1" applyFont="1" applyFill="1" applyBorder="1" applyAlignment="1">
      <x:alignment wrapText="1"/>
    </x:xf>
    <x:xf numFmtId="0" fontId="7" fillId="4" borderId="0" xfId="0" applyNumberFormat="1" applyFont="1" applyFill="1" applyBorder="1"/>
    <x:xf numFmtId="200" fontId="7" fillId="0" borderId="0" xfId="0" applyNumberFormat="1" applyFont="1" applyFill="1" applyBorder="1"/>
    <x:xf numFmtId="0" fontId="3" fillId="2" borderId="0" xfId="0" applyNumberFormat="1" applyFont="1" applyFill="1" applyBorder="1" applyAlignment="1">
      <x:alignment vertical="top"/>
    </x:xf>
    <x:xf numFmtId="0" fontId="3" fillId="2" borderId="4" xfId="0" applyNumberFormat="1" applyFont="1" applyFill="1" applyBorder="1" applyAlignment="1">
      <x:alignment vertical="top"/>
    </x:xf>
    <x:xf numFmtId="0" fontId="7" fillId="0" borderId="4" xfId="0" applyNumberFormat="1" applyFont="1" applyFill="1" applyBorder="1" applyAlignment="1">
      <x:alignment vertical="top" wrapText="1"/>
    </x:xf>
    <x:xf numFmtId="0" fontId="7" fillId="4" borderId="0"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vertical="top"/>
    </x:xf>
    <x:xf numFmtId="0" fontId="3" fillId="5" borderId="4" xfId="0" applyNumberFormat="1" applyFont="1" applyFill="1" applyBorder="1" applyAlignment="1">
      <x:alignment vertical="top"/>
    </x:xf>
    <x:xf numFmtId="0" fontId="3" fillId="6" borderId="4" xfId="0" applyNumberFormat="1" applyFont="1" applyFill="1" applyBorder="1" applyAlignment="1">
      <x:alignment vertical="top"/>
    </x:xf>
    <x:xf numFmtId="0" fontId="8" fillId="0" borderId="0" xfId="0" applyNumberFormat="1" applyFont="1" applyFill="1" applyBorder="1"/>
    <x:xf numFmtId="203" fontId="7" fillId="0" borderId="0" xfId="0" applyNumberFormat="1" applyFont="1" applyFill="1" applyBorder="1"/>
    <x:xf numFmtId="0" fontId="7"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201" fontId="7" fillId="0" borderId="0" xfId="0" applyNumberFormat="1" applyFont="1" applyFill="1" applyBorder="1" applyAlignment="1">
      <x:alignment vertical="top" wrapText="1"/>
    </x:xf>
    <x:xf numFmtId="0" fontId="3" fillId="0" borderId="0" xfId="0" applyNumberFormat="1" applyFont="1" applyFill="1" applyBorder="1"/>
    <x:xf numFmtId="0" fontId="3" fillId="0" borderId="5" xfId="0" applyNumberFormat="1" applyFont="1" applyFill="1" applyBorder="1"/>
    <x:xf numFmtId="0" fontId="7" fillId="0" borderId="6" xfId="0" applyNumberFormat="1" applyFont="1" applyFill="1" applyBorder="1"/>
    <x:xf numFmtId="0" fontId="3" fillId="0" borderId="7" xfId="0" applyNumberFormat="1" applyFont="1" applyFill="1" applyBorder="1"/>
    <x:xf numFmtId="0" fontId="7" fillId="0" borderId="8" xfId="0" applyNumberFormat="1" applyFont="1" applyFill="1" applyBorder="1"/>
    <x:xf numFmtId="0" fontId="3" fillId="0" borderId="9" xfId="0" applyNumberFormat="1" applyFont="1" applyFill="1" applyBorder="1"/>
    <x:xf numFmtId="0" fontId="7" fillId="0" borderId="10" xfId="0" applyNumberFormat="1" applyFont="1" applyFill="1" applyBorder="1"/>
    <x:xf numFmtId="0" fontId="7"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7"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6" fillId="9" borderId="0" xfId="0" applyNumberFormat="1" applyFont="1" applyFill="1" applyBorder="1" applyAlignment="1">
      <x:alignment vertical="center" wrapText="1"/>
    </x:xf>
    <x:xf numFmtId="0" fontId="7" fillId="10" borderId="0"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wrapText="1"/>
    </x:xf>
    <x:xf numFmtId="0" fontId="6" fillId="10" borderId="0" xfId="0" applyNumberFormat="1" applyFont="1" applyFill="1" applyBorder="1" applyAlignment="1">
      <x:alignment vertical="center" wrapText="1"/>
    </x:xf>
    <x:xf numFmtId="203" fontId="7" fillId="0" borderId="8" xfId="0" applyNumberFormat="1" applyFont="1" applyFill="1" applyBorder="1"/>
    <x:xf numFmtId="0" fontId="7" fillId="11" borderId="0" xfId="0" applyNumberFormat="1" applyFont="1" applyFill="1" applyBorder="1"/>
    <x:xf numFmtId="0" fontId="6" fillId="11" borderId="0" xfId="0" applyNumberFormat="1" applyFont="1" applyFill="1" applyBorder="1"/>
    <x:xf numFmtId="0" fontId="6" fillId="11" borderId="0" xfId="0" applyNumberFormat="1" applyFont="1" applyFill="1" applyBorder="1" applyAlignment="1">
      <x:alignment wrapText="1"/>
    </x:xf>
    <x:xf numFmtId="0" fontId="6" fillId="11" borderId="0" xfId="0" applyNumberFormat="1" applyFont="1" applyFill="1" applyBorder="1" applyAlignment="1">
      <x:alignment vertical="center" wrapText="1"/>
    </x:xf>
    <x:xf numFmtId="0" fontId="7" fillId="12" borderId="0" xfId="0" applyNumberFormat="1" applyFont="1" applyFill="1" applyBorder="1"/>
    <x:xf numFmtId="0" fontId="6" fillId="12" borderId="0" xfId="0" applyNumberFormat="1" applyFont="1" applyFill="1" applyBorder="1"/>
    <x:xf numFmtId="0" fontId="6" fillId="12" borderId="0" xfId="0" applyNumberFormat="1" applyFont="1" applyFill="1" applyBorder="1" applyAlignment="1">
      <x:alignment wrapText="1"/>
    </x:xf>
    <x:xf numFmtId="0" fontId="6" fillId="12" borderId="0" xfId="0" applyNumberFormat="1" applyFont="1" applyFill="1" applyBorder="1" applyAlignment="1">
      <x:alignment vertical="center" wrapText="1"/>
    </x:xf>
    <x:xf numFmtId="0" fontId="9" fillId="0" borderId="0" xfId="0" applyNumberFormat="1" applyFont="1" applyFill="1" applyBorder="1"/>
    <x:xf numFmtId="0" fontId="9" fillId="3" borderId="0" xfId="0" applyNumberFormat="1" applyFont="1" applyFill="1" applyBorder="1" applyAlignment="1">
      <x:alignment vertical="center" wrapText="1"/>
    </x:xf>
    <x:xf numFmtId="0" fontId="9" fillId="13" borderId="0" xfId="0" applyNumberFormat="1" applyFont="1" applyFill="1" applyBorder="1" applyAlignment="1">
      <x:alignment vertical="center" wrapText="1"/>
    </x:xf>
    <x:xf numFmtId="0" fontId="6" fillId="13" borderId="0" xfId="0" applyNumberFormat="1" applyFont="1" applyFill="1" applyBorder="1" applyAlignment="1">
      <x:alignment vertical="center" wrapText="1"/>
    </x:xf>
    <x:xf numFmtId="0" fontId="7" fillId="14" borderId="0" xfId="0" applyNumberFormat="1" applyFont="1" applyFill="1" applyBorder="1"/>
    <x:xf numFmtId="0" fontId="6" fillId="14" borderId="0" xfId="0" applyNumberFormat="1" applyFont="1" applyFill="1" applyBorder="1"/>
    <x:xf numFmtId="0" fontId="6" fillId="14" borderId="0" xfId="0" applyNumberFormat="1" applyFont="1" applyFill="1" applyBorder="1" applyAlignment="1">
      <x:alignment wrapText="1"/>
    </x:xf>
    <x:xf numFmtId="0" fontId="6" fillId="14" borderId="0" xfId="0" applyNumberFormat="1" applyFont="1" applyFill="1" applyBorder="1" applyAlignment="1">
      <x:alignment vertical="center" wrapText="1"/>
    </x:xf>
    <x:xf numFmtId="0" fontId="7" fillId="15" borderId="0" xfId="0" applyNumberFormat="1" applyFont="1" applyFill="1" applyBorder="1"/>
    <x:xf numFmtId="0" fontId="3" fillId="15" borderId="0" xfId="0" applyNumberFormat="1" applyFont="1" applyFill="1" applyBorder="1"/>
    <x:xf numFmtId="0" fontId="10" fillId="0" borderId="0" xfId="0" applyNumberFormat="1" applyFont="1" applyFill="1" applyBorder="1" applyAlignment="1">
      <x:alignment vertical="top" wrapText="1"/>
    </x:xf>
    <x:xf numFmtId="204" fontId="7" fillId="0" borderId="0" xfId="0" applyNumberFormat="1" applyFont="1" applyFill="1" applyBorder="1"/>
  </x:cellXfs>
  <x:cellStyles count="1">
    <x:cellStyle name="Normal" xfId="0"/>
  </x:cellStyles>
  <x:dxfs count="24">
    <x:dxf>
      <x:font>
        <x:b/>
        <x:color rgb="FF375623"/>
      </x:font>
      <x:fill>
        <x:patternFill>
          <x:bgColor rgb="FFE2F0D9"/>
        </x:patternFill>
      </x:fill>
    </x:dxf>
    <x:dxf>
      <x:font>
        <x:b/>
        <x:color rgb="FF9C0006"/>
      </x:font>
      <x:fill>
        <x:patternFill>
          <x:bgColor rgb="FFFCE4D6"/>
        </x:patternFill>
      </x:fill>
    </x:dxf>
    <x:dxf>
      <x:font>
        <x:b/>
        <x:color rgb="FF9C0006"/>
      </x:font>
      <x:fill>
        <x:patternFill>
          <x:bgColor rgb="FFFCE4D6"/>
        </x:patternFill>
      </x:fill>
    </x:dxf>
    <x:dxf>
      <x:font>
        <x:b/>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
      <x:font>
        <x:b/>
        <x:color rgb="FF9C0006"/>
      </x:font>
      <x:fill>
        <x:patternFill>
          <x:bgColor rgb="FFFCE4D6"/>
        </x:patternFill>
      </x:fill>
    </x:dxf>
    <x:dxf>
      <x:font>
        <x:b/>
        <x:color rgb="FF9C0006"/>
      </x:font>
      <x:fill>
        <x:patternFill>
          <x:bgColor rgb="FFFCE4D6"/>
        </x:patternFill>
      </x:fill>
    </x:dxf>
    <x:dxf>
      <x:font>
        <x:color rgb="FF9C0006"/>
      </x:font>
      <x:fill>
        <x:patternFill>
          <x:bgColor rgb="FFFCE4D6"/>
        </x:patternFill>
      </x:fill>
    </x:dxf>
    <x:dxf>
      <x:font>
        <x:color rgb="FF9C0006"/>
      </x:font>
      <x:fill>
        <x:patternFill>
          <x:bgColor rgb="FFFCE4D6"/>
        </x:patternFill>
      </x:fill>
    </x:dxf>
    <x:dxf>
      <x:font>
        <x:color rgb="FF9C6500"/>
      </x:font>
      <x:fill>
        <x:patternFill>
          <x:bgColor rgb="FFFFF2CC"/>
        </x:patternFill>
      </x:fill>
    </x:dxf>
    <x:dxf>
      <x:font>
        <x:b/>
        <x:color rgb="FF9C0006"/>
      </x:font>
      <x:fill>
        <x:patternFill>
          <x:bgColor rgb="FFFCE4D6"/>
        </x:patternFill>
      </x:fill>
    </x:dxf>
    <x:dxf>
      <x:font>
        <x:b/>
        <x:color rgb="FF9C0006"/>
      </x:font>
      <x:fill>
        <x:patternFill>
          <x:bgColor rgb="FFFCE4D6"/>
        </x:patternFill>
      </x:fill>
    </x:dxf>
    <x:dxf>
      <x:font>
        <x:b/>
        <x:color rgb="FF9C0006"/>
      </x:font>
      <x:fill>
        <x:patternFill>
          <x:bgColor rgb="FFFCE4D6"/>
        </x:patternFill>
      </x:fill>
    </x:dxf>
    <x:dxf>
      <x:font>
        <x:color rgb="FF9C0006"/>
      </x:font>
      <x:fill>
        <x:patternFill>
          <x:bgColor rgb="FFFCE4D6"/>
        </x:patternFill>
      </x:fill>
    </x:dxf>
    <x:dxf>
      <x:font>
        <x:color rgb="FF9C6500"/>
      </x:font>
      <x:fill>
        <x:patternFill>
          <x:bgColor rgb="FFFFF2CC"/>
        </x:patternFill>
      </x:fill>
    </x:dxf>
    <x:dxf>
      <x:font>
        <x:b/>
        <x:color rgb="FF9C0006"/>
      </x:font>
      <x:fill>
        <x:patternFill>
          <x:bgColor rgb="FFFCE4D6"/>
        </x:patternFill>
      </x:fill>
    </x:dxf>
    <x:dxf>
      <x:font>
        <x:color rgb="FF9C0006"/>
      </x:font>
      <x:fill>
        <x:patternFill>
          <x:bgColor rgb="FFFCE4D6"/>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x:bgColor rgb="FFFFF2CC"/>
        </x:patternFill>
      </x:fill>
    </x:dxf>
    <x:dxf>
      <x:font>
        <x:color rgb="FF9C6500"/>
      </x:font>
      <x:fill>
        <x:patternFill patternType="solid">
          <x:bgColor rgb="FFFFF2CC"/>
        </x:patternFill>
      </x:fill>
    </x:dxf>
    <x:dxf>
      <x:font>
        <x:color rgb="FF9C6500"/>
      </x:font>
      <x:fill>
        <x:patternFill patternType="solid">
          <x:bgColor rgb="FFFFF2CC"/>
        </x:patternFill>
      </x:fill>
    </x:dxf>
    <x:dxf>
      <x:font>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6d5c51eff694a41" /><Relationship Type="http://schemas.openxmlformats.org/officeDocument/2006/relationships/theme" Target="/xl/theme/theme1.xml" Id="Readd396d83ae4fcd" /><Relationship Type="http://schemas.openxmlformats.org/officeDocument/2006/relationships/sharedStrings" Target="/xl/sharedStrings.xml" Id="R225e2a220b5d4584" /><Relationship Type="http://schemas.openxmlformats.org/officeDocument/2006/relationships/worksheet" Target="/xl/worksheets/sheet1.xml" Id="Rb988590e3e1b4b40" /><Relationship Type="http://schemas.openxmlformats.org/officeDocument/2006/relationships/worksheet" Target="/xl/worksheets/sheet2.xml" Id="R05fb9cd2da7a444b" /><Relationship Type="http://schemas.openxmlformats.org/officeDocument/2006/relationships/worksheet" Target="/xl/worksheets/sheet3.xml" Id="Re3926c7454a248a7" /><Relationship Type="http://schemas.openxmlformats.org/officeDocument/2006/relationships/worksheet" Target="/xl/worksheets/sheet4.xml" Id="R1fc616dee7cd4a68" /><Relationship Type="http://schemas.openxmlformats.org/officeDocument/2006/relationships/worksheet" Target="/xl/worksheets/sheet5.xml" Id="R7a1a4175591e405c" /><Relationship Type="http://schemas.openxmlformats.org/officeDocument/2006/relationships/worksheet" Target="/xl/worksheets/sheet6.xml" Id="R4fb9dbbbad2c462e" /><Relationship Type="http://schemas.openxmlformats.org/officeDocument/2006/relationships/worksheet" Target="/xl/worksheets/sheet7.xml" Id="R1cd9a1782101415c" /><Relationship Type="http://schemas.openxmlformats.org/officeDocument/2006/relationships/worksheet" Target="/xl/worksheets/sheet8.xml" Id="Ra578e3d1d53b4f83" /><Relationship Type="http://schemas.openxmlformats.org/officeDocument/2006/relationships/worksheet" Target="/xl/worksheets/sheet9.xml" Id="Rd6a8e5af88fd4140" /><Relationship Type="http://schemas.openxmlformats.org/officeDocument/2006/relationships/worksheet" Target="/xl/worksheets/sheet10.xml" Id="R038e7e872bc24e7d" /><Relationship Type="http://schemas.openxmlformats.org/officeDocument/2006/relationships/worksheet" Target="/xl/worksheets/sheet11.xml" Id="Rdecba6fb162a432e" /></Relationships>
</file>

<file path=xl/tables/table1.xml><?xml version="1.0" encoding="utf-8"?>
<x:table xmlns:x="http://schemas.openxmlformats.org/spreadsheetml/2006/main" id="1" name="AuditRandomTable" displayName="AuditRandomTable" ref="A8:Q158" headerRowCount="1" totalsRowCount="0" totalsRowShown="0">
  <x:tableColumns count="17">
    <x:tableColumn id="1" name="sample_id"/>
    <x:tableColumn id="2" name="document_id"/>
    <x:tableColumn id="3" name="source_pdf"/>
    <x:tableColumn id="4" name="candidate_index"/>
    <x:tableColumn id="5" name="surname_extracted"/>
    <x:tableColumn id="6" name="year_extracted"/>
    <x:tableColumn id="7" name="title_extracted"/>
    <x:tableColumn id="8" name="entry_extracted"/>
    <x:tableColumn id="9" name="quality_flags"/>
    <x:tableColumn id="10" name="veredicto"/>
    <x:tableColumn id="11" name="surname_correcto"/>
    <x:tableColumn id="12" name="year_correcto"/>
    <x:tableColumn id="13" name="title_correcto"/>
    <x:tableColumn id="14" name="correccion"/>
    <x:tableColumn id="15" name="observacion"/>
    <x:tableColumn id="16" name="revisor"/>
    <x:tableColumn id="17" name="fecha_revision"/>
  </x:tableColumns>
  <x:tableStyleInfo name="TableStyleMedium2" showFirstColumn="0" showLastColumn="0" showRowStripes="1" showColumnStripes="0"/>
</x:table>
</file>

<file path=xl/tables/table2.xml><?xml version="1.0" encoding="utf-8"?>
<x:table xmlns:x="http://schemas.openxmlformats.org/spreadsheetml/2006/main" id="2" name="AuditDiagnosticTable" displayName="AuditDiagnosticTable" ref="A5:Q48" headerRowCount="1" totalsRowCount="0" totalsRowShown="0">
  <x:tableColumns count="17">
    <x:tableColumn id="1" name="motivo_muestra"/>
    <x:tableColumn id="2" name="document_id"/>
    <x:tableColumn id="3" name="source_pdf"/>
    <x:tableColumn id="4" name="candidate_index"/>
    <x:tableColumn id="5" name="surname_extracted"/>
    <x:tableColumn id="6" name="year_extracted"/>
    <x:tableColumn id="7" name="title_extracted"/>
    <x:tableColumn id="8" name="entry_extracted"/>
    <x:tableColumn id="9" name="quality_flags"/>
    <x:tableColumn id="10" name="veredicto"/>
    <x:tableColumn id="11" name="surname_correcto"/>
    <x:tableColumn id="12" name="year_correcto"/>
    <x:tableColumn id="13" name="title_correcto"/>
    <x:tableColumn id="14" name="correccion"/>
    <x:tableColumn id="15" name="observacion"/>
    <x:tableColumn id="16" name="revisor"/>
    <x:tableColumn id="17" name="fecha_revision"/>
  </x:tableColumns>
  <x:tableStyleInfo name="TableStyleMedium4" showFirstColumn="0" showLastColumn="0" showRowStripes="1" showColumnStripes="0"/>
</x:table>
</file>

<file path=xl/tables/table3.xml><?xml version="1.0" encoding="utf-8"?>
<x:table xmlns:x="http://schemas.openxmlformats.org/spreadsheetml/2006/main" id="3" name="CoverageAuditTable" displayName="CoverageAuditTable" ref="A5:L13" headerRowCount="1" totalsRowCount="0" totalsRowShown="0">
  <x:tableColumns count="12">
    <x:tableColumn id="1" name="document_id"/>
    <x:tableColumn id="2" name="titulo"/>
    <x:tableColumn id="3" name="anio"/>
    <x:tableColumn id="4" name="genero"/>
    <x:tableColumn id="5" name="source_pdf"/>
    <x:tableColumn id="6" name="candidatos_extraidos"/>
    <x:tableColumn id="7" name="referencias_reales"/>
    <x:tableColumn id="8" name="coincidencias_uno_a_uno"/>
    <x:tableColumn id="9" name="omitidas"/>
    <x:tableColumn id="10" name="fragmentadas_o_fusionadas"/>
    <x:tableColumn id="11" name="cobertura"/>
    <x:tableColumn id="12" name="observac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2120a8a7f054efa" /></Relationships>
</file>

<file path=xl/worksheets/_rels/sheet2.xml.rels>&#65279;<?xml version="1.0" encoding="utf-8"?><Relationships xmlns="http://schemas.openxmlformats.org/package/2006/relationships"><Relationship Type="http://schemas.openxmlformats.org/officeDocument/2006/relationships/table" Target="/xl/tables/table2.xml" Id="R1e97cfc3750146c1" /></Relationships>
</file>

<file path=xl/worksheets/_rels/sheet3.xml.rels>&#65279;<?xml version="1.0" encoding="utf-8"?><Relationships xmlns="http://schemas.openxmlformats.org/package/2006/relationships"><Relationship Type="http://schemas.openxmlformats.org/officeDocument/2006/relationships/table" Target="/xl/tables/table3.xml" Id="Rd0e20cf8c4264865" /></Relationships>
</file>

<file path=xl/worksheets/sheet1.xml><?xml version="1.0" encoding="utf-8"?>
<x:worksheet xmlns:x="http://schemas.openxmlformats.org/spreadsheetml/2006/main">
  <x:sheetViews>
    <x:sheetView showGridLines="0" workbookViewId="0">
      <x:pane xSplit="3" ySplit="8" topLeftCell="D9" activePane="bottomRight" state="frozen"/>
    </x:sheetView>
  </x:sheetViews>
  <x:sheetFormatPr defaultRowHeight="15"/>
  <x:cols>
    <x:col min="1" max="1" width="24" hidden="0" customWidth="1"/>
    <x:col min="2" max="2" width="12" hidden="0" customWidth="1"/>
    <x:col min="3" max="3" width="44" hidden="0" customWidth="1"/>
    <x:col min="4" max="4" width="13" hidden="0" customWidth="1"/>
    <x:col min="5" max="5" width="18" hidden="0" customWidth="1"/>
    <x:col min="6" max="6" width="11" hidden="0" customWidth="1"/>
    <x:col min="7" max="7" width="38" hidden="0" customWidth="1"/>
    <x:col min="8" max="8" width="86" hidden="0" customWidth="1"/>
    <x:col min="9" max="9" width="27" hidden="0" customWidth="1"/>
    <x:col min="10" max="10" width="23" hidden="0" customWidth="1"/>
    <x:col min="11" max="11" width="18" hidden="0" customWidth="1"/>
    <x:col min="12" max="12" width="16" hidden="0" customWidth="1"/>
    <x:col min="13" max="13" width="17" hidden="0" customWidth="1"/>
    <x:col min="14" max="14" width="70" hidden="0" customWidth="1"/>
    <x:col min="15" max="15" width="48" hidden="0" customWidth="1"/>
    <x:col min="16" max="16" width="18" hidden="0" customWidth="1"/>
    <x:col min="17" max="17" width="15" hidden="0" customWidth="1"/>
  </x:cols>
  <x:sheetData>
    <x:row r="1" ht="25" customHeight="1">
      <x:c r="A1" s="1" t="str">
        <x:v>Auditoría manual de referencias</x:v>
      </x:c>
      <x:c r="B1" s="1"/>
      <x:c r="C1" s="1"/>
      <x:c r="D1" s="1"/>
      <x:c r="E1" s="1"/>
      <x:c r="F1" s="1"/>
      <x:c r="G1" s="1"/>
      <x:c r="H1" s="1"/>
      <x:c r="I1" s="1"/>
      <x:c r="J1" s="1"/>
      <x:c r="K1" s="1"/>
      <x:c r="L1" s="1"/>
      <x:c r="M1" s="1"/>
      <x:c r="N1" s="1"/>
      <x:c r="O1" s="1"/>
      <x:c r="P1" s="1"/>
      <x:c r="Q1" s="1"/>
    </x:row>
    <x:row r="2">
      <x:c r="A2" s="2" t="str">
        <x:v>Muestra aleatoria simple de 150 candidatos. Use esta hoja para estimar la precisión general.</x:v>
      </x:c>
      <x:c r="B2" s="2"/>
      <x:c r="C2" s="2"/>
      <x:c r="D2" s="2"/>
      <x:c r="E2" s="2"/>
      <x:c r="F2" s="2"/>
      <x:c r="G2" s="2"/>
      <x:c r="H2" s="2"/>
      <x:c r="I2" s="2"/>
      <x:c r="J2" s="2"/>
      <x:c r="K2" s="2"/>
      <x:c r="L2" s="2"/>
      <x:c r="M2" s="2"/>
      <x:c r="N2" s="2"/>
      <x:c r="O2" s="2"/>
      <x:c r="P2" s="2"/>
      <x:c r="Q2" s="2"/>
    </x:row>
    <x:row r="4">
      <x:c r="A4" s="4" t="str">
        <x:v>Revisadas</x:v>
      </x:c>
      <x:c r="B4" s="5" t="n">
        <x:f>COUNTIFS(J9:J158,"referencia_correcta")+COUNTIFS(J9:J158,"fragmentada")+COUNTIFS(J9:J158,"fusionada")+COUNTIFS(J9:J158,"no_es_referencia")</x:f>
        <x:v>150</x:v>
      </x:c>
      <x:c r="C4" s="4" t="str">
        <x:v>Referencias correctas</x:v>
      </x:c>
      <x:c r="D4" s="5" t="n">
        <x:f>COUNTIFS(J9:J158,"referencia_correcta")</x:f>
        <x:v>83</x:v>
      </x:c>
      <x:c r="E4" s="4" t="str">
        <x:v>Precisión</x:v>
      </x:c>
      <x:c r="F4" s="6" t="n">
        <x:f>IF(B4=0,"",D4/B4)</x:f>
        <x:v>0.5533333333333333</x:v>
      </x:c>
      <x:c r="G4" s="7" t="str">
        <x:v>Apellidos correctos</x:v>
      </x:c>
      <x:c r="H4" s="6" t="n">
        <x:f>IF(COUNTIFS(K9:K158,"sí")+COUNTIFS(K9:K158,"no")=0,"",COUNTIFS(K9:K158,"sí")/(COUNTIFS(K9:K158,"sí")+COUNTIFS(K9:K158,"no")))</x:f>
        <x:v>1</x:v>
      </x:c>
      <x:c r="I4" s="7" t="str">
        <x:v>Años correctos</x:v>
      </x:c>
      <x:c r="J4" s="6" t="n">
        <x:f>IF(COUNTIFS(L9:L158,"sí")+COUNTIFS(L9:L158,"no")=0,"",COUNTIFS(L9:L158,"sí")/(COUNTIFS(L9:L158,"sí")+COUNTIFS(L9:L158,"no")))</x:f>
        <x:v>1</x:v>
      </x:c>
      <x:c r="K4" s="7" t="str">
        <x:v>Títulos correctos</x:v>
      </x:c>
      <x:c r="L4" s="6" t="n">
        <x:f>IF(COUNTIFS(M9:M158,"sí")+COUNTIFS(M9:M158,"no")=0,"",COUNTIFS(M9:M158,"sí")/(COUNTIFS(M9:M158,"sí")+COUNTIFS(M9:M158,"no")))</x:f>
        <x:v>0.8313253012048193</x:v>
      </x:c>
      <x:c r="M4" s="4" t="str">
        <x:v>Pendientes</x:v>
      </x:c>
      <x:c r="N4" s="5" t="n">
        <x:f>150-B4</x:f>
        <x:v>0</x:v>
      </x:c>
    </x:row>
    <x:row r="6">
      <x:c r="A6" s="8" t="str">
        <x:v>Complete las columnas amarillas. No mezcle esta tasa con la hoja Casos dirigidos.</x:v>
      </x:c>
      <x:c r="B6" s="8"/>
      <x:c r="C6" s="8"/>
      <x:c r="D6" s="8"/>
      <x:c r="E6" s="8"/>
      <x:c r="F6" s="8"/>
      <x:c r="G6" s="8"/>
      <x:c r="H6" s="8"/>
      <x:c r="I6" s="8"/>
      <x:c r="J6" s="8"/>
      <x:c r="K6" s="8"/>
      <x:c r="L6" s="8"/>
      <x:c r="M6" s="8"/>
      <x:c r="N6" s="8"/>
      <x:c r="O6" s="8"/>
      <x:c r="P6" s="8"/>
      <x:c r="Q6" s="8"/>
    </x:row>
    <x:row r="8" ht="32" customHeight="1">
      <x:c r="A8" s="20" t="str">
        <x:v>sample_id</x:v>
      </x:c>
      <x:c r="B8" s="21" t="str">
        <x:v>document_id</x:v>
      </x:c>
      <x:c r="C8" s="21" t="str">
        <x:v>source_pdf</x:v>
      </x:c>
      <x:c r="D8" s="21" t="str">
        <x:v>candidate_index</x:v>
      </x:c>
      <x:c r="E8" s="21" t="str">
        <x:v>surname_extracted</x:v>
      </x:c>
      <x:c r="F8" s="21" t="str">
        <x:v>year_extracted</x:v>
      </x:c>
      <x:c r="G8" s="21" t="str">
        <x:v>title_extracted</x:v>
      </x:c>
      <x:c r="H8" s="21" t="str">
        <x:v>entry_extracted</x:v>
      </x:c>
      <x:c r="I8" s="21" t="str">
        <x:v>quality_flags</x:v>
      </x:c>
      <x:c r="J8" s="21" t="str">
        <x:v>veredicto</x:v>
      </x:c>
      <x:c r="K8" s="21" t="str">
        <x:v>surname_correcto</x:v>
      </x:c>
      <x:c r="L8" s="21" t="str">
        <x:v>year_correcto</x:v>
      </x:c>
      <x:c r="M8" s="21" t="str">
        <x:v>title_correcto</x:v>
      </x:c>
      <x:c r="N8" s="21" t="str">
        <x:v>correccion</x:v>
      </x:c>
      <x:c r="O8" s="21" t="str">
        <x:v>observacion</x:v>
      </x:c>
      <x:c r="P8" s="21" t="str">
        <x:v>revisor</x:v>
      </x:c>
      <x:c r="Q8" s="22" t="str">
        <x:v>fecha_revision</x:v>
      </x:c>
    </x:row>
    <x:row r="9">
      <x:c r="A9" s="24" t="str">
        <x:v>R001</x:v>
      </x:c>
      <x:c r="B9" s="24" t="str">
        <x:v>W05</x:v>
      </x:c>
      <x:c r="C9" s="24" t="str">
        <x:v>saki_research/working_papers/bigio_nuno_decomposing_optimal_debt_maturity.pdf</x:v>
      </x:c>
      <x:c r="D9" s="24" t="n">
        <x:v>15</x:v>
      </x:c>
      <x:c r="E9" s="24" t="str">
        <x:v>Chatterjee</x:v>
      </x:c>
      <x:c r="F9" s="26" t="n">
        <x:v>2012</x:v>
      </x:c>
      <x:c r="G9" s="25" t="str">
        <x:v>Maturity, indebtedness, and default risk,</x:v>
      </x:c>
      <x:c r="H9" s="25" t="str">
        <x:v>Chatterjee, Satyajit and Burcu Eyigungor, “Maturity, indebtedness, and default risk,” The American Economic Review, 2012, 102 (6), 2674–2699. 1 36 and , “ A seniority arrangement for sovereign debt,” The American Economic Review, 2015, 105 (12), 3740–3765. 1</x:v>
      </x:c>
      <x:c r="I9" s="25" t="str"/>
      <x:c r="J9" s="28" t="str">
        <x:v>fusionada</x:v>
      </x:c>
      <x:c r="K9" s="28" t="str">
        <x:v>no_aplica</x:v>
      </x:c>
      <x:c r="L9" s="28" t="str">
        <x:v>no_aplica</x:v>
      </x:c>
      <x:c r="M9" s="28" t="str">
        <x:v>no_aplica</x:v>
      </x:c>
      <x:c r="N9" s="29" t="str">
        <x:v>Separar las referencias contenidas en esta fila.</x:v>
      </x:c>
      <x:c r="O9" s="29" t="str">
        <x:v>La fila reúne material de dos o más referencias consecutivas. Página PDF 36.</x:v>
      </x:c>
      <x:c r="P9" s="28" t="str">
        <x:v>Codex</x:v>
      </x:c>
      <x:c r="Q9" s="30" t="n">
        <x:v>46280.708333333336</x:v>
      </x:c>
    </x:row>
    <x:row r="10">
      <x:c r="A10" s="24" t="str">
        <x:v>R002</x:v>
      </x:c>
      <x:c r="B10" s="24" t="str">
        <x:v>P09</x:v>
      </x:c>
      <x:c r="C10" s="24" t="str">
        <x:v>saki_research/published_papers/bigio_shi_repurchase_options_market_lemons.pdf</x:v>
      </x:c>
      <x:c r="D10" s="24" t="n">
        <x:v>9</x:v>
      </x:c>
      <x:c r="E10" s="24" t="str">
        <x:v>Caglio</x:v>
      </x:c>
      <x:c r="F10" s="26" t="n">
        <x:v>2019</x:v>
      </x:c>
      <x:c r="G10" s="25" t="str">
        <x:v>The Use of Collateral in Bilateral Repurchase and Securities Lending Agreements,</x:v>
      </x:c>
      <x:c r="H10" s="25" t="str">
        <x:v>Caglio, M. Cipriani, and A. Copeland, “The Use of Collateral in Bilateral Repurchase and Securities Lending Agreements,”Review of Economic Dynamics, 2019, 33, 228–249. Fragmented Financial Markets.</x:v>
      </x:c>
      <x:c r="I10" s="25" t="str"/>
      <x:c r="J10" s="28" t="str">
        <x:v>referencia_correcta</x:v>
      </x:c>
      <x:c r="K10" s="28" t="str">
        <x:v>sí</x:v>
      </x:c>
      <x:c r="L10" s="28" t="str">
        <x:v>sí</x:v>
      </x:c>
      <x:c r="M10" s="28" t="str">
        <x:v>sí</x:v>
      </x:c>
      <x:c r="N10" s="29" t="str"/>
      <x:c r="O10" s="29" t="str">
        <x:v>Contraste independiente con la sección de referencias del PDF. Página PDF 35.</x:v>
      </x:c>
      <x:c r="P10" s="28" t="str">
        <x:v>Codex</x:v>
      </x:c>
      <x:c r="Q10" s="30" t="n">
        <x:v>46280.708333333336</x:v>
      </x:c>
    </x:row>
    <x:row r="11">
      <x:c r="A11" s="24" t="str">
        <x:v>R003</x:v>
      </x:c>
      <x:c r="B11" s="24" t="str">
        <x:v>P08</x:v>
      </x:c>
      <x:c r="C11" s="24" t="str">
        <x:v>saki_research/published_papers/bigio_nuno_passadore_debt_maturity_management_liquidity_costs.pdf</x:v>
      </x:c>
      <x:c r="D11" s="24" t="n">
        <x:v>44</x:v>
      </x:c>
      <x:c r="E11" s="24" t="str">
        <x:v>Sánchez</x:v>
      </x:c>
      <x:c r="F11" s="26" t="n">
        <x:v>2018</x:v>
      </x:c>
      <x:c r="G11" s="25" t="str">
        <x:v>Sovereign default and maturity choice,</x:v>
      </x:c>
      <x:c r="H11" s="25" t="str">
        <x:v>Sánchez, Juan M, Horacio Sapriza, and Emircan Yurdagul, “Sovereign default and maturity choice,” Journal of Monetary Economics, 2018, 95, 72–85.</x:v>
      </x:c>
      <x:c r="I11" s="25" t="str"/>
      <x:c r="J11" s="28" t="str">
        <x:v>referencia_correcta</x:v>
      </x:c>
      <x:c r="K11" s="28" t="str">
        <x:v>sí</x:v>
      </x:c>
      <x:c r="L11" s="28" t="str">
        <x:v>sí</x:v>
      </x:c>
      <x:c r="M11" s="28" t="str">
        <x:v>sí</x:v>
      </x:c>
      <x:c r="N11" s="29" t="str"/>
      <x:c r="O11" s="29" t="str">
        <x:v>Contraste independiente con la sección de referencias del PDF. Página PDF 47.</x:v>
      </x:c>
      <x:c r="P11" s="28" t="str">
        <x:v>Codex</x:v>
      </x:c>
      <x:c r="Q11" s="30" t="n">
        <x:v>46280.708333333336</x:v>
      </x:c>
    </x:row>
    <x:row r="12">
      <x:c r="A12" s="24" t="str">
        <x:v>R004</x:v>
      </x:c>
      <x:c r="B12" s="24" t="str">
        <x:v>P07</x:v>
      </x:c>
      <x:c r="C12" s="24" t="str">
        <x:v>saki_research/published_papers/bianchi_bigio_banks_liquidity_management_monetary_policy.pdf</x:v>
      </x:c>
      <x:c r="D12" s="24" t="n">
        <x:v>34</x:v>
      </x:c>
      <x:c r="E12" s="24" t="str">
        <x:v>Ennis</x:v>
      </x:c>
      <x:c r="F12" s="26" t="n">
        <x:v>2018</x:v>
      </x:c>
      <x:c r="G12" s="25" t="str">
        <x:v>A simple general equilibrium model of large excess reserves,</x:v>
      </x:c>
      <x:c r="H12" s="25" t="str">
        <x:v>Ennis, H. M. (2018): “A simple general equilibrium model of large excess reserves,” Journal of Monetary Economics, 98, 50–65. 45</x:v>
      </x:c>
      <x:c r="I12" s="25" t="str"/>
      <x:c r="J12" s="28" t="str">
        <x:v>referencia_correcta</x:v>
      </x:c>
      <x:c r="K12" s="28" t="str">
        <x:v>sí</x:v>
      </x:c>
      <x:c r="L12" s="28" t="str">
        <x:v>sí</x:v>
      </x:c>
      <x:c r="M12" s="28" t="str">
        <x:v>sí</x:v>
      </x:c>
      <x:c r="N12" s="29" t="str"/>
      <x:c r="O12" s="29" t="str">
        <x:v>Contraste independiente con la sección de referencias del PDF. Página PDF 46.</x:v>
      </x:c>
      <x:c r="P12" s="28" t="str">
        <x:v>Codex</x:v>
      </x:c>
      <x:c r="Q12" s="30" t="n">
        <x:v>46280.708333333336</x:v>
      </x:c>
    </x:row>
    <x:row r="13">
      <x:c r="A13" s="24" t="str">
        <x:v>R005</x:v>
      </x:c>
      <x:c r="B13" s="24" t="str">
        <x:v>V01</x:v>
      </x:c>
      <x:c r="C13" s="24" t="str">
        <x:v>saki_research/research_vision/research_vision.pdf</x:v>
      </x:c>
      <x:c r="D13" s="24" t="n">
        <x:v>36</x:v>
      </x:c>
      <x:c r="E13" s="24" t="str">
        <x:v>Diamond</x:v>
      </x:c>
      <x:c r="F13" s="26" t="str"/>
      <x:c r="G13" s="25" t="str"/>
      <x:c r="H13" s="25" t="str">
        <x:v>Diamond, Douglas W. and Phillip H. Dybvig, “Bank</x:v>
      </x:c>
      <x:c r="I13" s="25" t="str">
        <x:v>missing_year; title_not_isolated</x:v>
      </x:c>
      <x:c r="J13" s="28" t="str">
        <x:v>fragmentada</x:v>
      </x:c>
      <x:c r="K13" s="28" t="str">
        <x:v>no_aplica</x:v>
      </x:c>
      <x:c r="L13" s="28" t="str">
        <x:v>no_aplica</x:v>
      </x:c>
      <x:c r="M13" s="28" t="str">
        <x:v>no_aplica</x:v>
      </x:c>
      <x:c r="N13" s="29" t="str">
        <x:v>Unir con la fila contigua de la referencia original.</x:v>
      </x:c>
      <x:c r="O13" s="29" t="str">
        <x:v>La fila contiene solo una parte de una referencia bibliográfica. Página PDF 15.</x:v>
      </x:c>
      <x:c r="P13" s="28" t="str">
        <x:v>Codex</x:v>
      </x:c>
      <x:c r="Q13" s="30" t="n">
        <x:v>46280.708333333336</x:v>
      </x:c>
    </x:row>
    <x:row r="14">
      <x:c r="A14" s="24" t="str">
        <x:v>R006</x:v>
      </x:c>
      <x:c r="B14" s="24" t="str">
        <x:v>P11</x:v>
      </x:c>
      <x:c r="C14" s="24" t="str">
        <x:v>saki_research/published_papers/bigio_silva_zilberman_heterogeneous_beliefs_asset_prices_business_cycles.pdf</x:v>
      </x:c>
      <x:c r="D14" s="24" t="n">
        <x:v>79</x:v>
      </x:c>
      <x:c r="E14" s="24" t="str">
        <x:v>Santos</x:v>
      </x:c>
      <x:c r="F14" s="26" t="n">
        <x:v>2006</x:v>
      </x:c>
      <x:c r="G14" s="25" t="str">
        <x:v>Labor income and predictable stock returns,</x:v>
      </x:c>
      <x:c r="H14" s="25" t="str">
        <x:v>Santos, Tano and Pietro Veronesi , “Labor income and predictable stock returns,” The Review of Financial Studies, 2006, 19 (1), 1–44.</x:v>
      </x:c>
      <x:c r="I14" s="25" t="str"/>
      <x:c r="J14" s="28" t="str">
        <x:v>referencia_correcta</x:v>
      </x:c>
      <x:c r="K14" s="28" t="str">
        <x:v>sí</x:v>
      </x:c>
      <x:c r="L14" s="28" t="str">
        <x:v>sí</x:v>
      </x:c>
      <x:c r="M14" s="28" t="str">
        <x:v>sí</x:v>
      </x:c>
      <x:c r="N14" s="29" t="str"/>
      <x:c r="O14" s="29" t="str">
        <x:v>Contraste independiente con la sección de referencias del PDF. Página PDF 55.</x:v>
      </x:c>
      <x:c r="P14" s="28" t="str">
        <x:v>Codex</x:v>
      </x:c>
      <x:c r="Q14" s="30" t="n">
        <x:v>46280.708333333336</x:v>
      </x:c>
    </x:row>
    <x:row r="15">
      <x:c r="A15" s="24" t="str">
        <x:v>R007</x:v>
      </x:c>
      <x:c r="B15" s="24" t="str">
        <x:v>P06</x:v>
      </x:c>
      <x:c r="C15" s="24" t="str">
        <x:v>saki_research/published_papers/bigio_d_anvernas_financial_risk_capacity.pdf</x:v>
      </x:c>
      <x:c r="D15" s="24" t="n">
        <x:v>37</x:v>
      </x:c>
      <x:c r="E15" s="24" t="str">
        <x:v>Wright</x:v>
      </x:c>
      <x:c r="F15" s="26" t="n">
        <x:v>1823</x:v>
      </x:c>
      <x:c r="G15" s="25" t="str"/>
      <x:c r="H15" s="25" t="str">
        <x:v>Wright, Randall. Adverse selection in competitive search equilibrium. Econometrica, 78(6):1823–1862, 2010.</x:v>
      </x:c>
      <x:c r="I15" s="25" t="str">
        <x:v>title_not_isolated</x:v>
      </x:c>
      <x:c r="J15" s="28" t="str">
        <x:v>referencia_correcta</x:v>
      </x:c>
      <x:c r="K15" s="28" t="str">
        <x:v>sí</x:v>
      </x:c>
      <x:c r="L15" s="28" t="str">
        <x:v>sí</x:v>
      </x:c>
      <x:c r="M15" s="28" t="str">
        <x:v>no</x:v>
      </x:c>
      <x:c r="N15" s="29" t="str"/>
      <x:c r="O15" s="29" t="str">
        <x:v>La fila corresponde a una referencia completa, pero el título no quedó aislado por el extractor. Página PDF 42.</x:v>
      </x:c>
      <x:c r="P15" s="28" t="str">
        <x:v>Codex</x:v>
      </x:c>
      <x:c r="Q15" s="30" t="n">
        <x:v>46280.708333333336</x:v>
      </x:c>
    </x:row>
    <x:row r="16">
      <x:c r="A16" s="24" t="str">
        <x:v>R008</x:v>
      </x:c>
      <x:c r="B16" s="24" t="str">
        <x:v>P10</x:v>
      </x:c>
      <x:c r="C16" s="24" t="str">
        <x:v>saki_research/published_papers/begenau_bigio_majerovitz_vieyra_q_theory_banks.pdf</x:v>
      </x:c>
      <x:c r="D16" s="24" t="n">
        <x:v>21</x:v>
      </x:c>
      <x:c r="E16" s="24" t="str">
        <x:v>Caballero</x:v>
      </x:c>
      <x:c r="F16" s="26" t="n">
        <x:v>2008</x:v>
      </x:c>
      <x:c r="G16" s="25" t="str">
        <x:v>Zombie Lending and Depressed Restructuring in Japan,</x:v>
      </x:c>
      <x:c r="H16" s="25" t="str">
        <x:v>Caballero, Ricardo J., Takeo Hoshi, and Anil K. Kashyap, “Zombie Lending and Depressed Restructuring in Japan,” The American Economic Review, 2008, 98 (5), 1943–1977. 11, 3.1 43</x:v>
      </x:c>
      <x:c r="I16" s="25" t="str"/>
      <x:c r="J16" s="28" t="str">
        <x:v>referencia_correcta</x:v>
      </x:c>
      <x:c r="K16" s="28" t="str">
        <x:v>sí</x:v>
      </x:c>
      <x:c r="L16" s="28" t="str">
        <x:v>sí</x:v>
      </x:c>
      <x:c r="M16" s="28" t="str">
        <x:v>sí</x:v>
      </x:c>
      <x:c r="N16" s="29" t="str"/>
      <x:c r="O16" s="29" t="str">
        <x:v>Contraste independiente con la sección de referencias del PDF. Página PDF 44.</x:v>
      </x:c>
      <x:c r="P16" s="28" t="str">
        <x:v>Codex</x:v>
      </x:c>
      <x:c r="Q16" s="30" t="n">
        <x:v>46280.708333333336</x:v>
      </x:c>
    </x:row>
    <x:row r="17">
      <x:c r="A17" s="24" t="str">
        <x:v>R009</x:v>
      </x:c>
      <x:c r="B17" s="24" t="str">
        <x:v>W11</x:v>
      </x:c>
      <x:c r="C17" s="24" t="str">
        <x:v>saki_research/working_papers/bigio_castillo_han_dollar_liquidity_flows_soe.pdf</x:v>
      </x:c>
      <x:c r="D17" s="24" t="n">
        <x:v>19</x:v>
      </x:c>
      <x:c r="E17" s="24" t="str">
        <x:v>Distinctions</x:v>
      </x:c>
      <x:c r="F17" s="26" t="n">
        <x:v>2023</x:v>
      </x:c>
      <x:c r="G17" s="25" t="str"/>
      <x:c r="H17" s="25" t="str">
        <x:v>Distinctions, Determinants and Disconnect.” IMF Working Papers 2023(028).</x:v>
      </x:c>
      <x:c r="I17" s="25" t="str">
        <x:v>title_not_isolated</x:v>
      </x:c>
      <x:c r="J17" s="28" t="str">
        <x:v>fragmentada</x:v>
      </x:c>
      <x:c r="K17" s="28" t="str">
        <x:v>no_aplica</x:v>
      </x:c>
      <x:c r="L17" s="28" t="str">
        <x:v>no_aplica</x:v>
      </x:c>
      <x:c r="M17" s="28" t="str">
        <x:v>no_aplica</x:v>
      </x:c>
      <x:c r="N17" s="29" t="str">
        <x:v>Unir con la fila contigua de la referencia original.</x:v>
      </x:c>
      <x:c r="O17" s="29" t="str">
        <x:v>La fila contiene solo una parte de una referencia bibliográfica. Página PDF 55.</x:v>
      </x:c>
      <x:c r="P17" s="28" t="str">
        <x:v>Codex</x:v>
      </x:c>
      <x:c r="Q17" s="30" t="n">
        <x:v>46280.708333333336</x:v>
      </x:c>
    </x:row>
    <x:row r="18">
      <x:c r="A18" s="24" t="str">
        <x:v>R010</x:v>
      </x:c>
      <x:c r="B18" s="24" t="str">
        <x:v>W09</x:v>
      </x:c>
      <x:c r="C18" s="24" t="str">
        <x:v>saki_research/working_papers/abad_bigio_garcia_villegas_marbet_nuno_heterogeneous_bank_lending_channel_monetary_policy.pdf</x:v>
      </x:c>
      <x:c r="D18" s="24" t="n">
        <x:v>7</x:v>
      </x:c>
      <x:c r="E18" s="24" t="str">
        <x:v>Gertler</x:v>
      </x:c>
      <x:c r="F18" s="26" t="n">
        <x:v>1995</x:v>
      </x:c>
      <x:c r="G18" s="25" t="str"/>
      <x:c r="H18" s="25" t="str">
        <x:v>Gertler, M. (1995). Inside the black box: The credit channel of monetary policy transmission. Journal of Economic Perspectives, 9(4):27–48.</x:v>
      </x:c>
      <x:c r="I18" s="25" t="str">
        <x:v>title_not_isolated</x:v>
      </x:c>
      <x:c r="J18" s="28" t="str">
        <x:v>referencia_correcta</x:v>
      </x:c>
      <x:c r="K18" s="28" t="str">
        <x:v>sí</x:v>
      </x:c>
      <x:c r="L18" s="28" t="str">
        <x:v>sí</x:v>
      </x:c>
      <x:c r="M18" s="28" t="str">
        <x:v>no</x:v>
      </x:c>
      <x:c r="N18" s="29" t="str"/>
      <x:c r="O18" s="29" t="str">
        <x:v>La fila corresponde a una referencia completa, pero el título no quedó aislado por el extractor. Página PDF 36.</x:v>
      </x:c>
      <x:c r="P18" s="28" t="str">
        <x:v>Codex</x:v>
      </x:c>
      <x:c r="Q18" s="30" t="n">
        <x:v>46280.708333333336</x:v>
      </x:c>
    </x:row>
    <x:row r="19">
      <x:c r="A19" s="24" t="str">
        <x:v>R011</x:v>
      </x:c>
      <x:c r="B19" s="24" t="str">
        <x:v>W02</x:v>
      </x:c>
      <x:c r="C19" s="24" t="str">
        <x:v>saki_research/working_papers/bigio_sannikov_model_credit_money_interest_prices.pdf</x:v>
      </x:c>
      <x:c r="D19" s="24" t="n">
        <x:v>32</x:v>
      </x:c>
      <x:c r="E19" s="24" t="str">
        <x:v>Markets</x:v>
      </x:c>
      <x:c r="F19" s="26" t="n">
        <x:v>2018</x:v>
      </x:c>
      <x:c r="G19" s="25" t="str"/>
      <x:c r="H19" s="25" t="str">
        <x:v>Markets, Collateral and Monetary Policy,” 2018. BFI Working Paper 2018-79.</x:v>
      </x:c>
      <x:c r="I19" s="25" t="str">
        <x:v>title_not_isolated</x:v>
      </x:c>
      <x:c r="J19" s="28" t="str">
        <x:v>fragmentada</x:v>
      </x:c>
      <x:c r="K19" s="28" t="str">
        <x:v>no_aplica</x:v>
      </x:c>
      <x:c r="L19" s="28" t="str">
        <x:v>no_aplica</x:v>
      </x:c>
      <x:c r="M19" s="28" t="str">
        <x:v>no_aplica</x:v>
      </x:c>
      <x:c r="N19" s="29" t="str">
        <x:v>Unir con la fila contigua de la referencia original.</x:v>
      </x:c>
      <x:c r="O19" s="29" t="str">
        <x:v>La fila contiene solo una parte de una referencia bibliográfica. Página PDF 43.</x:v>
      </x:c>
      <x:c r="P19" s="28" t="str">
        <x:v>Codex</x:v>
      </x:c>
      <x:c r="Q19" s="30" t="n">
        <x:v>46280.708333333336</x:v>
      </x:c>
    </x:row>
    <x:row r="20">
      <x:c r="A20" s="24" t="str">
        <x:v>R012</x:v>
      </x:c>
      <x:c r="B20" s="24" t="str">
        <x:v>P10</x:v>
      </x:c>
      <x:c r="C20" s="24" t="str">
        <x:v>saki_research/published_papers/begenau_bigio_majerovitz_vieyra_q_theory_banks.pdf</x:v>
      </x:c>
      <x:c r="D20" s="24" t="n">
        <x:v>14</x:v>
      </x:c>
      <x:c r="E20" s="24" t="str">
        <x:v>Colonnelli</x:v>
      </x:c>
      <x:c r="F20" s="26" t="n">
        <x:v>2019</x:v>
      </x:c>
      <x:c r="G20" s="25" t="str">
        <x:v>Bankruptcy spillovers,</x:v>
      </x:c>
      <x:c r="H20" s="25" t="str">
        <x:v>Colonnelli, Xavier Giroud, and Benjamin Iverson , “Bankruptcy spillovers,” Journal of Financial Economics , 2019, 133 (3), 608–633. 42</x:v>
      </x:c>
      <x:c r="I20" s="25" t="str"/>
      <x:c r="J20" s="28" t="str">
        <x:v>fragmentada</x:v>
      </x:c>
      <x:c r="K20" s="28" t="str">
        <x:v>no_aplica</x:v>
      </x:c>
      <x:c r="L20" s="28" t="str">
        <x:v>no_aplica</x:v>
      </x:c>
      <x:c r="M20" s="28" t="str">
        <x:v>no_aplica</x:v>
      </x:c>
      <x:c r="N20" s="29" t="str">
        <x:v>Unir con la fila contigua de la referencia original.</x:v>
      </x:c>
      <x:c r="O20" s="29" t="str">
        <x:v>La fila contiene solo una parte de una referencia bibliográfica. Página PDF 44.</x:v>
      </x:c>
      <x:c r="P20" s="28" t="str">
        <x:v>Codex</x:v>
      </x:c>
      <x:c r="Q20" s="30" t="n">
        <x:v>46280.708333333336</x:v>
      </x:c>
    </x:row>
    <x:row r="21">
      <x:c r="A21" s="24" t="str">
        <x:v>R013</x:v>
      </x:c>
      <x:c r="B21" s="24" t="str">
        <x:v>P11</x:v>
      </x:c>
      <x:c r="C21" s="24" t="str">
        <x:v>saki_research/published_papers/bigio_silva_zilberman_heterogeneous_beliefs_asset_prices_business_cycles.pdf</x:v>
      </x:c>
      <x:c r="D21" s="24" t="n">
        <x:v>73</x:v>
      </x:c>
      <x:c r="E21" s="24" t="str">
        <x:v>Merton</x:v>
      </x:c>
      <x:c r="F21" s="26" t="n">
        <x:v>1969</x:v>
      </x:c>
      <x:c r="G21" s="25" t="str">
        <x:v>Lifetime portfolio selection under uncertainty: The continuous-time case,</x:v>
      </x:c>
      <x:c r="H21" s="25" t="str">
        <x:v>Merton, Robert C, “Lifetime portfolio selection under uncertainty: The continuous-time case,” The review of Economics and Statistics, 1969, pp. 247–257. , Continuous-time finance, Blackwell Cambridge, MA, 1992.</x:v>
      </x:c>
      <x:c r="I21" s="25" t="str"/>
      <x:c r="J21" s="28" t="str">
        <x:v>fusionada</x:v>
      </x:c>
      <x:c r="K21" s="28" t="str">
        <x:v>no_aplica</x:v>
      </x:c>
      <x:c r="L21" s="28" t="str">
        <x:v>no_aplica</x:v>
      </x:c>
      <x:c r="M21" s="28" t="str">
        <x:v>no_aplica</x:v>
      </x:c>
      <x:c r="N21" s="29" t="str">
        <x:v>Separar las referencias contenidas en esta fila.</x:v>
      </x:c>
      <x:c r="O21" s="29" t="str">
        <x:v>La fila reúne material de dos o más referencias consecutivas. Página PDF 54.</x:v>
      </x:c>
      <x:c r="P21" s="28" t="str">
        <x:v>Codex</x:v>
      </x:c>
      <x:c r="Q21" s="30" t="n">
        <x:v>46280.708333333336</x:v>
      </x:c>
    </x:row>
    <x:row r="22">
      <x:c r="A22" s="24" t="str">
        <x:v>R014</x:v>
      </x:c>
      <x:c r="B22" s="24" t="str">
        <x:v>W06</x:v>
      </x:c>
      <x:c r="C22" s="24" t="str">
        <x:v>saki_research/working_papers/bigio_zhang_zilberman_transfers_credit_policy_macroeconomic_policy_trade_offs_during_covid_19.pdf</x:v>
      </x:c>
      <x:c r="D22" s="24" t="n">
        <x:v>6</x:v>
      </x:c>
      <x:c r="E22" s="24" t="str">
        <x:v>Bigio</x:v>
      </x:c>
      <x:c r="F22" s="26" t="str"/>
      <x:c r="G22" s="25" t="str"/>
      <x:c r="H22" s="25" t="str">
        <x:v>Bigio, Saki and Yuliy Sannikov, “A Model of</x:v>
      </x:c>
      <x:c r="I22" s="25" t="str">
        <x:v>missing_year; title_not_isolated</x:v>
      </x:c>
      <x:c r="J22" s="28" t="str">
        <x:v>fragmentada</x:v>
      </x:c>
      <x:c r="K22" s="28" t="str">
        <x:v>no_aplica</x:v>
      </x:c>
      <x:c r="L22" s="28" t="str">
        <x:v>no_aplica</x:v>
      </x:c>
      <x:c r="M22" s="28" t="str">
        <x:v>no_aplica</x:v>
      </x:c>
      <x:c r="N22" s="29" t="str">
        <x:v>Unir con la fila contigua de la referencia original.</x:v>
      </x:c>
      <x:c r="O22" s="29" t="str">
        <x:v>La fila contiene solo una parte de una referencia bibliográfica. Página PDF 3.</x:v>
      </x:c>
      <x:c r="P22" s="28" t="str">
        <x:v>Codex</x:v>
      </x:c>
      <x:c r="Q22" s="30" t="n">
        <x:v>46280.708333333336</x:v>
      </x:c>
    </x:row>
    <x:row r="23">
      <x:c r="A23" s="24" t="str">
        <x:v>R015</x:v>
      </x:c>
      <x:c r="B23" s="24" t="str">
        <x:v>W03</x:v>
      </x:c>
      <x:c r="C23" s="24" t="str">
        <x:v>saki_research/working_papers/bianchi_bigio_engel_scrambling_dollars_international_liquidity_banks_exchange_rate.pdf</x:v>
      </x:c>
      <x:c r="D23" s="24" t="n">
        <x:v>7</x:v>
      </x:c>
      <x:c r="E23" s="24" t="str">
        <x:v>Bianchi</x:v>
      </x:c>
      <x:c r="F23" s="26" t="n">
        <x:v>2020</x:v>
      </x:c>
      <x:c r="G23" s="25" t="str">
        <x:v>Exchange rate policies at the zero lower bound,</x:v>
      </x:c>
      <x:c r="H23" s="25" t="str">
        <x:v>Bianchi, Luigi Bocola, and Fabrizio Perri, “Exchange rate policies at the zero lower bound,”The Review of Economic Studies, 2020, 87 (4), 1605–1645.</x:v>
      </x:c>
      <x:c r="I23" s="25" t="str"/>
      <x:c r="J23" s="28" t="str">
        <x:v>referencia_correcta</x:v>
      </x:c>
      <x:c r="K23" s="28" t="str">
        <x:v>sí</x:v>
      </x:c>
      <x:c r="L23" s="28" t="str">
        <x:v>sí</x:v>
      </x:c>
      <x:c r="M23" s="28" t="str">
        <x:v>sí</x:v>
      </x:c>
      <x:c r="N23" s="29" t="str"/>
      <x:c r="O23" s="29" t="str">
        <x:v>Contraste independiente con la sección de referencias del PDF. Página PDF 33.</x:v>
      </x:c>
      <x:c r="P23" s="28" t="str">
        <x:v>Codex</x:v>
      </x:c>
      <x:c r="Q23" s="30" t="n">
        <x:v>46280.708333333336</x:v>
      </x:c>
    </x:row>
    <x:row r="24">
      <x:c r="A24" s="24" t="str">
        <x:v>R016</x:v>
      </x:c>
      <x:c r="B24" s="24" t="str">
        <x:v>W08</x:v>
      </x:c>
      <x:c r="C24" s="24" t="str">
        <x:v>saki_research/working_papers/bigio_mendez_patten_theory_payments_chain_crises.pdf</x:v>
      </x:c>
      <x:c r="D24" s="24" t="n">
        <x:v>9</x:v>
      </x:c>
      <x:c r="E24" s="24" t="str">
        <x:v>Brunnermeier</x:v>
      </x:c>
      <x:c r="F24" s="26" t="n">
        <x:v>2017</x:v>
      </x:c>
      <x:c r="G24" s="25" t="str">
        <x:v>The I-Theory of Money,</x:v>
      </x:c>
      <x:c r="H24" s="25" t="str">
        <x:v>Brunnermeier, Markus K. and Yuliy Sannikov, “The I-Theory of Money,” 2017. 1 Cerdas, Ana Mar ´ıa and Carlos Melegatti , El sistema financiero costarricense en los ´ultimos 25 a ˜nos: sistema de pagos number 2. In ‘Monograf´ıa.’ , San Jos´e, Costa Rica: Academia de Centroam´erica, 2014. 28 cm. 10</x:v>
      </x:c>
      <x:c r="I24" s="25" t="str"/>
      <x:c r="J24" s="28" t="str">
        <x:v>fusionada</x:v>
      </x:c>
      <x:c r="K24" s="28" t="str">
        <x:v>no_aplica</x:v>
      </x:c>
      <x:c r="L24" s="28" t="str">
        <x:v>no_aplica</x:v>
      </x:c>
      <x:c r="M24" s="28" t="str">
        <x:v>no_aplica</x:v>
      </x:c>
      <x:c r="N24" s="29" t="str">
        <x:v>Separar las referencias contenidas en esta fila.</x:v>
      </x:c>
      <x:c r="O24" s="29" t="str">
        <x:v>La fila reúne material de dos o más referencias consecutivas. Página PDF 51.</x:v>
      </x:c>
      <x:c r="P24" s="28" t="str">
        <x:v>Codex</x:v>
      </x:c>
      <x:c r="Q24" s="30" t="n">
        <x:v>46280.708333333336</x:v>
      </x:c>
    </x:row>
    <x:row r="25">
      <x:c r="A25" s="24" t="str">
        <x:v>R017</x:v>
      </x:c>
      <x:c r="B25" s="24" t="str">
        <x:v>P07</x:v>
      </x:c>
      <x:c r="C25" s="24" t="str">
        <x:v>saki_research/published_papers/bianchi_bigio_banks_liquidity_management_monetary_policy.pdf</x:v>
      </x:c>
      <x:c r="D25" s="24" t="n">
        <x:v>54</x:v>
      </x:c>
      <x:c r="E25" s="24" t="str">
        <x:v>Kashyap</x:v>
      </x:c>
      <x:c r="F25" s="26" t="n">
        <x:v>2000</x:v>
      </x:c>
      <x:c r="G25" s="25" t="str">
        <x:v>What Do a Million Observations on Banks Say about the Transmission of Monetary Policy?</x:v>
      </x:c>
      <x:c r="H25" s="25" t="str">
        <x:v>Kashyap, A. K. and J. C. Stein (2000): “What Do a Million Observations on Banks Say about the Transmission of Monetary Policy?” American Economic Review, 90, 407–428.</x:v>
      </x:c>
      <x:c r="I25" s="25" t="str"/>
      <x:c r="J25" s="28" t="str">
        <x:v>referencia_correcta</x:v>
      </x:c>
      <x:c r="K25" s="28" t="str">
        <x:v>sí</x:v>
      </x:c>
      <x:c r="L25" s="28" t="str">
        <x:v>sí</x:v>
      </x:c>
      <x:c r="M25" s="28" t="str">
        <x:v>sí</x:v>
      </x:c>
      <x:c r="N25" s="29" t="str"/>
      <x:c r="O25" s="29" t="str">
        <x:v>Contraste independiente con la sección de referencias del PDF. Página PDF 48.</x:v>
      </x:c>
      <x:c r="P25" s="28" t="str">
        <x:v>Codex</x:v>
      </x:c>
      <x:c r="Q25" s="30" t="n">
        <x:v>46280.708333333336</x:v>
      </x:c>
    </x:row>
    <x:row r="26">
      <x:c r="A26" s="24" t="str">
        <x:v>R018</x:v>
      </x:c>
      <x:c r="B26" s="24" t="str">
        <x:v>V01</x:v>
      </x:c>
      <x:c r="C26" s="24" t="str">
        <x:v>saki_research/research_vision/research_vision.pdf</x:v>
      </x:c>
      <x:c r="D26" s="24" t="n">
        <x:v>48</x:v>
      </x:c>
      <x:c r="E26" s="24" t="str">
        <x:v>Gorton</x:v>
      </x:c>
      <x:c r="F26" s="26" t="n">
        <x:v>1990</x:v>
      </x:c>
      <x:c r="G26" s="25" t="str">
        <x:v>Financial Intermediaries and Liquidity Creation,</x:v>
      </x:c>
      <x:c r="H26" s="25" t="str">
        <x:v>Gorton, Gary B. and George Pennacchi, “Financial Intermediaries and Liquidity Creation,”Journal of Finance,1990,45(1),49–71. He, Zhiguo, In Gu Khang, and Arvind Krishnamurthy, “Balance sheet adjustments during the2008crisis,”IMF Economic Review,2010,58(1),118–156.</x:v>
      </x:c>
      <x:c r="I26" s="25" t="str"/>
      <x:c r="J26" s="28" t="str">
        <x:v>fusionada</x:v>
      </x:c>
      <x:c r="K26" s="28" t="str">
        <x:v>no_aplica</x:v>
      </x:c>
      <x:c r="L26" s="28" t="str">
        <x:v>no_aplica</x:v>
      </x:c>
      <x:c r="M26" s="28" t="str">
        <x:v>no_aplica</x:v>
      </x:c>
      <x:c r="N26" s="29" t="str">
        <x:v>Separar las referencias contenidas en esta fila.</x:v>
      </x:c>
      <x:c r="O26" s="29" t="str">
        <x:v>La fila reúne material de dos o más referencias consecutivas. Página PDF 23.</x:v>
      </x:c>
      <x:c r="P26" s="28" t="str">
        <x:v>Codex</x:v>
      </x:c>
      <x:c r="Q26" s="30" t="n">
        <x:v>46280.708333333336</x:v>
      </x:c>
    </x:row>
    <x:row r="27">
      <x:c r="A27" s="24" t="str">
        <x:v>R019</x:v>
      </x:c>
      <x:c r="B27" s="24" t="str">
        <x:v>W08</x:v>
      </x:c>
      <x:c r="C27" s="24" t="str">
        <x:v>saki_research/working_papers/bigio_mendez_patten_theory_payments_chain_crises.pdf</x:v>
      </x:c>
      <x:c r="D27" s="24" t="n">
        <x:v>29</x:v>
      </x:c>
      <x:c r="E27" s="24" t="str">
        <x:v>Meza</x:v>
      </x:c>
      <x:c r="F27" s="26" t="str"/>
      <x:c r="G27" s="25" t="str">
        <x:v>Financial Crises: Still a Mystery,</x:v>
      </x:c>
      <x:c r="H27" s="25" t="str">
        <x:v>Meza, Felipe and Erwan Quintin, “Financial Crises: Still a Mystery,” Technical Report FRB of</x:v>
      </x:c>
      <x:c r="I27" s="25" t="str">
        <x:v>missing_year</x:v>
      </x:c>
      <x:c r="J27" s="28" t="str">
        <x:v>fragmentada</x:v>
      </x:c>
      <x:c r="K27" s="28" t="str">
        <x:v>no_aplica</x:v>
      </x:c>
      <x:c r="L27" s="28" t="str">
        <x:v>no_aplica</x:v>
      </x:c>
      <x:c r="M27" s="28" t="str">
        <x:v>no_aplica</x:v>
      </x:c>
      <x:c r="N27" s="29" t="str">
        <x:v>Unir con la fila contigua de la referencia original.</x:v>
      </x:c>
      <x:c r="O27" s="29" t="str">
        <x:v>La fila contiene solo una parte de una referencia bibliográfica. Página PDF 53.</x:v>
      </x:c>
      <x:c r="P27" s="28" t="str">
        <x:v>Codex</x:v>
      </x:c>
      <x:c r="Q27" s="30" t="n">
        <x:v>46280.708333333336</x:v>
      </x:c>
    </x:row>
    <x:row r="28">
      <x:c r="A28" s="24" t="str">
        <x:v>R020</x:v>
      </x:c>
      <x:c r="B28" s="24" t="str">
        <x:v>W11</x:v>
      </x:c>
      <x:c r="C28" s="24" t="str">
        <x:v>saki_research/working_papers/bigio_castillo_han_dollar_liquidity_flows_soe.pdf</x:v>
      </x:c>
      <x:c r="D28" s="24" t="n">
        <x:v>31</x:v>
      </x:c>
      <x:c r="E28" s="24" t="str">
        <x:v>Keller</x:v>
      </x:c>
      <x:c r="F28" s="26" t="n">
        <x:v>2024</x:v>
      </x:c>
      <x:c r="G28" s="25" t="str">
        <x:v>Arbitraging Covered Interest Rate Parity Deviations and Bank Lending.</x:v>
      </x:c>
      <x:c r="H28" s="25" t="str">
        <x:v>Keller, Lorena. 2024. “Arbitraging Covered Interest Rate Parity Deviations and Bank Lending.” American Economic Review 114(9):263367. URL: https://www.aeaweb.org/articles?id=10.1257/aer.20230425</x:v>
      </x:c>
      <x:c r="I28" s="25" t="str"/>
      <x:c r="J28" s="28" t="str">
        <x:v>referencia_correcta</x:v>
      </x:c>
      <x:c r="K28" s="28" t="str">
        <x:v>sí</x:v>
      </x:c>
      <x:c r="L28" s="28" t="str">
        <x:v>sí</x:v>
      </x:c>
      <x:c r="M28" s="28" t="str">
        <x:v>sí</x:v>
      </x:c>
      <x:c r="N28" s="29" t="str"/>
      <x:c r="O28" s="29" t="str">
        <x:v>Contraste independiente con la sección de referencias del PDF. Página PDF 56.</x:v>
      </x:c>
      <x:c r="P28" s="28" t="str">
        <x:v>Codex</x:v>
      </x:c>
      <x:c r="Q28" s="30" t="n">
        <x:v>46280.708333333336</x:v>
      </x:c>
    </x:row>
    <x:row r="29">
      <x:c r="A29" s="24" t="str">
        <x:v>R021</x:v>
      </x:c>
      <x:c r="B29" s="24" t="str">
        <x:v>P09</x:v>
      </x:c>
      <x:c r="C29" s="24" t="str">
        <x:v>saki_research/published_papers/bigio_shi_repurchase_options_market_lemons.pdf</x:v>
      </x:c>
      <x:c r="D29" s="24" t="n">
        <x:v>31</x:v>
      </x:c>
      <x:c r="E29" s="24" t="str">
        <x:v>Agreements</x:v>
      </x:c>
      <x:c r="F29" s="26" t="n">
        <x:v>2019</x:v>
      </x:c>
      <x:c r="G29" s="25" t="str"/>
      <x:c r="H29" s="25" t="str">
        <x:v>Agreements, Collateral Re-use, and Repo Intermediation,”Review of Economic Dynamics, 2019.</x:v>
      </x:c>
      <x:c r="I29" s="25" t="str">
        <x:v>title_not_isolated</x:v>
      </x:c>
      <x:c r="J29" s="28" t="str">
        <x:v>fragmentada</x:v>
      </x:c>
      <x:c r="K29" s="28" t="str">
        <x:v>no_aplica</x:v>
      </x:c>
      <x:c r="L29" s="28" t="str">
        <x:v>no_aplica</x:v>
      </x:c>
      <x:c r="M29" s="28" t="str">
        <x:v>no_aplica</x:v>
      </x:c>
      <x:c r="N29" s="29" t="str">
        <x:v>Unir con la fila contigua de la referencia original.</x:v>
      </x:c>
      <x:c r="O29" s="29" t="str">
        <x:v>La fila contiene solo una parte de una referencia bibliográfica. Página PDF 37.</x:v>
      </x:c>
      <x:c r="P29" s="28" t="str">
        <x:v>Codex</x:v>
      </x:c>
      <x:c r="Q29" s="30" t="n">
        <x:v>46280.708333333336</x:v>
      </x:c>
    </x:row>
    <x:row r="30">
      <x:c r="A30" s="24" t="str">
        <x:v>R022</x:v>
      </x:c>
      <x:c r="B30" s="24" t="str">
        <x:v>E01</x:v>
      </x:c>
      <x:c r="C30" s="24" t="str">
        <x:v>saki_research/pre_phd_papers/bigio_ramirez_corrupcion_indicadores_desarrollo_pery_mundo_revision_empirica.pdf</x:v>
      </x:c>
      <x:c r="D30" s="24" t="n">
        <x:v>14</x:v>
      </x:c>
      <x:c r="E30" s="24" t="str">
        <x:v>Ghura</x:v>
      </x:c>
      <x:c r="F30" s="26" t="n">
        <x:v>2002</x:v>
      </x:c>
      <x:c r="G30" s="25" t="str">
        <x:v>Tax Revenue in Sub-Saharan Africa: Effects of economic policies and corruption.</x:v>
      </x:c>
      <x:c r="H30" s="25" t="str">
        <x:v>Ghura, D. (2002 ): “Tax Revenue in Sub-Saharan Africa: Effects of economic policies and corruption.” En:</x:v>
      </x:c>
      <x:c r="I30" s="25" t="str"/>
      <x:c r="J30" s="28" t="str">
        <x:v>fragmentada</x:v>
      </x:c>
      <x:c r="K30" s="28" t="str">
        <x:v>no_aplica</x:v>
      </x:c>
      <x:c r="L30" s="28" t="str">
        <x:v>no_aplica</x:v>
      </x:c>
      <x:c r="M30" s="28" t="str">
        <x:v>no_aplica</x:v>
      </x:c>
      <x:c r="N30" s="29" t="str">
        <x:v>Unir con la fila contigua de la referencia original.</x:v>
      </x:c>
      <x:c r="O30" s="29" t="str">
        <x:v>La fila contiene solo una parte de una referencia bibliográfica. Página PDF 20.</x:v>
      </x:c>
      <x:c r="P30" s="28" t="str">
        <x:v>Codex</x:v>
      </x:c>
      <x:c r="Q30" s="30" t="n">
        <x:v>46280.708333333336</x:v>
      </x:c>
    </x:row>
    <x:row r="31">
      <x:c r="A31" s="24" t="str">
        <x:v>R023</x:v>
      </x:c>
      <x:c r="B31" s="24" t="str">
        <x:v>W03</x:v>
      </x:c>
      <x:c r="C31" s="24" t="str">
        <x:v>saki_research/working_papers/bianchi_bigio_engel_scrambling_dollars_international_liquidity_banks_exchange_rate.pdf</x:v>
      </x:c>
      <x:c r="D31" s="24" t="n">
        <x:v>27</x:v>
      </x:c>
      <x:c r="E31" s="24" t="str">
        <x:v>Farhi</x:v>
      </x:c>
      <x:c r="F31" s="26" t="n">
        <x:v>2016</x:v>
      </x:c>
      <x:c r="G31" s="25" t="str">
        <x:v>Rare disasters and exchange rates,</x:v>
      </x:c>
      <x:c r="H31" s="25" t="str">
        <x:v>Farhi, Emmanuel and Xavier Gabaix, “Rare disasters and exchange rates,”The Quarterly Journal of Economics, 2016, 131 (1), 1–52.</x:v>
      </x:c>
      <x:c r="I31" s="25" t="str"/>
      <x:c r="J31" s="28" t="str">
        <x:v>referencia_correcta</x:v>
      </x:c>
      <x:c r="K31" s="28" t="str">
        <x:v>sí</x:v>
      </x:c>
      <x:c r="L31" s="28" t="str">
        <x:v>sí</x:v>
      </x:c>
      <x:c r="M31" s="28" t="str">
        <x:v>sí</x:v>
      </x:c>
      <x:c r="N31" s="29" t="str"/>
      <x:c r="O31" s="29" t="str">
        <x:v>Contraste independiente con la sección de referencias del PDF. Página PDF 35.</x:v>
      </x:c>
      <x:c r="P31" s="28" t="str">
        <x:v>Codex</x:v>
      </x:c>
      <x:c r="Q31" s="30" t="n">
        <x:v>46280.708333333336</x:v>
      </x:c>
    </x:row>
    <x:row r="32">
      <x:c r="A32" s="24" t="str">
        <x:v>R024</x:v>
      </x:c>
      <x:c r="B32" s="24" t="str">
        <x:v>W04</x:v>
      </x:c>
      <x:c r="C32" s="24" t="str">
        <x:v>saki_research/working_papers/bigio_caramp_silva_sticky_inflation_monetary_policy_debt_drags_inflation_expectations.pdf</x:v>
      </x:c>
      <x:c r="D32" s="24" t="n">
        <x:v>2</x:v>
      </x:c>
      <x:c r="E32" s="24" t="str">
        <x:v>George-Marios</x:v>
      </x:c>
      <x:c r="F32" s="26" t="n">
        <x:v>2024</x:v>
      </x:c>
      <x:c r="G32" s="25" t="str">
        <x:v>Deficits and Inflation: HANK meets FTPL,</x:v>
      </x:c>
      <x:c r="H32" s="25" t="str">
        <x:v>George-Marios, Chen Lian, and Christian K Wolf , “Deficits and Inflation: HANK meets FTPL,” 2024. 1</x:v>
      </x:c>
      <x:c r="I32" s="25" t="str"/>
      <x:c r="J32" s="28" t="str">
        <x:v>fragmentada</x:v>
      </x:c>
      <x:c r="K32" s="28" t="str">
        <x:v>no_aplica</x:v>
      </x:c>
      <x:c r="L32" s="28" t="str">
        <x:v>no_aplica</x:v>
      </x:c>
      <x:c r="M32" s="28" t="str">
        <x:v>no_aplica</x:v>
      </x:c>
      <x:c r="N32" s="29" t="str">
        <x:v>Unir con la fila contigua de la referencia original.</x:v>
      </x:c>
      <x:c r="O32" s="29" t="str">
        <x:v>La fila contiene solo una parte de una referencia bibliográfica. Página PDF 43.</x:v>
      </x:c>
      <x:c r="P32" s="28" t="str">
        <x:v>Codex</x:v>
      </x:c>
      <x:c r="Q32" s="30" t="n">
        <x:v>46280.708333333336</x:v>
      </x:c>
    </x:row>
    <x:row r="33">
      <x:c r="A33" s="24" t="str">
        <x:v>R025</x:v>
      </x:c>
      <x:c r="B33" s="24" t="str">
        <x:v>W09</x:v>
      </x:c>
      <x:c r="C33" s="24" t="str">
        <x:v>saki_research/working_papers/abad_bigio_garcia_villegas_marbet_nuno_heterogeneous_bank_lending_channel_monetary_policy.pdf</x:v>
      </x:c>
      <x:c r="D33" s="24" t="n">
        <x:v>39</x:v>
      </x:c>
      <x:c r="E33" s="24" t="str">
        <x:v>Wright</x:v>
      </x:c>
      <x:c r="F33" s="26" t="n">
        <x:v>2017</x:v>
      </x:c>
      <x:c r="G33" s="25" t="str"/>
      <x:c r="H33" s="25" t="str">
        <x:v>Wright, R. (2017). Liquidity: A new monetarist perspective. Journal of Economic Literature, 55(2):371–440.</x:v>
      </x:c>
      <x:c r="I33" s="25" t="str">
        <x:v>title_not_isolated</x:v>
      </x:c>
      <x:c r="J33" s="28" t="str">
        <x:v>referencia_correcta</x:v>
      </x:c>
      <x:c r="K33" s="28" t="str">
        <x:v>sí</x:v>
      </x:c>
      <x:c r="L33" s="28" t="str">
        <x:v>sí</x:v>
      </x:c>
      <x:c r="M33" s="28" t="str">
        <x:v>no</x:v>
      </x:c>
      <x:c r="N33" s="29" t="str"/>
      <x:c r="O33" s="29" t="str">
        <x:v>La fila corresponde a una referencia completa, pero el título no quedó aislado por el extractor. Página PDF 39.</x:v>
      </x:c>
      <x:c r="P33" s="28" t="str">
        <x:v>Codex</x:v>
      </x:c>
      <x:c r="Q33" s="30" t="n">
        <x:v>46280.708333333336</x:v>
      </x:c>
    </x:row>
    <x:row r="34">
      <x:c r="A34" s="24" t="str">
        <x:v>R026</x:v>
      </x:c>
      <x:c r="B34" s="24" t="str">
        <x:v>P09</x:v>
      </x:c>
      <x:c r="C34" s="24" t="str">
        <x:v>saki_research/published_papers/bigio_shi_repurchase_options_market_lemons.pdf</x:v>
      </x:c>
      <x:c r="D34" s="24" t="n">
        <x:v>50</x:v>
      </x:c>
      <x:c r="E34" s="24" t="str">
        <x:v>Philippon</x:v>
      </x:c>
      <x:c r="F34" s="26" t="str"/>
      <x:c r="G34" s="25" t="str">
        <x:v>Optimal Interventions in Markets with Adverse Selection,</x:v>
      </x:c>
      <x:c r="H34" s="25" t="str">
        <x:v>Philippon, Thomas and Vasiliki Skreta, “Optimal Interventions in Markets with Adverse Selection,” American Economic</x:v>
      </x:c>
      <x:c r="I34" s="25" t="str">
        <x:v>missing_year</x:v>
      </x:c>
      <x:c r="J34" s="28" t="str">
        <x:v>fragmentada</x:v>
      </x:c>
      <x:c r="K34" s="28" t="str">
        <x:v>no_aplica</x:v>
      </x:c>
      <x:c r="L34" s="28" t="str">
        <x:v>no_aplica</x:v>
      </x:c>
      <x:c r="M34" s="28" t="str">
        <x:v>no_aplica</x:v>
      </x:c>
      <x:c r="N34" s="29" t="str">
        <x:v>Unir con la fila contigua de la referencia original.</x:v>
      </x:c>
      <x:c r="O34" s="29" t="str">
        <x:v>La fila contiene solo una parte de una referencia bibliográfica. Página PDF 38.</x:v>
      </x:c>
      <x:c r="P34" s="28" t="str">
        <x:v>Codex</x:v>
      </x:c>
      <x:c r="Q34" s="30" t="n">
        <x:v>46280.708333333336</x:v>
      </x:c>
    </x:row>
    <x:row r="35">
      <x:c r="A35" s="24" t="str">
        <x:v>R027</x:v>
      </x:c>
      <x:c r="B35" s="24" t="str">
        <x:v>P12</x:v>
      </x:c>
      <x:c r="C35" s="24" t="str">
        <x:v>saki_research/published_papers/bianchi_bigio_portfolio_choice_settlement_frictions_theory_endogenous_convenience_yields.pdf</x:v>
      </x:c>
      <x:c r="D35" s="24" t="n">
        <x:v>6</x:v>
      </x:c>
      <x:c r="E35" s="24" t="str">
        <x:v>Spada</x:v>
      </x:c>
      <x:c r="F35" s="26" t="n">
        <x:v>2026</x:v>
      </x:c>
      <x:c r="G35" s="25" t="str">
        <x:v>The Optimal Supply of Central Bank Reserves under Uncertainty,</x:v>
      </x:c>
      <x:c r="H35" s="25" t="str">
        <x:v>Spada, Thomas M. Mertens, and John C. Williams , “The Optimal Supply of Central Bank Reserves under Uncertainty,” 2026.</x:v>
      </x:c>
      <x:c r="I35" s="25" t="str"/>
      <x:c r="J35" s="28" t="str">
        <x:v>fragmentada</x:v>
      </x:c>
      <x:c r="K35" s="28" t="str">
        <x:v>no_aplica</x:v>
      </x:c>
      <x:c r="L35" s="28" t="str">
        <x:v>no_aplica</x:v>
      </x:c>
      <x:c r="M35" s="28" t="str">
        <x:v>no_aplica</x:v>
      </x:c>
      <x:c r="N35" s="29" t="str">
        <x:v>Unir con la fila contigua de la referencia original.</x:v>
      </x:c>
      <x:c r="O35" s="29" t="str">
        <x:v>La fila contiene solo una parte de una referencia bibliográfica. Página PDF 42.</x:v>
      </x:c>
      <x:c r="P35" s="28" t="str">
        <x:v>Codex</x:v>
      </x:c>
      <x:c r="Q35" s="30" t="n">
        <x:v>46280.708333333336</x:v>
      </x:c>
    </x:row>
    <x:row r="36">
      <x:c r="A36" s="24" t="str">
        <x:v>R028</x:v>
      </x:c>
      <x:c r="B36" s="24" t="str">
        <x:v>W03</x:v>
      </x:c>
      <x:c r="C36" s="24" t="str">
        <x:v>saki_research/working_papers/bianchi_bigio_engel_scrambling_dollars_international_liquidity_banks_exchange_rate.pdf</x:v>
      </x:c>
      <x:c r="D36" s="24" t="n">
        <x:v>50</x:v>
      </x:c>
      <x:c r="E36" s="24" t="str">
        <x:v>Richmond</x:v>
      </x:c>
      <x:c r="F36" s="26" t="n">
        <x:v>2019</x:v>
      </x:c>
      <x:c r="G36" s="25" t="str">
        <x:v>Trade network centrality and currency risk premia,</x:v>
      </x:c>
      <x:c r="H36" s="25" t="str">
        <x:v>Richmond, Robert J, “Trade network centrality and currency risk premia,”The Journal of Finance, 2019, 74 (3), 1315–1361.</x:v>
      </x:c>
      <x:c r="I36" s="25" t="str"/>
      <x:c r="J36" s="28" t="str">
        <x:v>referencia_correcta</x:v>
      </x:c>
      <x:c r="K36" s="28" t="str">
        <x:v>sí</x:v>
      </x:c>
      <x:c r="L36" s="28" t="str">
        <x:v>sí</x:v>
      </x:c>
      <x:c r="M36" s="28" t="str">
        <x:v>sí</x:v>
      </x:c>
      <x:c r="N36" s="29" t="str"/>
      <x:c r="O36" s="29" t="str">
        <x:v>Contraste independiente con la sección de referencias del PDF. Página PDF 37.</x:v>
      </x:c>
      <x:c r="P36" s="28" t="str">
        <x:v>Codex</x:v>
      </x:c>
      <x:c r="Q36" s="30" t="n">
        <x:v>46280.708333333336</x:v>
      </x:c>
    </x:row>
    <x:row r="37">
      <x:c r="A37" s="24" t="str">
        <x:v>R029</x:v>
      </x:c>
      <x:c r="B37" s="24" t="str">
        <x:v>W03</x:v>
      </x:c>
      <x:c r="C37" s="24" t="str">
        <x:v>saki_research/working_papers/bianchi_bigio_engel_scrambling_dollars_international_liquidity_banks_exchange_rate.pdf</x:v>
      </x:c>
      <x:c r="D37" s="24" t="n">
        <x:v>10</x:v>
      </x:c>
      <x:c r="E37" s="24" t="str">
        <x:v>Atkeson</x:v>
      </x:c>
      <x:c r="F37" s="26" t="n">
        <x:v>2015</x:v>
      </x:c>
      <x:c r="G37" s="25" t="str">
        <x:v>Entry and Exit in OTC Derivatives Markets,</x:v>
      </x:c>
      <x:c r="H37" s="25" t="str">
        <x:v>Atkeson, Andrew G., Andrea L. Eisfeldt, and Pierre-Olivier Weill, “Entry and Exit in OTC Derivatives Markets,”Econometrica, 2015, 83 (6), 2231–2292.</x:v>
      </x:c>
      <x:c r="I37" s="25" t="str"/>
      <x:c r="J37" s="28" t="str">
        <x:v>referencia_correcta</x:v>
      </x:c>
      <x:c r="K37" s="28" t="str">
        <x:v>sí</x:v>
      </x:c>
      <x:c r="L37" s="28" t="str">
        <x:v>sí</x:v>
      </x:c>
      <x:c r="M37" s="28" t="str">
        <x:v>sí</x:v>
      </x:c>
      <x:c r="N37" s="29" t="str"/>
      <x:c r="O37" s="29" t="str">
        <x:v>Contraste independiente con la sección de referencias del PDF. Página PDF 34.</x:v>
      </x:c>
      <x:c r="P37" s="28" t="str">
        <x:v>Codex</x:v>
      </x:c>
      <x:c r="Q37" s="30" t="n">
        <x:v>46280.708333333336</x:v>
      </x:c>
    </x:row>
    <x:row r="38">
      <x:c r="A38" s="24" t="str">
        <x:v>R030</x:v>
      </x:c>
      <x:c r="B38" s="24" t="str">
        <x:v>V01</x:v>
      </x:c>
      <x:c r="C38" s="24" t="str">
        <x:v>saki_research/research_vision/research_vision.pdf</x:v>
      </x:c>
      <x:c r="D38" s="24" t="n">
        <x:v>61</x:v>
      </x:c>
      <x:c r="E38" s="24" t="str">
        <x:v>Stigum</x:v>
      </x:c>
      <x:c r="F38" s="26" t="n">
        <x:v>2007</x:v>
      </x:c>
      <x:c r="G38" s="25" t="str"/>
      <x:c r="H38" s="25" t="str">
        <x:v>Stigum, Marcia and Anthony Crescenzi,Stigum’s Money Market, fourth ed., McGraw-Hill Education,2007.</x:v>
      </x:c>
      <x:c r="I38" s="25" t="str">
        <x:v>title_not_isolated</x:v>
      </x:c>
      <x:c r="J38" s="28" t="str">
        <x:v>referencia_correcta</x:v>
      </x:c>
      <x:c r="K38" s="28" t="str">
        <x:v>sí</x:v>
      </x:c>
      <x:c r="L38" s="28" t="str">
        <x:v>sí</x:v>
      </x:c>
      <x:c r="M38" s="28" t="str">
        <x:v>no</x:v>
      </x:c>
      <x:c r="N38" s="29" t="str"/>
      <x:c r="O38" s="29" t="str">
        <x:v>La fila corresponde a una referencia completa, pero el título no quedó aislado por el extractor. Página PDF 24.</x:v>
      </x:c>
      <x:c r="P38" s="28" t="str">
        <x:v>Codex</x:v>
      </x:c>
      <x:c r="Q38" s="30" t="n">
        <x:v>46280.708333333336</x:v>
      </x:c>
    </x:row>
    <x:row r="39">
      <x:c r="A39" s="24" t="str">
        <x:v>R031</x:v>
      </x:c>
      <x:c r="B39" s="24" t="str">
        <x:v>W09</x:v>
      </x:c>
      <x:c r="C39" s="24" t="str">
        <x:v>saki_research/working_papers/abad_bigio_garcia_villegas_marbet_nuno_heterogeneous_bank_lending_channel_monetary_policy.pdf</x:v>
      </x:c>
      <x:c r="D39" s="24" t="n">
        <x:v>27</x:v>
      </x:c>
      <x:c r="E39" s="24" t="str">
        <x:v>Greenwald</x:v>
      </x:c>
      <x:c r="F39" s="26" t="n">
        <x:v>2018</x:v>
      </x:c>
      <x:c r="G39" s="25" t="str"/>
      <x:c r="H39" s="25" t="str">
        <x:v>Greenwald, D. (2018). The mortgage credit channel of macroeconomic transmission. Manuscript.</x:v>
      </x:c>
      <x:c r="I39" s="25" t="str">
        <x:v>title_not_isolated</x:v>
      </x:c>
      <x:c r="J39" s="28" t="str">
        <x:v>referencia_correcta</x:v>
      </x:c>
      <x:c r="K39" s="28" t="str">
        <x:v>sí</x:v>
      </x:c>
      <x:c r="L39" s="28" t="str">
        <x:v>sí</x:v>
      </x:c>
      <x:c r="M39" s="28" t="str">
        <x:v>no</x:v>
      </x:c>
      <x:c r="N39" s="29" t="str"/>
      <x:c r="O39" s="29" t="str">
        <x:v>La fila corresponde a una referencia completa, pero el título no quedó aislado por el extractor. Página PDF 39.</x:v>
      </x:c>
      <x:c r="P39" s="28" t="str">
        <x:v>Codex</x:v>
      </x:c>
      <x:c r="Q39" s="30" t="n">
        <x:v>46280.708333333336</x:v>
      </x:c>
    </x:row>
    <x:row r="40">
      <x:c r="A40" s="24" t="str">
        <x:v>R032</x:v>
      </x:c>
      <x:c r="B40" s="24" t="str">
        <x:v>P12</x:v>
      </x:c>
      <x:c r="C40" s="24" t="str">
        <x:v>saki_research/published_papers/bianchi_bigio_portfolio_choice_settlement_frictions_theory_endogenous_convenience_yields.pdf</x:v>
      </x:c>
      <x:c r="D40" s="24" t="n">
        <x:v>48</x:v>
      </x:c>
      <x:c r="E40" s="24" t="str">
        <x:v>Williamson</x:v>
      </x:c>
      <x:c r="F40" s="26" t="str"/>
      <x:c r="G40" s="25" t="str">
        <x:v>New Monetarist Economics: Models,</x:v>
      </x:c>
      <x:c r="H40" s="25" t="str">
        <x:v>Williamson, Stephen D. and Randall Wright , “New Monetarist Economics: Models,” in Benjamin M. Friedman and Michael Woodford, eds.,Handbook of Monetary</x:v>
      </x:c>
      <x:c r="I40" s="25" t="str">
        <x:v>missing_year</x:v>
      </x:c>
      <x:c r="J40" s="28" t="str">
        <x:v>fragmentada</x:v>
      </x:c>
      <x:c r="K40" s="28" t="str">
        <x:v>no_aplica</x:v>
      </x:c>
      <x:c r="L40" s="28" t="str">
        <x:v>no_aplica</x:v>
      </x:c>
      <x:c r="M40" s="28" t="str">
        <x:v>no_aplica</x:v>
      </x:c>
      <x:c r="N40" s="29" t="str">
        <x:v>Unir con la fila contigua de la referencia original.</x:v>
      </x:c>
      <x:c r="O40" s="29" t="str">
        <x:v>La fila contiene solo una parte de una referencia bibliográfica. Página PDF 45.</x:v>
      </x:c>
      <x:c r="P40" s="28" t="str">
        <x:v>Codex</x:v>
      </x:c>
      <x:c r="Q40" s="30" t="n">
        <x:v>46280.708333333336</x:v>
      </x:c>
    </x:row>
    <x:row r="41">
      <x:c r="A41" s="24" t="str">
        <x:v>R033</x:v>
      </x:c>
      <x:c r="B41" s="24" t="str">
        <x:v>W09</x:v>
      </x:c>
      <x:c r="C41" s="24" t="str">
        <x:v>saki_research/working_papers/abad_bigio_garcia_villegas_marbet_nuno_heterogeneous_bank_lending_channel_monetary_policy.pdf</x:v>
      </x:c>
      <x:c r="D41" s="24" t="n">
        <x:v>21</x:v>
      </x:c>
      <x:c r="E41" s="24" t="str">
        <x:v>Shin</x:v>
      </x:c>
      <x:c r="F41" s="26" t="n">
        <x:v>2018</x:v>
      </x:c>
      <x:c r="G41" s="25" t="str"/>
      <x:c r="H41" s="25" t="str">
        <x:v>Shin, H. S. (2018). Why bank capital matters for monetary policy. Journal of Financial Intermediation , 35:17–29. Banking and regulation: the next frontier.</x:v>
      </x:c>
      <x:c r="I41" s="25" t="str">
        <x:v>title_not_isolated</x:v>
      </x:c>
      <x:c r="J41" s="28" t="str">
        <x:v>referencia_correcta</x:v>
      </x:c>
      <x:c r="K41" s="28" t="str">
        <x:v>sí</x:v>
      </x:c>
      <x:c r="L41" s="28" t="str">
        <x:v>sí</x:v>
      </x:c>
      <x:c r="M41" s="28" t="str">
        <x:v>no</x:v>
      </x:c>
      <x:c r="N41" s="29" t="str"/>
      <x:c r="O41" s="29" t="str">
        <x:v>La fila corresponde a una referencia completa, pero el título no quedó aislado por el extractor. Página PDF 37.</x:v>
      </x:c>
      <x:c r="P41" s="28" t="str">
        <x:v>Codex</x:v>
      </x:c>
      <x:c r="Q41" s="30" t="n">
        <x:v>46280.708333333336</x:v>
      </x:c>
    </x:row>
    <x:row r="42">
      <x:c r="A42" s="24" t="str">
        <x:v>R034</x:v>
      </x:c>
      <x:c r="B42" s="24" t="str">
        <x:v>P07</x:v>
      </x:c>
      <x:c r="C42" s="24" t="str">
        <x:v>saki_research/published_papers/bianchi_bigio_banks_liquidity_management_monetary_policy.pdf</x:v>
      </x:c>
      <x:c r="D42" s="24" t="n">
        <x:v>2</x:v>
      </x:c>
      <x:c r="E42" s="24" t="str">
        <x:v>Allen</x:v>
      </x:c>
      <x:c r="F42" s="26" t="n">
        <x:v>1998</x:v>
      </x:c>
      <x:c r="G42" s="25" t="str">
        <x:v>Optimal Financial Crises,</x:v>
      </x:c>
      <x:c r="H42" s="25" t="str">
        <x:v>Allen, F. and D. Gale (1998): “Optimal Financial Crises,” Journal of Finance , 53, 1245– 1284.</x:v>
      </x:c>
      <x:c r="I42" s="25" t="str"/>
      <x:c r="J42" s="28" t="str">
        <x:v>referencia_correcta</x:v>
      </x:c>
      <x:c r="K42" s="28" t="str">
        <x:v>sí</x:v>
      </x:c>
      <x:c r="L42" s="28" t="str">
        <x:v>sí</x:v>
      </x:c>
      <x:c r="M42" s="28" t="str">
        <x:v>sí</x:v>
      </x:c>
      <x:c r="N42" s="29" t="str"/>
      <x:c r="O42" s="29" t="str">
        <x:v>Contraste independiente con la sección de referencias del PDF. Página PDF 45.</x:v>
      </x:c>
      <x:c r="P42" s="28" t="str">
        <x:v>Codex</x:v>
      </x:c>
      <x:c r="Q42" s="30" t="n">
        <x:v>46280.708333333336</x:v>
      </x:c>
    </x:row>
    <x:row r="43">
      <x:c r="A43" s="24" t="str">
        <x:v>R035</x:v>
      </x:c>
      <x:c r="B43" s="24" t="str">
        <x:v>V01</x:v>
      </x:c>
      <x:c r="C43" s="24" t="str">
        <x:v>saki_research/research_vision/research_vision.pdf</x:v>
      </x:c>
      <x:c r="D43" s="24" t="n">
        <x:v>15</x:v>
      </x:c>
      <x:c r="E43" s="24" t="str">
        <x:v>Ben</x:v>
      </x:c>
      <x:c r="F43" s="26" t="n">
        <x:v>1996</x:v>
      </x:c>
      <x:c r="G43" s="25" t="str">
        <x:v>The Financial Accelerator and the Flight to Quality,</x:v>
      </x:c>
      <x:c r="H43" s="25" t="str">
        <x:v>Ben, Mark Gertler, and Simon Gilchrist, “The Financial Accelerator and the Flight to Quality,”The Review of Economics and Statistics,1996,78(1), pp. 1–15.</x:v>
      </x:c>
      <x:c r="I43" s="25" t="str"/>
      <x:c r="J43" s="28" t="str">
        <x:v>fragmentada</x:v>
      </x:c>
      <x:c r="K43" s="28" t="str">
        <x:v>no_aplica</x:v>
      </x:c>
      <x:c r="L43" s="28" t="str">
        <x:v>no_aplica</x:v>
      </x:c>
      <x:c r="M43" s="28" t="str">
        <x:v>no_aplica</x:v>
      </x:c>
      <x:c r="N43" s="29" t="str">
        <x:v>Unir con la fila contigua de la referencia original.</x:v>
      </x:c>
      <x:c r="O43" s="29" t="str">
        <x:v>La fila contiene solo una parte de una referencia bibliográfica. Página PDF 20.</x:v>
      </x:c>
      <x:c r="P43" s="28" t="str">
        <x:v>Codex</x:v>
      </x:c>
      <x:c r="Q43" s="30" t="n">
        <x:v>46280.708333333336</x:v>
      </x:c>
    </x:row>
    <x:row r="44">
      <x:c r="A44" s="24" t="str">
        <x:v>R036</x:v>
      </x:c>
      <x:c r="B44" s="24" t="str">
        <x:v>P06</x:v>
      </x:c>
      <x:c r="C44" s="24" t="str">
        <x:v>saki_research/published_papers/bigio_d_anvernas_financial_risk_capacity.pdf</x:v>
      </x:c>
      <x:c r="D44" s="24" t="n">
        <x:v>6</x:v>
      </x:c>
      <x:c r="E44" s="24" t="str">
        <x:v>Gilchrist</x:v>
      </x:c>
      <x:c r="F44" s="26" t="n">
        <x:v>1994</x:v>
      </x:c>
      <x:c r="G44" s="25" t="str"/>
      <x:c r="H44" s="25" t="str">
        <x:v>Gilchrist, Simon. The ﬁnancial accelerator and the ﬂight to quality. Technical report, National Bureau of Economic Research, 1994.</x:v>
      </x:c>
      <x:c r="I44" s="25" t="str">
        <x:v>title_not_isolated</x:v>
      </x:c>
      <x:c r="J44" s="28" t="str">
        <x:v>referencia_correcta</x:v>
      </x:c>
      <x:c r="K44" s="28" t="str">
        <x:v>sí</x:v>
      </x:c>
      <x:c r="L44" s="28" t="str">
        <x:v>sí</x:v>
      </x:c>
      <x:c r="M44" s="28" t="str">
        <x:v>no</x:v>
      </x:c>
      <x:c r="N44" s="29" t="str"/>
      <x:c r="O44" s="29" t="str">
        <x:v>La fila corresponde a una referencia completa, pero el título no quedó aislado por el extractor. Página PDF 39.</x:v>
      </x:c>
      <x:c r="P44" s="28" t="str">
        <x:v>Codex</x:v>
      </x:c>
      <x:c r="Q44" s="30" t="n">
        <x:v>46280.708333333336</x:v>
      </x:c>
    </x:row>
    <x:row r="45">
      <x:c r="A45" s="24" t="str">
        <x:v>R037</x:v>
      </x:c>
      <x:c r="B45" s="24" t="str">
        <x:v>W11</x:v>
      </x:c>
      <x:c r="C45" s="24" t="str">
        <x:v>saki_research/working_papers/bigio_castillo_han_dollar_liquidity_flows_soe.pdf</x:v>
      </x:c>
      <x:c r="D45" s="24" t="n">
        <x:v>21</x:v>
      </x:c>
      <x:c r="E45" s="24" t="str">
        <x:v>Fanelli</x:v>
      </x:c>
      <x:c r="F45" s="26" t="n">
        <x:v>2021</x:v>
      </x:c>
      <x:c r="G45" s="25" t="str">
        <x:v>A Theory of Foreign Exchange Interventions.</x:v>
      </x:c>
      <x:c r="H45" s="25" t="str">
        <x:v>Fanelli, Sebastián and Ludwig Straub. 2021. “A Theory of Foreign Exchange Interventions.” The Review of Economic Studies 88(6):2857–2885. URL: https://doi.org/10.1093/restud/rdab013</x:v>
      </x:c>
      <x:c r="I45" s="25" t="str"/>
      <x:c r="J45" s="28" t="str">
        <x:v>referencia_correcta</x:v>
      </x:c>
      <x:c r="K45" s="28" t="str">
        <x:v>sí</x:v>
      </x:c>
      <x:c r="L45" s="28" t="str">
        <x:v>sí</x:v>
      </x:c>
      <x:c r="M45" s="28" t="str">
        <x:v>sí</x:v>
      </x:c>
      <x:c r="N45" s="29" t="str"/>
      <x:c r="O45" s="29" t="str">
        <x:v>Contraste independiente con la sección de referencias del PDF. Página PDF 55.</x:v>
      </x:c>
      <x:c r="P45" s="28" t="str">
        <x:v>Codex</x:v>
      </x:c>
      <x:c r="Q45" s="30" t="n">
        <x:v>46280.708333333336</x:v>
      </x:c>
    </x:row>
    <x:row r="46">
      <x:c r="A46" s="24" t="str">
        <x:v>R038</x:v>
      </x:c>
      <x:c r="B46" s="24" t="str">
        <x:v>P09</x:v>
      </x:c>
      <x:c r="C46" s="24" t="str">
        <x:v>saki_research/published_papers/bigio_shi_repurchase_options_market_lemons.pdf</x:v>
      </x:c>
      <x:c r="D46" s="24" t="n">
        <x:v>1</x:v>
      </x:c>
      <x:c r="E46" s="24" t="str">
        <x:v>Sumit</x:v>
      </x:c>
      <x:c r="F46" s="26" t="n">
        <x:v>2012</x:v>
      </x:c>
      <x:c r="G46" s="25" t="str">
        <x:v>Adverse Selection in Mortgage Securitization,</x:v>
      </x:c>
      <x:c r="H46" s="25" t="str">
        <x:v>Sumit, Yan Chang, and Abdullah Yavas, “Adverse Selection in Mortgage Securitization,” Journal of Financial Economics, 2012,105 (3), 640–660.</x:v>
      </x:c>
      <x:c r="I46" s="25" t="str"/>
      <x:c r="J46" s="28" t="str">
        <x:v>fragmentada</x:v>
      </x:c>
      <x:c r="K46" s="28" t="str">
        <x:v>no_aplica</x:v>
      </x:c>
      <x:c r="L46" s="28" t="str">
        <x:v>no_aplica</x:v>
      </x:c>
      <x:c r="M46" s="28" t="str">
        <x:v>no_aplica</x:v>
      </x:c>
      <x:c r="N46" s="29" t="str">
        <x:v>Unir con la fila contigua de la referencia original.</x:v>
      </x:c>
      <x:c r="O46" s="29" t="str">
        <x:v>La fila contiene solo una parte de una referencia bibliográfica. Página PDF 35.</x:v>
      </x:c>
      <x:c r="P46" s="28" t="str">
        <x:v>Codex</x:v>
      </x:c>
      <x:c r="Q46" s="30" t="n">
        <x:v>46280.708333333336</x:v>
      </x:c>
    </x:row>
    <x:row r="47">
      <x:c r="A47" s="24" t="str">
        <x:v>R039</x:v>
      </x:c>
      <x:c r="B47" s="24" t="str">
        <x:v>P05</x:v>
      </x:c>
      <x:c r="C47" s="24" t="str">
        <x:v>saki_research/published_papers/bigio_lao_distortions_production_networks.pdf</x:v>
      </x:c>
      <x:c r="D47" s="24" t="n">
        <x:v>12</x:v>
      </x:c>
      <x:c r="E47" s="24" t="str">
        <x:v>Bigio</x:v>
      </x:c>
      <x:c r="F47" s="26" t="n">
        <x:v>2020</x:v>
      </x:c>
      <x:c r="G47" s="25" t="str">
        <x:v>Replication Data for: ‘Distortions in Production Networks</x:v>
      </x:c>
      <x:c r="H47" s="25" t="str">
        <x:v>Bigio, Saki and Jennifer La’O. “Replication Data for: ‘Distortions in Production Networks’ .” (2020). Harvard Dataverse, doi: 10.7910/DVN/2DQ5KG.</x:v>
      </x:c>
      <x:c r="I47" s="25" t="str"/>
      <x:c r="J47" s="28" t="str">
        <x:v>referencia_correcta</x:v>
      </x:c>
      <x:c r="K47" s="28" t="str">
        <x:v>sí</x:v>
      </x:c>
      <x:c r="L47" s="28" t="str">
        <x:v>sí</x:v>
      </x:c>
      <x:c r="M47" s="28" t="str">
        <x:v>sí</x:v>
      </x:c>
      <x:c r="N47" s="29" t="str"/>
      <x:c r="O47" s="29" t="str">
        <x:v>Contraste independiente con la sección de referencias del PDF. Página PDF 51.</x:v>
      </x:c>
      <x:c r="P47" s="28" t="str">
        <x:v>Codex</x:v>
      </x:c>
      <x:c r="Q47" s="30" t="n">
        <x:v>46280.708333333336</x:v>
      </x:c>
    </x:row>
    <x:row r="48">
      <x:c r="A48" s="24" t="str">
        <x:v>R040</x:v>
      </x:c>
      <x:c r="B48" s="24" t="str">
        <x:v>E02</x:v>
      </x:c>
      <x:c r="C48" s="24" t="str">
        <x:v>saki_research/pre_phd_papers/bigio_salas_non_linear_effects_monetary_policy_real_exchange_rate_shocks_partially_dollarized_economies_empirical_study_peru.pdf</x:v>
      </x:c>
      <x:c r="D48" s="24" t="n">
        <x:v>50</x:v>
      </x:c>
      <x:c r="E48" s="24" t="str">
        <x:v>Ravn</x:v>
      </x:c>
      <x:c r="F48" s="26" t="n">
        <x:v>1996</x:v>
      </x:c>
      <x:c r="G48" s="25" t="str"/>
      <x:c r="H48" s="25" t="str">
        <x:v>Ravn, Morten O., and Martin Sola (1996), A reconsideration of the empirical Evidence on the Asymmetric Effects of Money-Supply Shocks: Positive vs. Negative or Big vs. Small?, Center for Non-Linear Modeling in</x:v>
      </x:c>
      <x:c r="I48" s="25" t="str">
        <x:v>title_not_isolated</x:v>
      </x:c>
      <x:c r="J48" s="28" t="str">
        <x:v>fragmentada</x:v>
      </x:c>
      <x:c r="K48" s="28" t="str">
        <x:v>no_aplica</x:v>
      </x:c>
      <x:c r="L48" s="28" t="str">
        <x:v>no_aplica</x:v>
      </x:c>
      <x:c r="M48" s="28" t="str">
        <x:v>no_aplica</x:v>
      </x:c>
      <x:c r="N48" s="29" t="str">
        <x:v>Unir con la fila contigua de la referencia original.</x:v>
      </x:c>
      <x:c r="O48" s="29" t="str">
        <x:v>La fila contiene solo una parte de una referencia bibliográfica. Página PDF 30.</x:v>
      </x:c>
      <x:c r="P48" s="28" t="str">
        <x:v>Codex</x:v>
      </x:c>
      <x:c r="Q48" s="30" t="n">
        <x:v>46280.708333333336</x:v>
      </x:c>
    </x:row>
    <x:row r="49">
      <x:c r="A49" s="24" t="str">
        <x:v>R041</x:v>
      </x:c>
      <x:c r="B49" s="24" t="str">
        <x:v>P06</x:v>
      </x:c>
      <x:c r="C49" s="24" t="str">
        <x:v>saki_research/published_papers/bigio_d_anvernas_financial_risk_capacity.pdf</x:v>
      </x:c>
      <x:c r="D49" s="24" t="n">
        <x:v>36</x:v>
      </x:c>
      <x:c r="E49" s="24" t="str">
        <x:v>Shimer</x:v>
      </x:c>
      <x:c r="F49" s="26" t="n">
        <x:v>1875</x:v>
      </x:c>
      <x:c r="G49" s="25" t="str"/>
      <x:c r="H49" s="25" t="str">
        <x:v>Shimer, Robert. Dynamic adverse selection: A theory of illiquidity, ﬁre sales, and ﬂight to quality. American Economic Review, 104(7):1875– 1908, 2014.</x:v>
      </x:c>
      <x:c r="I49" s="25" t="str">
        <x:v>title_not_isolated</x:v>
      </x:c>
      <x:c r="J49" s="28" t="str">
        <x:v>referencia_correcta</x:v>
      </x:c>
      <x:c r="K49" s="28" t="str">
        <x:v>sí</x:v>
      </x:c>
      <x:c r="L49" s="28" t="str">
        <x:v>sí</x:v>
      </x:c>
      <x:c r="M49" s="28" t="str">
        <x:v>no</x:v>
      </x:c>
      <x:c r="N49" s="29" t="str"/>
      <x:c r="O49" s="29" t="str">
        <x:v>La fila corresponde a una referencia completa, pero el título no quedó aislado por el extractor. Página PDF 42.</x:v>
      </x:c>
      <x:c r="P49" s="28" t="str">
        <x:v>Codex</x:v>
      </x:c>
      <x:c r="Q49" s="30" t="n">
        <x:v>46280.708333333336</x:v>
      </x:c>
    </x:row>
    <x:row r="50">
      <x:c r="A50" s="24" t="str">
        <x:v>R042</x:v>
      </x:c>
      <x:c r="B50" s="24" t="str">
        <x:v>P03</x:v>
      </x:c>
      <x:c r="C50" s="24" t="str">
        <x:v>saki_research/published_papers/bigio_endogenous_liquidity_business_cycle.pdf</x:v>
      </x:c>
      <x:c r="D50" s="24" t="n">
        <x:v>9</x:v>
      </x:c>
      <x:c r="E50" s="24" t="str">
        <x:v>Comin</x:v>
      </x:c>
      <x:c r="F50" s="26" t="n">
        <x:v>2006</x:v>
      </x:c>
      <x:c r="G50" s="25" t="str">
        <x:v>Medium-Term Business Cycles,</x:v>
      </x:c>
      <x:c r="H50" s="25" t="str">
        <x:v>Comin, Diego and Mark Gertler , “Medium-Term Business Cycles,” American Economic Review, 2006, 96 (3), 523–551. 27</x:v>
      </x:c>
      <x:c r="I50" s="25" t="str"/>
      <x:c r="J50" s="28" t="str">
        <x:v>referencia_correcta</x:v>
      </x:c>
      <x:c r="K50" s="28" t="str">
        <x:v>sí</x:v>
      </x:c>
      <x:c r="L50" s="28" t="str">
        <x:v>sí</x:v>
      </x:c>
      <x:c r="M50" s="28" t="str">
        <x:v>sí</x:v>
      </x:c>
      <x:c r="N50" s="29" t="str"/>
      <x:c r="O50" s="29" t="str">
        <x:v>Contraste independiente con la sección de referencias del PDF. Página PDF 42.</x:v>
      </x:c>
      <x:c r="P50" s="28" t="str">
        <x:v>Codex</x:v>
      </x:c>
      <x:c r="Q50" s="30" t="n">
        <x:v>46280.708333333336</x:v>
      </x:c>
    </x:row>
    <x:row r="51">
      <x:c r="A51" s="24" t="str">
        <x:v>R043</x:v>
      </x:c>
      <x:c r="B51" s="24" t="str">
        <x:v>P11</x:v>
      </x:c>
      <x:c r="C51" s="24" t="str">
        <x:v>saki_research/published_papers/bigio_silva_zilberman_heterogeneous_beliefs_asset_prices_business_cycles.pdf</x:v>
      </x:c>
      <x:c r="D51" s="24" t="n">
        <x:v>40</x:v>
      </x:c>
      <x:c r="E51" s="24" t="str">
        <x:v>Gârleanu</x:v>
      </x:c>
      <x:c r="F51" s="26" t="n">
        <x:v>2015</x:v>
      </x:c>
      <x:c r="G51" s="25" t="str">
        <x:v>Young, old, conservative, and bold: The implications of heterogeneity and finite lives for asset pricing,</x:v>
      </x:c>
      <x:c r="H51" s="25" t="str">
        <x:v>Gârleanu, Nicolae and Stavros Panageas , “Young, old, conservative, and bold: The implications of heterogeneity and finite lives for asset pricing,”Journal of Political Economy, 2015, 123 (3), 670–685. Geanakoplos, John , “Liquidity, Default, and Crashes: Endogenous Contracts in General Equilibrium,” in Mathias Dewatripont, Lars Peter Hansen, and Stephen J.Editors Turnovsky, eds.,Advances in Economics and Econometrics: Theory and</x:v>
      </x:c>
      <x:c r="I51" s="25" t="str"/>
      <x:c r="J51" s="28" t="str">
        <x:v>fusionada</x:v>
      </x:c>
      <x:c r="K51" s="28" t="str">
        <x:v>no_aplica</x:v>
      </x:c>
      <x:c r="L51" s="28" t="str">
        <x:v>no_aplica</x:v>
      </x:c>
      <x:c r="M51" s="28" t="str">
        <x:v>no_aplica</x:v>
      </x:c>
      <x:c r="N51" s="29" t="str">
        <x:v>Separar las referencias contenidas en esta fila.</x:v>
      </x:c>
      <x:c r="O51" s="29" t="str">
        <x:v>La fila reúne material de dos o más referencias consecutivas. Página PDF 52.</x:v>
      </x:c>
      <x:c r="P51" s="28" t="str">
        <x:v>Codex</x:v>
      </x:c>
      <x:c r="Q51" s="30" t="n">
        <x:v>46280.708333333336</x:v>
      </x:c>
    </x:row>
    <x:row r="52">
      <x:c r="A52" s="24" t="str">
        <x:v>R044</x:v>
      </x:c>
      <x:c r="B52" s="24" t="str">
        <x:v>W05</x:v>
      </x:c>
      <x:c r="C52" s="24" t="str">
        <x:v>saki_research/working_papers/bigio_nuno_decomposing_optimal_debt_maturity.pdf</x:v>
      </x:c>
      <x:c r="D52" s="24" t="n">
        <x:v>4</x:v>
      </x:c>
      <x:c r="E52" s="24" t="str">
        <x:v>Angeletos</x:v>
      </x:c>
      <x:c r="F52" s="26" t="n">
        <x:v>2002</x:v>
      </x:c>
      <x:c r="G52" s="25" t="str">
        <x:v>Fiscal policy with noncontingent debt and the optimal maturity structure,</x:v>
      </x:c>
      <x:c r="H52" s="25" t="str">
        <x:v>Angeletos, George-Marios , “Fiscal policy with noncontingent debt and the optimal maturity structure,” The Quarterly Journal of Economics , 2002, 117 (3), 1105–1131. 1, 1, 3.1, 3.1, 9</x:v>
      </x:c>
      <x:c r="I52" s="25" t="str"/>
      <x:c r="J52" s="28" t="str">
        <x:v>referencia_correcta</x:v>
      </x:c>
      <x:c r="K52" s="28" t="str">
        <x:v>sí</x:v>
      </x:c>
      <x:c r="L52" s="28" t="str">
        <x:v>sí</x:v>
      </x:c>
      <x:c r="M52" s="28" t="str">
        <x:v>sí</x:v>
      </x:c>
      <x:c r="N52" s="29" t="str"/>
      <x:c r="O52" s="29" t="str">
        <x:v>Contraste independiente con la sección de referencias del PDF. Página PDF 35.</x:v>
      </x:c>
      <x:c r="P52" s="28" t="str">
        <x:v>Codex</x:v>
      </x:c>
      <x:c r="Q52" s="30" t="n">
        <x:v>46280.708333333336</x:v>
      </x:c>
    </x:row>
    <x:row r="53">
      <x:c r="A53" s="24" t="str">
        <x:v>R045</x:v>
      </x:c>
      <x:c r="B53" s="24" t="str">
        <x:v>E02</x:v>
      </x:c>
      <x:c r="C53" s="24" t="str">
        <x:v>saki_research/pre_phd_papers/bigio_salas_non_linear_effects_monetary_policy_real_exchange_rate_shocks_partially_dollarized_economies_empirical_study_peru.pdf</x:v>
      </x:c>
      <x:c r="D53" s="24" t="n">
        <x:v>49</x:v>
      </x:c>
      <x:c r="E53" s="24" t="str">
        <x:v>Quispe</x:v>
      </x:c>
      <x:c r="F53" s="26" t="n">
        <x:v>2000</x:v>
      </x:c>
      <x:c r="G53" s="25" t="str">
        <x:v>Política monetaria en una economía con dolarización parcial: el caso del Perú</x:v>
      </x:c>
      <x:c r="H53" s="25" t="str">
        <x:v>Quispe, Zenón (2000), “Política monetaria en una economía con dolarización parcial: el caso del Perú”, Estudios Económicos, no 6, Banco Central de Reserva del Perú.</x:v>
      </x:c>
      <x:c r="I53" s="25" t="str"/>
      <x:c r="J53" s="28" t="str">
        <x:v>referencia_correcta</x:v>
      </x:c>
      <x:c r="K53" s="28" t="str">
        <x:v>sí</x:v>
      </x:c>
      <x:c r="L53" s="28" t="str">
        <x:v>sí</x:v>
      </x:c>
      <x:c r="M53" s="28" t="str">
        <x:v>sí</x:v>
      </x:c>
      <x:c r="N53" s="29" t="str"/>
      <x:c r="O53" s="29" t="str">
        <x:v>Contraste independiente con la sección de referencias del PDF. Página PDF 30.</x:v>
      </x:c>
      <x:c r="P53" s="28" t="str">
        <x:v>Codex</x:v>
      </x:c>
      <x:c r="Q53" s="30" t="n">
        <x:v>46280.708333333336</x:v>
      </x:c>
    </x:row>
    <x:row r="54">
      <x:c r="A54" s="24" t="str">
        <x:v>R046</x:v>
      </x:c>
      <x:c r="B54" s="24" t="str">
        <x:v>P10</x:v>
      </x:c>
      <x:c r="C54" s="24" t="str">
        <x:v>saki_research/published_papers/begenau_bigio_majerovitz_vieyra_q_theory_banks.pdf</x:v>
      </x:c>
      <x:c r="D54" s="24" t="n">
        <x:v>28</x:v>
      </x:c>
      <x:c r="E54" s="24" t="str">
        <x:v>Castro</x:v>
      </x:c>
      <x:c r="F54" s="26" t="n">
        <x:v>2021</x:v>
      </x:c>
      <x:c r="G54" s="25" t="str">
        <x:v>A quantitative analysis of the countercyclical capital buffer,</x:v>
      </x:c>
      <x:c r="H54" s="25" t="str">
        <x:v>Castro, Miguel Faria, “A quantitative analysis of the countercyclical capital buffer,” 2021. 46 , Pascal Paul, and Juan M S´ anchez, “Evergreening,” Journal of Financial Economics, 2024, 153, 103778. 12</x:v>
      </x:c>
      <x:c r="I54" s="25" t="str"/>
      <x:c r="J54" s="28" t="str">
        <x:v>fusionada</x:v>
      </x:c>
      <x:c r="K54" s="28" t="str">
        <x:v>no_aplica</x:v>
      </x:c>
      <x:c r="L54" s="28" t="str">
        <x:v>no_aplica</x:v>
      </x:c>
      <x:c r="M54" s="28" t="str">
        <x:v>no_aplica</x:v>
      </x:c>
      <x:c r="N54" s="29" t="str">
        <x:v>Separar las referencias contenidas en esta fila.</x:v>
      </x:c>
      <x:c r="O54" s="29" t="str">
        <x:v>La fila reúne material de dos o más referencias consecutivas. Página PDF 45.</x:v>
      </x:c>
      <x:c r="P54" s="28" t="str">
        <x:v>Codex</x:v>
      </x:c>
      <x:c r="Q54" s="30" t="n">
        <x:v>46280.708333333336</x:v>
      </x:c>
    </x:row>
    <x:row r="55">
      <x:c r="A55" s="24" t="str">
        <x:v>R047</x:v>
      </x:c>
      <x:c r="B55" s="24" t="str">
        <x:v>P12</x:v>
      </x:c>
      <x:c r="C55" s="24" t="str">
        <x:v>saki_research/published_papers/bianchi_bigio_portfolio_choice_settlement_frictions_theory_endogenous_convenience_yields.pdf</x:v>
      </x:c>
      <x:c r="D55" s="24" t="n">
        <x:v>43</x:v>
      </x:c>
      <x:c r="E55" s="24" t="str">
        <x:v>Ritto</x:v>
      </x:c>
      <x:c r="F55" s="26" t="n">
        <x:v>2024</x:v>
      </x:c>
      <x:c r="G55" s="25" t="str">
        <x:v>Real Monetary Policy,</x:v>
      </x:c>
      <x:c r="H55" s="25" t="str">
        <x:v>Ritto, Tamon Takamura, and Yaz Terajima, “Real Monetary Policy,” October 2024.</x:v>
      </x:c>
      <x:c r="I55" s="25" t="str"/>
      <x:c r="J55" s="28" t="str">
        <x:v>fragmentada</x:v>
      </x:c>
      <x:c r="K55" s="28" t="str">
        <x:v>no_aplica</x:v>
      </x:c>
      <x:c r="L55" s="28" t="str">
        <x:v>no_aplica</x:v>
      </x:c>
      <x:c r="M55" s="28" t="str">
        <x:v>no_aplica</x:v>
      </x:c>
      <x:c r="N55" s="29" t="str">
        <x:v>Unir con la fila contigua de la referencia original.</x:v>
      </x:c>
      <x:c r="O55" s="29" t="str">
        <x:v>La fila contiene solo una parte de una referencia bibliográfica. Página PDF 5.</x:v>
      </x:c>
      <x:c r="P55" s="28" t="str">
        <x:v>Codex</x:v>
      </x:c>
      <x:c r="Q55" s="30" t="n">
        <x:v>46280.708333333336</x:v>
      </x:c>
    </x:row>
    <x:row r="56">
      <x:c r="A56" s="24" t="str">
        <x:v>R048</x:v>
      </x:c>
      <x:c r="B56" s="24" t="str">
        <x:v>P11</x:v>
      </x:c>
      <x:c r="C56" s="24" t="str">
        <x:v>saki_research/published_papers/bigio_silva_zilberman_heterogeneous_beliefs_asset_prices_business_cycles.pdf</x:v>
      </x:c>
      <x:c r="D56" s="24" t="n">
        <x:v>89</x:v>
      </x:c>
      <x:c r="E56" s="24" t="str">
        <x:v>Tallarini</x:v>
      </x:c>
      <x:c r="F56" s="26" t="n">
        <x:v>2000</x:v>
      </x:c>
      <x:c r="G56" s="25" t="str">
        <x:v>Risk-sensitive Real Business Cycles,</x:v>
      </x:c>
      <x:c r="H56" s="25" t="str">
        <x:v>Tallarini, Thomas D. , “Risk-sensitive Real Business Cycles,” Journal of Monetary Economics, 2000, 45 (3), 507–532.</x:v>
      </x:c>
      <x:c r="I56" s="25" t="str"/>
      <x:c r="J56" s="28" t="str">
        <x:v>referencia_correcta</x:v>
      </x:c>
      <x:c r="K56" s="28" t="str">
        <x:v>sí</x:v>
      </x:c>
      <x:c r="L56" s="28" t="str">
        <x:v>sí</x:v>
      </x:c>
      <x:c r="M56" s="28" t="str">
        <x:v>sí</x:v>
      </x:c>
      <x:c r="N56" s="29" t="str"/>
      <x:c r="O56" s="29" t="str">
        <x:v>Contraste independiente con la sección de referencias del PDF. Página PDF 55.</x:v>
      </x:c>
      <x:c r="P56" s="28" t="str">
        <x:v>Codex</x:v>
      </x:c>
      <x:c r="Q56" s="30" t="n">
        <x:v>46280.708333333336</x:v>
      </x:c>
    </x:row>
    <x:row r="57">
      <x:c r="A57" s="24" t="str">
        <x:v>R049</x:v>
      </x:c>
      <x:c r="B57" s="24" t="str">
        <x:v>W08</x:v>
      </x:c>
      <x:c r="C57" s="24" t="str">
        <x:v>saki_research/working_papers/bigio_mendez_patten_theory_payments_chain_crises.pdf</x:v>
      </x:c>
      <x:c r="D57" s="24" t="n">
        <x:v>26</x:v>
      </x:c>
      <x:c r="E57" s="24" t="str">
        <x:v>Francesco</x:v>
      </x:c>
      <x:c r="F57" s="26" t="n">
        <x:v>2015</x:v>
      </x:c>
      <x:c r="G57" s="25" t="str">
        <x:v>Optimal monetary policy with heterogeneous money holdings,</x:v>
      </x:c>
      <x:c r="H57" s="25" t="str">
        <x:v>Francesco, Stefania Ragni, and Nicholas Trachter , “Optimal monetary policy with heterogeneous money holdings,” Journal of Economic Theory , 2015, 159, 339 – 368. 1 51</x:v>
      </x:c>
      <x:c r="I57" s="25" t="str"/>
      <x:c r="J57" s="28" t="str">
        <x:v>fragmentada</x:v>
      </x:c>
      <x:c r="K57" s="28" t="str">
        <x:v>no_aplica</x:v>
      </x:c>
      <x:c r="L57" s="28" t="str">
        <x:v>no_aplica</x:v>
      </x:c>
      <x:c r="M57" s="28" t="str">
        <x:v>no_aplica</x:v>
      </x:c>
      <x:c r="N57" s="29" t="str">
        <x:v>Unir con la fila contigua de la referencia original.</x:v>
      </x:c>
      <x:c r="O57" s="29" t="str">
        <x:v>La fila contiene solo una parte de una referencia bibliográfica. Página PDF 52.</x:v>
      </x:c>
      <x:c r="P57" s="28" t="str">
        <x:v>Codex</x:v>
      </x:c>
      <x:c r="Q57" s="30" t="n">
        <x:v>46280.708333333336</x:v>
      </x:c>
    </x:row>
    <x:row r="58">
      <x:c r="A58" s="24" t="str">
        <x:v>R050</x:v>
      </x:c>
      <x:c r="B58" s="24" t="str">
        <x:v>V01</x:v>
      </x:c>
      <x:c r="C58" s="24" t="str">
        <x:v>saki_research/research_vision/research_vision.pdf</x:v>
      </x:c>
      <x:c r="D58" s="24" t="n">
        <x:v>72</x:v>
      </x:c>
      <x:c r="E58" s="24" t="str">
        <x:v>D’Erasmo</x:v>
      </x:c>
      <x:c r="F58" s="26" t="n">
        <x:v>2025</x:v>
      </x:c>
      <x:c r="G58" s="25" t="str"/>
      <x:c r="H58" s="25" t="str">
        <x:v>D’Erasmo, Yepez Draft,2025 A Comparative-Statics Approach to Central Bank Balance Sheets Linzert, Mendo, Schumacher, Thaler In production</x:v>
      </x:c>
      <x:c r="I58" s="25" t="str">
        <x:v>title_not_isolated</x:v>
      </x:c>
      <x:c r="J58" s="28" t="str">
        <x:v>no_es_referencia</x:v>
      </x:c>
      <x:c r="K58" s="28" t="str">
        <x:v>no_aplica</x:v>
      </x:c>
      <x:c r="L58" s="28" t="str">
        <x:v>no_aplica</x:v>
      </x:c>
      <x:c r="M58" s="28" t="str">
        <x:v>no_aplica</x:v>
      </x:c>
      <x:c r="N58" s="29" t="str">
        <x:v>Excluir esta fila del conjunto de referencias.</x:v>
      </x:c>
      <x:c r="O58" s="29" t="str">
        <x:v>Es texto del cuerpo, apéndice o agenda; no una referencia bibliográfica. Página PDF 24.</x:v>
      </x:c>
      <x:c r="P58" s="28" t="str">
        <x:v>Codex</x:v>
      </x:c>
      <x:c r="Q58" s="30" t="n">
        <x:v>46280.708333333336</x:v>
      </x:c>
    </x:row>
    <x:row r="59">
      <x:c r="A59" s="24" t="str">
        <x:v>R051</x:v>
      </x:c>
      <x:c r="B59" s="24" t="str">
        <x:v>W02</x:v>
      </x:c>
      <x:c r="C59" s="24" t="str">
        <x:v>saki_research/working_papers/bigio_sannikov_model_credit_money_interest_prices.pdf</x:v>
      </x:c>
      <x:c r="D59" s="24" t="n">
        <x:v>61</x:v>
      </x:c>
      <x:c r="E59" s="24" t="str">
        <x:v>Ulate</x:v>
      </x:c>
      <x:c r="F59" s="26" t="n">
        <x:v>2020</x:v>
      </x:c>
      <x:c r="G59" s="25" t="str">
        <x:v>Going Negative at the Zero Lower Bound: The Effects of Negative Nominal Interest Rates,</x:v>
      </x:c>
      <x:c r="H59" s="25" t="str">
        <x:v>Ulate, Mauricio , “Going Negative at the Zero Lower Bound: The Effects of Negative Nominal Interest Rates,” American Economic Review, 2020, Forthcoming.</x:v>
      </x:c>
      <x:c r="I59" s="25" t="str"/>
      <x:c r="J59" s="28" t="str">
        <x:v>referencia_correcta</x:v>
      </x:c>
      <x:c r="K59" s="28" t="str">
        <x:v>sí</x:v>
      </x:c>
      <x:c r="L59" s="28" t="str">
        <x:v>sí</x:v>
      </x:c>
      <x:c r="M59" s="28" t="str">
        <x:v>sí</x:v>
      </x:c>
      <x:c r="N59" s="29" t="str"/>
      <x:c r="O59" s="29" t="str">
        <x:v>Contraste independiente con la sección de referencias del PDF. Página PDF 45.</x:v>
      </x:c>
      <x:c r="P59" s="28" t="str">
        <x:v>Codex</x:v>
      </x:c>
      <x:c r="Q59" s="30" t="n">
        <x:v>46280.708333333336</x:v>
      </x:c>
    </x:row>
    <x:row r="60">
      <x:c r="A60" s="24" t="str">
        <x:v>R052</x:v>
      </x:c>
      <x:c r="B60" s="24" t="str">
        <x:v>V01</x:v>
      </x:c>
      <x:c r="C60" s="24" t="str">
        <x:v>saki_research/research_vision/research_vision.pdf</x:v>
      </x:c>
      <x:c r="D60" s="24" t="n">
        <x:v>35</x:v>
      </x:c>
      <x:c r="E60" s="24" t="str">
        <x:v>Diamond</x:v>
      </x:c>
      <x:c r="F60" s="26" t="n">
        <x:v>1984</x:v>
      </x:c>
      <x:c r="G60" s="25" t="str">
        <x:v>Financial Intermediation and Delegated Monitoring,</x:v>
      </x:c>
      <x:c r="H60" s="25" t="str">
        <x:v>Diamond, Douglas W., “Financial Intermediation and Delegated Monitoring,”The Review of Economic Studies,1984,51(3),393–414.</x:v>
      </x:c>
      <x:c r="I60" s="25" t="str"/>
      <x:c r="J60" s="28" t="str">
        <x:v>referencia_correcta</x:v>
      </x:c>
      <x:c r="K60" s="28" t="str">
        <x:v>sí</x:v>
      </x:c>
      <x:c r="L60" s="28" t="str">
        <x:v>sí</x:v>
      </x:c>
      <x:c r="M60" s="28" t="str">
        <x:v>sí</x:v>
      </x:c>
      <x:c r="N60" s="29" t="str"/>
      <x:c r="O60" s="29" t="str">
        <x:v>Contraste independiente con la sección de referencias del PDF. Página PDF 22.</x:v>
      </x:c>
      <x:c r="P60" s="28" t="str">
        <x:v>Codex</x:v>
      </x:c>
      <x:c r="Q60" s="30" t="n">
        <x:v>46280.708333333336</x:v>
      </x:c>
    </x:row>
    <x:row r="61">
      <x:c r="A61" s="24" t="str">
        <x:v>R053</x:v>
      </x:c>
      <x:c r="B61" s="24" t="str">
        <x:v>P11</x:v>
      </x:c>
      <x:c r="C61" s="24" t="str">
        <x:v>saki_research/published_papers/bigio_silva_zilberman_heterogeneous_beliefs_asset_prices_business_cycles.pdf</x:v>
      </x:c>
      <x:c r="D61" s="24" t="n">
        <x:v>70</x:v>
      </x:c>
      <x:c r="E61" s="24" t="str">
        <x:v>Papanikolaou</x:v>
      </x:c>
      <x:c r="F61" s="26" t="str"/>
      <x:c r="G61" s="25" t="str">
        <x:v>Time-Varying Risk Premia and Heterogenous Labor Market Dynamics,</x:v>
      </x:c>
      <x:c r="H61" s="25" t="str">
        <x:v>Papanikolaou, Jonathan Rothbaum, and Lawrence DW Schmidt, “Time-Varying Risk Premia and Heterogenous Labor Market Dynamics,” Technical</x:v>
      </x:c>
      <x:c r="I61" s="25" t="str">
        <x:v>missing_year</x:v>
      </x:c>
      <x:c r="J61" s="28" t="str">
        <x:v>fragmentada</x:v>
      </x:c>
      <x:c r="K61" s="28" t="str">
        <x:v>no_aplica</x:v>
      </x:c>
      <x:c r="L61" s="28" t="str">
        <x:v>no_aplica</x:v>
      </x:c>
      <x:c r="M61" s="28" t="str">
        <x:v>no_aplica</x:v>
      </x:c>
      <x:c r="N61" s="29" t="str">
        <x:v>Unir con la fila contigua de la referencia original.</x:v>
      </x:c>
      <x:c r="O61" s="29" t="str">
        <x:v>La fila contiene solo una parte de una referencia bibliográfica. Página PDF 54.</x:v>
      </x:c>
      <x:c r="P61" s="28" t="str">
        <x:v>Codex</x:v>
      </x:c>
      <x:c r="Q61" s="30" t="n">
        <x:v>46280.708333333336</x:v>
      </x:c>
    </x:row>
    <x:row r="62">
      <x:c r="A62" s="24" t="str">
        <x:v>R054</x:v>
      </x:c>
      <x:c r="B62" s="24" t="str">
        <x:v>P07</x:v>
      </x:c>
      <x:c r="C62" s="24" t="str">
        <x:v>saki_research/published_papers/bianchi_bigio_banks_liquidity_management_monetary_policy.pdf</x:v>
      </x:c>
      <x:c r="D62" s="24" t="n">
        <x:v>11</x:v>
      </x:c>
      <x:c r="E62" s="24" t="str">
        <x:v>Costs</x:v>
      </x:c>
      <x:c r="F62" s="26" t="str"/>
      <x:c r="G62" s="25" t="str"/>
      <x:c r="H62" s="25" t="str">
        <x:v>Costs, Net Worth, and Business Fluctuations,” .</x:v>
      </x:c>
      <x:c r="I62" s="25" t="str">
        <x:v>missing_year; title_not_isolated</x:v>
      </x:c>
      <x:c r="J62" s="28" t="str">
        <x:v>fragmentada</x:v>
      </x:c>
      <x:c r="K62" s="28" t="str">
        <x:v>no_aplica</x:v>
      </x:c>
      <x:c r="L62" s="28" t="str">
        <x:v>no_aplica</x:v>
      </x:c>
      <x:c r="M62" s="28" t="str">
        <x:v>no_aplica</x:v>
      </x:c>
      <x:c r="N62" s="29" t="str">
        <x:v>Unir con la fila contigua de la referencia original.</x:v>
      </x:c>
      <x:c r="O62" s="29" t="str">
        <x:v>La fila contiene solo una parte de una referencia bibliográfica. Página PDF 45.</x:v>
      </x:c>
      <x:c r="P62" s="28" t="str">
        <x:v>Codex</x:v>
      </x:c>
      <x:c r="Q62" s="30" t="n">
        <x:v>46280.708333333336</x:v>
      </x:c>
    </x:row>
    <x:row r="63">
      <x:c r="A63" s="24" t="str">
        <x:v>R055</x:v>
      </x:c>
      <x:c r="B63" s="24" t="str">
        <x:v>W02</x:v>
      </x:c>
      <x:c r="C63" s="24" t="str">
        <x:v>saki_research/working_papers/bigio_sannikov_model_credit_money_interest_prices.pdf</x:v>
      </x:c>
      <x:c r="D63" s="24" t="n">
        <x:v>3</x:v>
      </x:c>
      <x:c r="E63" s="24" t="str">
        <x:v>Department</x:v>
      </x:c>
      <x:c r="F63" s="26" t="n">
        <x:v>2015</x:v>
      </x:c>
      <x:c r="G63" s="25" t="str">
        <x:v>Trade Dynamics in the Market for Federal Funds,</x:v>
      </x:c>
      <x:c r="H63" s="25" t="str">
        <x:v>Department, Working Paper 708. and , “Trade Dynamics in the Market for Federal Funds,” Econometrica, 2015, 83 (1), 263–313.</x:v>
      </x:c>
      <x:c r="I63" s="25" t="str"/>
      <x:c r="J63" s="28" t="str">
        <x:v>fusionada</x:v>
      </x:c>
      <x:c r="K63" s="28" t="str">
        <x:v>no_aplica</x:v>
      </x:c>
      <x:c r="L63" s="28" t="str">
        <x:v>no_aplica</x:v>
      </x:c>
      <x:c r="M63" s="28" t="str">
        <x:v>no_aplica</x:v>
      </x:c>
      <x:c r="N63" s="29" t="str">
        <x:v>Separar las referencias contenidas en esta fila.</x:v>
      </x:c>
      <x:c r="O63" s="29" t="str">
        <x:v>La fila reúne material de dos o más referencias consecutivas. Página PDF 41.</x:v>
      </x:c>
      <x:c r="P63" s="28" t="str">
        <x:v>Codex</x:v>
      </x:c>
      <x:c r="Q63" s="30" t="n">
        <x:v>46280.708333333336</x:v>
      </x:c>
    </x:row>
    <x:row r="64">
      <x:c r="A64" s="24" t="str">
        <x:v>R056</x:v>
      </x:c>
      <x:c r="B64" s="24" t="str">
        <x:v>W05</x:v>
      </x:c>
      <x:c r="C64" s="24" t="str">
        <x:v>saki_research/working_papers/bigio_nuno_decomposing_optimal_debt_maturity.pdf</x:v>
      </x:c>
      <x:c r="D64" s="24" t="n">
        <x:v>14</x:v>
      </x:c>
      <x:c r="E64" s="24" t="str">
        <x:v>Cammack</x:v>
      </x:c>
      <x:c r="F64" s="26" t="n">
        <x:v>1991</x:v>
      </x:c>
      <x:c r="G64" s="25" t="str">
        <x:v>Evidence on Bidding Strategies and the Information in Treasury Bill Auctions,</x:v>
      </x:c>
      <x:c r="H64" s="25" t="str">
        <x:v>Cammack, Elizabeth B., “Evidence on Bidding Strategies and the Information in Treasury Bill Auctions,” Journal of Political Economy, 1991, 99 (1), 100–130. 2</x:v>
      </x:c>
      <x:c r="I64" s="25" t="str"/>
      <x:c r="J64" s="28" t="str">
        <x:v>referencia_correcta</x:v>
      </x:c>
      <x:c r="K64" s="28" t="str">
        <x:v>sí</x:v>
      </x:c>
      <x:c r="L64" s="28" t="str">
        <x:v>sí</x:v>
      </x:c>
      <x:c r="M64" s="28" t="str">
        <x:v>sí</x:v>
      </x:c>
      <x:c r="N64" s="29" t="str"/>
      <x:c r="O64" s="29" t="str">
        <x:v>Contraste independiente con la sección de referencias del PDF. Página PDF 36.</x:v>
      </x:c>
      <x:c r="P64" s="28" t="str">
        <x:v>Codex</x:v>
      </x:c>
      <x:c r="Q64" s="30" t="n">
        <x:v>46280.708333333336</x:v>
      </x:c>
    </x:row>
    <x:row r="65">
      <x:c r="A65" s="24" t="str">
        <x:v>R057</x:v>
      </x:c>
      <x:c r="B65" s="24" t="str">
        <x:v>E01</x:v>
      </x:c>
      <x:c r="C65" s="24" t="str">
        <x:v>saki_research/pre_phd_papers/bigio_ramirez_corrupcion_indicadores_desarrollo_pery_mundo_revision_empirica.pdf</x:v>
      </x:c>
      <x:c r="D65" s="24" t="n">
        <x:v>56</x:v>
      </x:c>
      <x:c r="E65" s="24" t="str">
        <x:v>Wei</x:v>
      </x:c>
      <x:c r="F65" s="26" t="n">
        <x:v>1997</x:v>
      </x:c>
      <x:c r="G65" s="25" t="str">
        <x:v>Wh y is Corruption so Much more Taxing than Tax? Arbitrariness Kills</x:v>
      </x:c>
      <x:c r="H65" s="25" t="str">
        <x:v>Wei, S.-J. (1997): “Wh y is Corruption so Much more Taxing than Tax? Arbitrariness Kills”. NBER Working Paper 6255.</x:v>
      </x:c>
      <x:c r="I65" s="25" t="str"/>
      <x:c r="J65" s="28" t="str">
        <x:v>referencia_correcta</x:v>
      </x:c>
      <x:c r="K65" s="28" t="str">
        <x:v>sí</x:v>
      </x:c>
      <x:c r="L65" s="28" t="str">
        <x:v>sí</x:v>
      </x:c>
      <x:c r="M65" s="28" t="str">
        <x:v>sí</x:v>
      </x:c>
      <x:c r="N65" s="29" t="str"/>
      <x:c r="O65" s="29" t="str">
        <x:v>Contraste independiente con la sección de referencias del PDF. Página PDF 22.</x:v>
      </x:c>
      <x:c r="P65" s="28" t="str">
        <x:v>Codex</x:v>
      </x:c>
      <x:c r="Q65" s="30" t="n">
        <x:v>46280.708333333336</x:v>
      </x:c>
    </x:row>
    <x:row r="66">
      <x:c r="A66" s="24" t="str">
        <x:v>R058</x:v>
      </x:c>
      <x:c r="B66" s="24" t="str">
        <x:v>P10</x:v>
      </x:c>
      <x:c r="C66" s="24" t="str">
        <x:v>saki_research/published_papers/begenau_bigio_majerovitz_vieyra_q_theory_banks.pdf</x:v>
      </x:c>
      <x:c r="D66" s="24" t="n">
        <x:v>4</x:v>
      </x:c>
      <x:c r="E66" s="24" t="str">
        <x:v>Research</x:v>
      </x:c>
      <x:c r="F66" s="26" t="n">
        <x:v>2016</x:v>
      </x:c>
      <x:c r="G66" s="25" t="str"/>
      <x:c r="H66" s="25" t="str">
        <x:v>Research, May 2016, 54 (2). 9, A.2.2</x:v>
      </x:c>
      <x:c r="I66" s="25" t="str">
        <x:v>title_not_isolated</x:v>
      </x:c>
      <x:c r="J66" s="28" t="str">
        <x:v>fragmentada</x:v>
      </x:c>
      <x:c r="K66" s="28" t="str">
        <x:v>no_aplica</x:v>
      </x:c>
      <x:c r="L66" s="28" t="str">
        <x:v>no_aplica</x:v>
      </x:c>
      <x:c r="M66" s="28" t="str">
        <x:v>no_aplica</x:v>
      </x:c>
      <x:c r="N66" s="29" t="str">
        <x:v>Unir con la fila contigua de la referencia original.</x:v>
      </x:c>
      <x:c r="O66" s="29" t="str">
        <x:v>La fila contiene solo una parte de una referencia bibliográfica. Página PDF 43.</x:v>
      </x:c>
      <x:c r="P66" s="28" t="str">
        <x:v>Codex</x:v>
      </x:c>
      <x:c r="Q66" s="30" t="n">
        <x:v>46280.708333333336</x:v>
      </x:c>
    </x:row>
    <x:row r="67">
      <x:c r="A67" s="24" t="str">
        <x:v>R059</x:v>
      </x:c>
      <x:c r="B67" s="24" t="str">
        <x:v>P13</x:v>
      </x:c>
      <x:c r="C67" s="24" t="str">
        <x:v>saki_research/published_papers/bigio_kanzig_sanchez_walsh_carbon_pricing_inequality_normative_pespective.pdf</x:v>
      </x:c>
      <x:c r="D67" s="24" t="n">
        <x:v>17</x:v>
      </x:c>
      <x:c r="E67" s="24" t="str">
        <x:v>Planterose</x:v>
      </x:c>
      <x:c r="F67" s="26" t="n">
        <x:v>2022</x:v>
      </x:c>
      <x:c r="G67" s="25" t="str"/>
      <x:c r="H67" s="25" t="str">
        <x:v>Planterose, Ana Sanchez Chico, and Stefanie Stantcheva (2022). Fighting climate change: International attitudes toward climate policies. Tech. rep. National Bureau of Economic Research. Del</x:v>
      </x:c>
      <x:c r="I67" s="25" t="str">
        <x:v>title_not_isolated</x:v>
      </x:c>
      <x:c r="J67" s="28" t="str">
        <x:v>fusionada</x:v>
      </x:c>
      <x:c r="K67" s="28" t="str">
        <x:v>no_aplica</x:v>
      </x:c>
      <x:c r="L67" s="28" t="str">
        <x:v>no_aplica</x:v>
      </x:c>
      <x:c r="M67" s="28" t="str">
        <x:v>no_aplica</x:v>
      </x:c>
      <x:c r="N67" s="29" t="str">
        <x:v>Separar las referencias contenidas en esta fila.</x:v>
      </x:c>
      <x:c r="O67" s="29" t="str">
        <x:v>La fila reúne material de dos o más referencias consecutivas. Página PDF 28.</x:v>
      </x:c>
      <x:c r="P67" s="28" t="str">
        <x:v>Codex</x:v>
      </x:c>
      <x:c r="Q67" s="30" t="n">
        <x:v>46280.708333333336</x:v>
      </x:c>
    </x:row>
    <x:row r="68">
      <x:c r="A68" s="24" t="str">
        <x:v>R060</x:v>
      </x:c>
      <x:c r="B68" s="24" t="str">
        <x:v>P11</x:v>
      </x:c>
      <x:c r="C68" s="24" t="str">
        <x:v>saki_research/published_papers/bigio_silva_zilberman_heterogeneous_beliefs_asset_prices_business_cycles.pdf</x:v>
      </x:c>
      <x:c r="D68" s="24" t="n">
        <x:v>31</x:v>
      </x:c>
      <x:c r="E68" s="24" t="str">
        <x:v>Gourio</x:v>
      </x:c>
      <x:c r="F68" s="26" t="n">
        <x:v>2019</x:v>
      </x:c>
      <x:c r="G68" s="25" t="str">
        <x:v>The cross-section of labor leverage and equity returns,</x:v>
      </x:c>
      <x:c r="H68" s="25" t="str">
        <x:v>Gourio, Matthias Kehrig, and Miguel Palacios , “The cross-section of labor leverage and equity returns,” Journal of Financial Economics, 2019, 132 (2), 497–518.</x:v>
      </x:c>
      <x:c r="I68" s="25" t="str"/>
      <x:c r="J68" s="28" t="str">
        <x:v>referencia_correcta</x:v>
      </x:c>
      <x:c r="K68" s="28" t="str">
        <x:v>sí</x:v>
      </x:c>
      <x:c r="L68" s="28" t="str">
        <x:v>sí</x:v>
      </x:c>
      <x:c r="M68" s="28" t="str">
        <x:v>sí</x:v>
      </x:c>
      <x:c r="N68" s="29" t="str"/>
      <x:c r="O68" s="29" t="str">
        <x:v>Contraste independiente con la sección de referencias del PDF. Página PDF 51.</x:v>
      </x:c>
      <x:c r="P68" s="28" t="str">
        <x:v>Codex</x:v>
      </x:c>
      <x:c r="Q68" s="30" t="n">
        <x:v>46280.708333333336</x:v>
      </x:c>
    </x:row>
    <x:row r="69">
      <x:c r="A69" s="24" t="str">
        <x:v>R061</x:v>
      </x:c>
      <x:c r="B69" s="24" t="str">
        <x:v>P03</x:v>
      </x:c>
      <x:c r="C69" s="24" t="str">
        <x:v>saki_research/published_papers/bigio_endogenous_liquidity_business_cycle.pdf</x:v>
      </x:c>
      <x:c r="D69" s="24" t="n">
        <x:v>15</x:v>
      </x:c>
      <x:c r="E69" s="24" t="str">
        <x:v>Haltiwanger</x:v>
      </x:c>
      <x:c r="F69" s="26" t="n">
        <x:v>2013</x:v>
      </x:c>
      <x:c r="G69" s="25" t="str">
        <x:v>How Firms Respond to Business Cycles: the Role of Firm Age and Firm Size,</x:v>
      </x:c>
      <x:c r="H69" s="25" t="str">
        <x:v>Haltiwanger, Ron S. Jarmin, and Javier Miranda, “How Firms Respond to Business Cycles: the Role of Firm Age and Firm Size,” 2013. National Bureau of Economic Research Working Paper 19134. 3, 36</x:v>
      </x:c>
      <x:c r="I69" s="25" t="str"/>
      <x:c r="J69" s="28" t="str">
        <x:v>referencia_correcta</x:v>
      </x:c>
      <x:c r="K69" s="28" t="str">
        <x:v>sí</x:v>
      </x:c>
      <x:c r="L69" s="28" t="str">
        <x:v>sí</x:v>
      </x:c>
      <x:c r="M69" s="28" t="str">
        <x:v>sí</x:v>
      </x:c>
      <x:c r="N69" s="29" t="str"/>
      <x:c r="O69" s="29" t="str">
        <x:v>Contraste independiente con la sección de referencias del PDF. Página PDF 42.</x:v>
      </x:c>
      <x:c r="P69" s="28" t="str">
        <x:v>Codex</x:v>
      </x:c>
      <x:c r="Q69" s="30" t="n">
        <x:v>46280.708333333336</x:v>
      </x:c>
    </x:row>
    <x:row r="70">
      <x:c r="A70" s="24" t="str">
        <x:v>R062</x:v>
      </x:c>
      <x:c r="B70" s="24" t="str">
        <x:v>P01</x:v>
      </x:c>
      <x:c r="C70" s="24" t="str">
        <x:v>saki_research/published_papers/bigio_learning_under_fear_floating.pdf</x:v>
      </x:c>
      <x:c r="D70" s="24" t="n">
        <x:v>26</x:v>
      </x:c>
      <x:c r="E70" s="24" t="str">
        <x:v>Frankel</x:v>
      </x:c>
      <x:c r="F70" s="26" t="n">
        <x:v>2005</x:v>
      </x:c>
      <x:c r="G70" s="25" t="str"/>
      <x:c r="H70" s="25" t="str">
        <x:v>Frankel, J., 2005. Contractionary currency crashes in developing countries. IMF Staff Papers, 52, No. 2.</x:v>
      </x:c>
      <x:c r="I70" s="25" t="str">
        <x:v>title_not_isolated</x:v>
      </x:c>
      <x:c r="J70" s="28" t="str">
        <x:v>referencia_correcta</x:v>
      </x:c>
      <x:c r="K70" s="28" t="str">
        <x:v>sí</x:v>
      </x:c>
      <x:c r="L70" s="28" t="str">
        <x:v>sí</x:v>
      </x:c>
      <x:c r="M70" s="28" t="str">
        <x:v>no</x:v>
      </x:c>
      <x:c r="N70" s="29" t="str"/>
      <x:c r="O70" s="29" t="str">
        <x:v>La fila corresponde a una referencia completa, pero el título no quedó aislado por el extractor. Página PDF 1.</x:v>
      </x:c>
      <x:c r="P70" s="28" t="str">
        <x:v>Codex</x:v>
      </x:c>
      <x:c r="Q70" s="30" t="n">
        <x:v>46280.708333333336</x:v>
      </x:c>
    </x:row>
    <x:row r="71">
      <x:c r="A71" s="24" t="str">
        <x:v>R063</x:v>
      </x:c>
      <x:c r="B71" s="24" t="str">
        <x:v>W09</x:v>
      </x:c>
      <x:c r="C71" s="24" t="str">
        <x:v>saki_research/working_papers/abad_bigio_garcia_villegas_marbet_nuno_heterogeneous_bank_lending_channel_monetary_policy.pdf</x:v>
      </x:c>
      <x:c r="D71" s="24" t="n">
        <x:v>32</x:v>
      </x:c>
      <x:c r="E71" s="24" t="str">
        <x:v>Saurina</x:v>
      </x:c>
      <x:c r="F71" s="26" t="n">
        <x:v>2012</x:v>
      </x:c>
      <x:c r="G71" s="25" t="str"/>
      <x:c r="H71" s="25" t="str">
        <x:v>Saurina, J. (2012). Credit supply and monetary policy: Identifying the bank balance-sheet channel with loan applications. American Economic Review, 102(5):2301–26.</x:v>
      </x:c>
      <x:c r="I71" s="25" t="str">
        <x:v>title_not_isolated</x:v>
      </x:c>
      <x:c r="J71" s="28" t="str">
        <x:v>referencia_correcta</x:v>
      </x:c>
      <x:c r="K71" s="28" t="str">
        <x:v>sí</x:v>
      </x:c>
      <x:c r="L71" s="28" t="str">
        <x:v>sí</x:v>
      </x:c>
      <x:c r="M71" s="28" t="str">
        <x:v>no</x:v>
      </x:c>
      <x:c r="N71" s="29" t="str"/>
      <x:c r="O71" s="29" t="str">
        <x:v>La fila corresponde a una referencia completa, pero el título no quedó aislado por el extractor. Página PDF 38.</x:v>
      </x:c>
      <x:c r="P71" s="28" t="str">
        <x:v>Codex</x:v>
      </x:c>
      <x:c r="Q71" s="30" t="n">
        <x:v>46280.708333333336</x:v>
      </x:c>
    </x:row>
    <x:row r="72">
      <x:c r="A72" s="24" t="str">
        <x:v>R064</x:v>
      </x:c>
      <x:c r="B72" s="24" t="str">
        <x:v>P07</x:v>
      </x:c>
      <x:c r="C72" s="24" t="str">
        <x:v>saki_research/published_papers/bianchi_bigio_banks_liquidity_management_monetary_policy.pdf</x:v>
      </x:c>
      <x:c r="D72" s="24" t="n">
        <x:v>25</x:v>
      </x:c>
      <x:c r="E72" s="24" t="str">
        <x:v>Curdia</x:v>
      </x:c>
      <x:c r="F72" s="26" t="n">
        <x:v>2009</x:v>
      </x:c>
      <x:c r="G72" s="25" t="str">
        <x:v>Conventional and Unconventional Monetary Policy,</x:v>
      </x:c>
      <x:c r="H72" s="25" t="str">
        <x:v>Curdia, V. and M. Woodford(2009): “Conventional and Unconventional Monetary Policy,” Staﬀ Report 404, Federal Reserve Bank of New York. De</x:v>
      </x:c>
      <x:c r="I72" s="25" t="str"/>
      <x:c r="J72" s="28" t="str">
        <x:v>fusionada</x:v>
      </x:c>
      <x:c r="K72" s="28" t="str">
        <x:v>no_aplica</x:v>
      </x:c>
      <x:c r="L72" s="28" t="str">
        <x:v>no_aplica</x:v>
      </x:c>
      <x:c r="M72" s="28" t="str">
        <x:v>no_aplica</x:v>
      </x:c>
      <x:c r="N72" s="29" t="str">
        <x:v>Separar las referencias contenidas en esta fila.</x:v>
      </x:c>
      <x:c r="O72" s="29" t="str">
        <x:v>La fila reúne material de dos o más referencias consecutivas. Página PDF 46.</x:v>
      </x:c>
      <x:c r="P72" s="28" t="str">
        <x:v>Codex</x:v>
      </x:c>
      <x:c r="Q72" s="30" t="n">
        <x:v>46280.708333333336</x:v>
      </x:c>
    </x:row>
    <x:row r="73">
      <x:c r="A73" s="24" t="str">
        <x:v>R065</x:v>
      </x:c>
      <x:c r="B73" s="24" t="str">
        <x:v>W11</x:v>
      </x:c>
      <x:c r="C73" s="24" t="str">
        <x:v>saki_research/working_papers/bigio_castillo_han_dollar_liquidity_flows_soe.pdf</x:v>
      </x:c>
      <x:c r="D73" s="24" t="n">
        <x:v>9</x:v>
      </x:c>
      <x:c r="E73" s="24" t="str">
        <x:v>Cavallino</x:v>
      </x:c>
      <x:c r="F73" s="26" t="n">
        <x:v>2019</x:v>
      </x:c>
      <x:c r="G73" s="25" t="str">
        <x:v>Capital Flows and Foreign Exchange Intervention.</x:v>
      </x:c>
      <x:c r="H73" s="25" t="str">
        <x:v>Cavallino, Paolo. 2019. “Capital Flows and Foreign Exchange Intervention.” American Economic Journal: Macroeconomics 11(2):12770. URL: https://www.aeaweb.org/articles?id=10.1257/mac.20160065</x:v>
      </x:c>
      <x:c r="I73" s="25" t="str"/>
      <x:c r="J73" s="28" t="str">
        <x:v>referencia_correcta</x:v>
      </x:c>
      <x:c r="K73" s="28" t="str">
        <x:v>sí</x:v>
      </x:c>
      <x:c r="L73" s="28" t="str">
        <x:v>sí</x:v>
      </x:c>
      <x:c r="M73" s="28" t="str">
        <x:v>sí</x:v>
      </x:c>
      <x:c r="N73" s="29" t="str"/>
      <x:c r="O73" s="29" t="str">
        <x:v>Contraste independiente con la sección de referencias del PDF. Página PDF 54.</x:v>
      </x:c>
      <x:c r="P73" s="28" t="str">
        <x:v>Codex</x:v>
      </x:c>
      <x:c r="Q73" s="30" t="n">
        <x:v>46280.708333333336</x:v>
      </x:c>
    </x:row>
    <x:row r="74">
      <x:c r="A74" s="24" t="str">
        <x:v>R066</x:v>
      </x:c>
      <x:c r="B74" s="24" t="str">
        <x:v>W07</x:v>
      </x:c>
      <x:c r="C74" s="24" t="str">
        <x:v>saki_research/working_papers/bigio_d_erasmo_yepez_monetary_policy_implementation_regimes_reserve_demand_us.pdf</x:v>
      </x:c>
      <x:c r="D74" s="24" t="n">
        <x:v>31</x:v>
      </x:c>
      <x:c r="E74" s="24" t="str">
        <x:v>Roberds</x:v>
      </x:c>
      <x:c r="F74" s="26" t="n">
        <x:v>1998</x:v>
      </x:c>
      <x:c r="G74" s="25" t="str">
        <x:v>The Supply and Demand for Federal Reserve Deposits: A Comment,</x:v>
      </x:c>
      <x:c r="H74" s="25" t="str">
        <x:v>Roberds, William, “The Supply and Demand for Federal Reserve Deposits: A Comment,” Carnegie-Rochester Conference Series on Public Policy , 1998, 49, 45–52.</x:v>
      </x:c>
      <x:c r="I74" s="25" t="str"/>
      <x:c r="J74" s="28" t="str">
        <x:v>referencia_correcta</x:v>
      </x:c>
      <x:c r="K74" s="28" t="str">
        <x:v>sí</x:v>
      </x:c>
      <x:c r="L74" s="28" t="str">
        <x:v>sí</x:v>
      </x:c>
      <x:c r="M74" s="28" t="str">
        <x:v>sí</x:v>
      </x:c>
      <x:c r="N74" s="29" t="str"/>
      <x:c r="O74" s="29" t="str">
        <x:v>Contraste independiente con la sección de referencias del PDF. Página PDF 43.</x:v>
      </x:c>
      <x:c r="P74" s="28" t="str">
        <x:v>Codex</x:v>
      </x:c>
      <x:c r="Q74" s="30" t="n">
        <x:v>46280.708333333336</x:v>
      </x:c>
    </x:row>
    <x:row r="75">
      <x:c r="A75" s="24" t="str">
        <x:v>R067</x:v>
      </x:c>
      <x:c r="B75" s="24" t="str">
        <x:v>E01</x:v>
      </x:c>
      <x:c r="C75" s="24" t="str">
        <x:v>saki_research/pre_phd_papers/bigio_ramirez_corrupcion_indicadores_desarrollo_pery_mundo_revision_empirica.pdf</x:v>
      </x:c>
      <x:c r="D75" s="24" t="n">
        <x:v>50</x:v>
      </x:c>
      <x:c r="E75" s="24" t="str">
        <x:v>Tanzi</x:v>
      </x:c>
      <x:c r="F75" s="26" t="n">
        <x:v>1998</x:v>
      </x:c>
      <x:c r="G75" s="25" t="str">
        <x:v>Roads to Nowhere: How Corruption in Public Investment Hurts Growth.</x:v>
      </x:c>
      <x:c r="H75" s="25" t="str">
        <x:v>Tanzi, V. y H. Davoodi (1998): “Roads to Nowhere: How Corruption in Public Investment Hurts Growth.” Economic Issues 12. Washington , D.C.: International Monetary Fund (IMF).</x:v>
      </x:c>
      <x:c r="I75" s="25" t="str"/>
      <x:c r="J75" s="28" t="str">
        <x:v>referencia_correcta</x:v>
      </x:c>
      <x:c r="K75" s="28" t="str">
        <x:v>sí</x:v>
      </x:c>
      <x:c r="L75" s="28" t="str">
        <x:v>sí</x:v>
      </x:c>
      <x:c r="M75" s="28" t="str">
        <x:v>sí</x:v>
      </x:c>
      <x:c r="N75" s="29" t="str"/>
      <x:c r="O75" s="29" t="str">
        <x:v>Contraste independiente con la sección de referencias del PDF. Página PDF 22.</x:v>
      </x:c>
      <x:c r="P75" s="28" t="str">
        <x:v>Codex</x:v>
      </x:c>
      <x:c r="Q75" s="30" t="n">
        <x:v>46280.708333333336</x:v>
      </x:c>
    </x:row>
    <x:row r="76">
      <x:c r="A76" s="24" t="str">
        <x:v>R068</x:v>
      </x:c>
      <x:c r="B76" s="24" t="str">
        <x:v>P07</x:v>
      </x:c>
      <x:c r="C76" s="24" t="str">
        <x:v>saki_research/published_papers/bianchi_bigio_banks_liquidity_management_monetary_policy.pdf</x:v>
      </x:c>
      <x:c r="D76" s="24" t="n">
        <x:v>26</x:v>
      </x:c>
      <x:c r="E76" s="24" t="str">
        <x:v>Fiore</x:v>
      </x:c>
      <x:c r="F76" s="26" t="n">
        <x:v>2018</x:v>
      </x:c>
      <x:c r="G76" s="25" t="str"/>
      <x:c r="H76" s="25" t="str">
        <x:v>Fiore, F., M. Hoerova, and H. Uhlig (2018): “Money</x:v>
      </x:c>
      <x:c r="I76" s="25" t="str">
        <x:v>title_not_isolated</x:v>
      </x:c>
      <x:c r="J76" s="28" t="str">
        <x:v>fragmentada</x:v>
      </x:c>
      <x:c r="K76" s="28" t="str">
        <x:v>no_aplica</x:v>
      </x:c>
      <x:c r="L76" s="28" t="str">
        <x:v>no_aplica</x:v>
      </x:c>
      <x:c r="M76" s="28" t="str">
        <x:v>no_aplica</x:v>
      </x:c>
      <x:c r="N76" s="29" t="str">
        <x:v>Unir con la fila contigua de la referencia original.</x:v>
      </x:c>
      <x:c r="O76" s="29" t="str">
        <x:v>La fila contiene solo una parte de una referencia bibliográfica. Página PDF 46.</x:v>
      </x:c>
      <x:c r="P76" s="28" t="str">
        <x:v>Codex</x:v>
      </x:c>
      <x:c r="Q76" s="30" t="n">
        <x:v>46280.708333333336</x:v>
      </x:c>
    </x:row>
    <x:row r="77">
      <x:c r="A77" s="24" t="str">
        <x:v>R069</x:v>
      </x:c>
      <x:c r="B77" s="24" t="str">
        <x:v>E01</x:v>
      </x:c>
      <x:c r="C77" s="24" t="str">
        <x:v>saki_research/pre_phd_papers/bigio_ramirez_corrupcion_indicadores_desarrollo_pery_mundo_revision_empirica.pdf</x:v>
      </x:c>
      <x:c r="D77" s="24" t="n">
        <x:v>31</x:v>
      </x:c>
      <x:c r="E77" s="24" t="str">
        <x:v>Calderón</x:v>
      </x:c>
      <x:c r="F77" s="26" t="n">
        <x:v>2005</x:v>
      </x:c>
      <x:c r="G77" s="25" t="str"/>
      <x:c r="H77" s="25" t="str">
        <x:v>Calderón, C. (2005): “Economic Growth in Latin Americ a and the Caribbean. Stylized</x:v>
      </x:c>
      <x:c r="I77" s="25" t="str">
        <x:v>title_not_isolated</x:v>
      </x:c>
      <x:c r="J77" s="28" t="str">
        <x:v>fragmentada</x:v>
      </x:c>
      <x:c r="K77" s="28" t="str">
        <x:v>no_aplica</x:v>
      </x:c>
      <x:c r="L77" s="28" t="str">
        <x:v>no_aplica</x:v>
      </x:c>
      <x:c r="M77" s="28" t="str">
        <x:v>no_aplica</x:v>
      </x:c>
      <x:c r="N77" s="29" t="str">
        <x:v>Unir con la fila contigua de la referencia original.</x:v>
      </x:c>
      <x:c r="O77" s="29" t="str">
        <x:v>La fila contiene solo una parte de una referencia bibliográfica. Página PDF 21.</x:v>
      </x:c>
      <x:c r="P77" s="28" t="str">
        <x:v>Codex</x:v>
      </x:c>
      <x:c r="Q77" s="30" t="n">
        <x:v>46280.708333333336</x:v>
      </x:c>
    </x:row>
    <x:row r="78">
      <x:c r="A78" s="24" t="str">
        <x:v>R070</x:v>
      </x:c>
      <x:c r="B78" s="24" t="str">
        <x:v>P09</x:v>
      </x:c>
      <x:c r="C78" s="24" t="str">
        <x:v>saki_research/published_papers/bigio_shi_repurchase_options_market_lemons.pdf</x:v>
      </x:c>
      <x:c r="D78" s="24" t="n">
        <x:v>19</x:v>
      </x:c>
      <x:c r="E78" s="24" t="str">
        <x:v>Duffie</x:v>
      </x:c>
      <x:c r="F78" s="26" t="n">
        <x:v>1996</x:v>
      </x:c>
      <x:c r="G78" s="25" t="str">
        <x:v>Special Repo Rates,</x:v>
      </x:c>
      <x:c r="H78" s="25" t="str">
        <x:v>Duffie, Darrell, “Special Repo Rates,”The Journal of Finance, 1996,51 (2), 493–526.</x:v>
      </x:c>
      <x:c r="I78" s="25" t="str"/>
      <x:c r="J78" s="28" t="str">
        <x:v>referencia_correcta</x:v>
      </x:c>
      <x:c r="K78" s="28" t="str">
        <x:v>sí</x:v>
      </x:c>
      <x:c r="L78" s="28" t="str">
        <x:v>sí</x:v>
      </x:c>
      <x:c r="M78" s="28" t="str">
        <x:v>sí</x:v>
      </x:c>
      <x:c r="N78" s="29" t="str"/>
      <x:c r="O78" s="29" t="str">
        <x:v>Contraste independiente con la sección de referencias del PDF. Página PDF 36.</x:v>
      </x:c>
      <x:c r="P78" s="28" t="str">
        <x:v>Codex</x:v>
      </x:c>
      <x:c r="Q78" s="30" t="n">
        <x:v>46280.708333333336</x:v>
      </x:c>
    </x:row>
    <x:row r="79">
      <x:c r="A79" s="24" t="str">
        <x:v>R071</x:v>
      </x:c>
      <x:c r="B79" s="24" t="str">
        <x:v>P09</x:v>
      </x:c>
      <x:c r="C79" s="24" t="str">
        <x:v>saki_research/published_papers/bigio_shi_repurchase_options_market_lemons.pdf</x:v>
      </x:c>
      <x:c r="D79" s="24" t="n">
        <x:v>29</x:v>
      </x:c>
      <x:c r="E79" s="24" t="str">
        <x:v>Gary</x:v>
      </x:c>
      <x:c r="F79" s="26" t="n">
        <x:v>2020</x:v>
      </x:c>
      <x:c r="G79" s="25" t="str">
        <x:v>The Run on Repo and the Fed</x:v>
      </x:c>
      <x:c r="H79" s="25" t="str">
        <x:v>Gary, Toomas Laarits, and Andrew Metrick, “The Run on Repo and the Fed’s Response,” Journal of Financial Stability, 2020,48, 100744.</x:v>
      </x:c>
      <x:c r="I79" s="25" t="str"/>
      <x:c r="J79" s="28" t="str">
        <x:v>fragmentada</x:v>
      </x:c>
      <x:c r="K79" s="28" t="str">
        <x:v>no_aplica</x:v>
      </x:c>
      <x:c r="L79" s="28" t="str">
        <x:v>no_aplica</x:v>
      </x:c>
      <x:c r="M79" s="28" t="str">
        <x:v>no_aplica</x:v>
      </x:c>
      <x:c r="N79" s="29" t="str">
        <x:v>Unir con la fila contigua de la referencia original.</x:v>
      </x:c>
      <x:c r="O79" s="29" t="str">
        <x:v>La fila contiene solo una parte de una referencia bibliográfica. Página PDF 37.</x:v>
      </x:c>
      <x:c r="P79" s="28" t="str">
        <x:v>Codex</x:v>
      </x:c>
      <x:c r="Q79" s="30" t="n">
        <x:v>46280.708333333336</x:v>
      </x:c>
    </x:row>
    <x:row r="80">
      <x:c r="A80" s="24" t="str">
        <x:v>R072</x:v>
      </x:c>
      <x:c r="B80" s="24" t="str">
        <x:v>W06</x:v>
      </x:c>
      <x:c r="C80" s="24" t="str">
        <x:v>saki_research/working_papers/bigio_zhang_zilberman_transfers_credit_policy_macroeconomic_policy_trade_offs_during_covid_19.pdf</x:v>
      </x:c>
      <x:c r="D80" s="24" t="n">
        <x:v>17</x:v>
      </x:c>
      <x:c r="E80" s="24" t="str">
        <x:v>Dirk</x:v>
      </x:c>
      <x:c r="F80" s="26" t="n">
        <x:v>2020</x:v>
      </x:c>
      <x:c r="G80" s="25" t="str">
        <x:v>Macroeconomic Dynamics and Reallocation in an Epidemic,</x:v>
      </x:c>
      <x:c r="H80" s="25" t="str">
        <x:v>Dirk, Harald Uhlig, and Taojun Xie , “Macroeconomic Dynamics and Reallocation in an Epidemic,” 2020.</x:v>
      </x:c>
      <x:c r="I80" s="25" t="str"/>
      <x:c r="J80" s="28" t="str">
        <x:v>fragmentada</x:v>
      </x:c>
      <x:c r="K80" s="28" t="str">
        <x:v>no_aplica</x:v>
      </x:c>
      <x:c r="L80" s="28" t="str">
        <x:v>no_aplica</x:v>
      </x:c>
      <x:c r="M80" s="28" t="str">
        <x:v>no_aplica</x:v>
      </x:c>
      <x:c r="N80" s="29" t="str">
        <x:v>Unir con la fila contigua de la referencia original.</x:v>
      </x:c>
      <x:c r="O80" s="29" t="str">
        <x:v>La fila contiene solo una parte de una referencia bibliográfica. Página PDF 26.</x:v>
      </x:c>
      <x:c r="P80" s="28" t="str">
        <x:v>Codex</x:v>
      </x:c>
      <x:c r="Q80" s="30" t="n">
        <x:v>46280.708333333336</x:v>
      </x:c>
    </x:row>
    <x:row r="81">
      <x:c r="A81" s="24" t="str">
        <x:v>R073</x:v>
      </x:c>
      <x:c r="B81" s="24" t="str">
        <x:v>P03</x:v>
      </x:c>
      <x:c r="C81" s="24" t="str">
        <x:v>saki_research/published_papers/bigio_endogenous_liquidity_business_cycle.pdf</x:v>
      </x:c>
      <x:c r="D81" s="24" t="n">
        <x:v>18</x:v>
      </x:c>
      <x:c r="E81" s="24" t="str">
        <x:v>Hansen</x:v>
      </x:c>
      <x:c r="F81" s="26" t="n">
        <x:v>1982</x:v>
      </x:c>
      <x:c r="G81" s="25" t="str">
        <x:v>Large Sample Properties of Generalized Method of Moments Estimators,</x:v>
      </x:c>
      <x:c r="H81" s="25" t="str">
        <x:v>Hansen, Lars Peter, “Large Sample Properties of Generalized Method of Moments Estimators,” Econometrica, 1982, 50 (4), 1029–1054. 30</x:v>
      </x:c>
      <x:c r="I81" s="25" t="str"/>
      <x:c r="J81" s="28" t="str">
        <x:v>referencia_correcta</x:v>
      </x:c>
      <x:c r="K81" s="28" t="str">
        <x:v>sí</x:v>
      </x:c>
      <x:c r="L81" s="28" t="str">
        <x:v>sí</x:v>
      </x:c>
      <x:c r="M81" s="28" t="str">
        <x:v>sí</x:v>
      </x:c>
      <x:c r="N81" s="29" t="str"/>
      <x:c r="O81" s="29" t="str">
        <x:v>Contraste independiente con la sección de referencias del PDF. Página PDF 43.</x:v>
      </x:c>
      <x:c r="P81" s="28" t="str">
        <x:v>Codex</x:v>
      </x:c>
      <x:c r="Q81" s="30" t="n">
        <x:v>46280.708333333336</x:v>
      </x:c>
    </x:row>
    <x:row r="82">
      <x:c r="A82" s="24" t="str">
        <x:v>R074</x:v>
      </x:c>
      <x:c r="B82" s="24" t="str">
        <x:v>W07</x:v>
      </x:c>
      <x:c r="C82" s="24" t="str">
        <x:v>saki_research/working_papers/bigio_d_erasmo_yepez_monetary_policy_implementation_regimes_reserve_demand_us.pdf</x:v>
      </x:c>
      <x:c r="D82" s="24" t="n">
        <x:v>12</x:v>
      </x:c>
      <x:c r="E82" s="24" t="str">
        <x:v>Friedman</x:v>
      </x:c>
      <x:c r="F82" s="26" t="n">
        <x:v>1956</x:v>
      </x:c>
      <x:c r="G82" s="25" t="str"/>
      <x:c r="H82" s="25" t="str">
        <x:v>Friedman, Milton , Studies in the Quantity Theory of Money , Chicago: University of Chicago Press, 1956.</x:v>
      </x:c>
      <x:c r="I82" s="25" t="str">
        <x:v>title_not_isolated</x:v>
      </x:c>
      <x:c r="J82" s="28" t="str">
        <x:v>referencia_correcta</x:v>
      </x:c>
      <x:c r="K82" s="28" t="str">
        <x:v>sí</x:v>
      </x:c>
      <x:c r="L82" s="28" t="str">
        <x:v>sí</x:v>
      </x:c>
      <x:c r="M82" s="28" t="str">
        <x:v>no</x:v>
      </x:c>
      <x:c r="N82" s="29" t="str"/>
      <x:c r="O82" s="29" t="str">
        <x:v>La fila corresponde a una referencia completa, pero el título no quedó aislado por el extractor. Página PDF 41.</x:v>
      </x:c>
      <x:c r="P82" s="28" t="str">
        <x:v>Codex</x:v>
      </x:c>
      <x:c r="Q82" s="30" t="n">
        <x:v>46280.708333333336</x:v>
      </x:c>
    </x:row>
    <x:row r="83">
      <x:c r="A83" s="24" t="str">
        <x:v>R075</x:v>
      </x:c>
      <x:c r="B83" s="24" t="str">
        <x:v>W08</x:v>
      </x:c>
      <x:c r="C83" s="24" t="str">
        <x:v>saki_research/working_papers/bigio_mendez_patten_theory_payments_chain_crises.pdf</x:v>
      </x:c>
      <x:c r="D83" s="24" t="n">
        <x:v>35</x:v>
      </x:c>
      <x:c r="E83" s="24" t="str">
        <x:v>Taschereau-Dumouchel</x:v>
      </x:c>
      <x:c r="F83" s="26" t="n">
        <x:v>2022</x:v>
      </x:c>
      <x:c r="G83" s="25" t="str">
        <x:v>Cascades and Fluctuations in an Economy with an Endogenous Production Network,</x:v>
      </x:c>
      <x:c r="H83" s="25" t="str">
        <x:v>Taschereau-Dumouchel, Mathieu, “Cascades and Fluctuations in an Economy with an Endogenous Production Network,” 2022. 1</x:v>
      </x:c>
      <x:c r="I83" s="25" t="str"/>
      <x:c r="J83" s="28" t="str">
        <x:v>referencia_correcta</x:v>
      </x:c>
      <x:c r="K83" s="28" t="str">
        <x:v>sí</x:v>
      </x:c>
      <x:c r="L83" s="28" t="str">
        <x:v>sí</x:v>
      </x:c>
      <x:c r="M83" s="28" t="str">
        <x:v>sí</x:v>
      </x:c>
      <x:c r="N83" s="29" t="str"/>
      <x:c r="O83" s="29" t="str">
        <x:v>Contraste independiente con la sección de referencias del PDF. Página PDF 53.</x:v>
      </x:c>
      <x:c r="P83" s="28" t="str">
        <x:v>Codex</x:v>
      </x:c>
      <x:c r="Q83" s="30" t="n">
        <x:v>46280.708333333336</x:v>
      </x:c>
    </x:row>
    <x:row r="84">
      <x:c r="A84" s="24" t="str">
        <x:v>R076</x:v>
      </x:c>
      <x:c r="B84" s="24" t="str">
        <x:v>P10</x:v>
      </x:c>
      <x:c r="C84" s="24" t="str">
        <x:v>saki_research/published_papers/begenau_bigio_majerovitz_vieyra_q_theory_banks.pdf</x:v>
      </x:c>
      <x:c r="D84" s="24" t="n">
        <x:v>3</x:v>
      </x:c>
      <x:c r="E84" s="24" t="str">
        <x:v>Acharya</x:v>
      </x:c>
      <x:c r="F84" s="26" t="str"/>
      <x:c r="G84" s="25" t="str">
        <x:v>Banks’ Financial Reporting and Financial System Stability,</x:v>
      </x:c>
      <x:c r="H84" s="25" t="str">
        <x:v>Acharya, Viral V. and Stephen G. Ryan, “Banks’ Financial Reporting and Financial System Stability,” Journal of Accounting</x:v>
      </x:c>
      <x:c r="I84" s="25" t="str">
        <x:v>missing_year</x:v>
      </x:c>
      <x:c r="J84" s="28" t="str">
        <x:v>fragmentada</x:v>
      </x:c>
      <x:c r="K84" s="28" t="str">
        <x:v>no_aplica</x:v>
      </x:c>
      <x:c r="L84" s="28" t="str">
        <x:v>no_aplica</x:v>
      </x:c>
      <x:c r="M84" s="28" t="str">
        <x:v>no_aplica</x:v>
      </x:c>
      <x:c r="N84" s="29" t="str">
        <x:v>Unir con la fila contigua de la referencia original.</x:v>
      </x:c>
      <x:c r="O84" s="29" t="str">
        <x:v>La fila contiene solo una parte de una referencia bibliográfica. Página PDF 43.</x:v>
      </x:c>
      <x:c r="P84" s="28" t="str">
        <x:v>Codex</x:v>
      </x:c>
      <x:c r="Q84" s="30" t="n">
        <x:v>46280.708333333336</x:v>
      </x:c>
    </x:row>
    <x:row r="85">
      <x:c r="A85" s="24" t="str">
        <x:v>R077</x:v>
      </x:c>
      <x:c r="B85" s="24" t="str">
        <x:v>E01</x:v>
      </x:c>
      <x:c r="C85" s="24" t="str">
        <x:v>saki_research/pre_phd_papers/bigio_ramirez_corrupcion_indicadores_desarrollo_pery_mundo_revision_empirica.pdf</x:v>
      </x:c>
      <x:c r="D85" s="24" t="n">
        <x:v>28</x:v>
      </x:c>
      <x:c r="E85" s="24" t="str">
        <x:v>Leite</x:v>
      </x:c>
      <x:c r="F85" s="26" t="n">
        <x:v>2002</x:v>
      </x:c>
      <x:c r="G85" s="25" t="str">
        <x:v>Does Mother Nature Corrupt? Natural Resources, Corruption and Economic Growth.</x:v>
      </x:c>
      <x:c r="H85" s="25" t="str">
        <x:v>Leite, C. y J. Weidmann (2002): “Does Mother Nature Corrupt? Natural Resources, Corruption and Economic Growth.” En:</x:v>
      </x:c>
      <x:c r="I85" s="25" t="str"/>
      <x:c r="J85" s="28" t="str">
        <x:v>fragmentada</x:v>
      </x:c>
      <x:c r="K85" s="28" t="str">
        <x:v>no_aplica</x:v>
      </x:c>
      <x:c r="L85" s="28" t="str">
        <x:v>no_aplica</x:v>
      </x:c>
      <x:c r="M85" s="28" t="str">
        <x:v>no_aplica</x:v>
      </x:c>
      <x:c r="N85" s="29" t="str">
        <x:v>Unir con la fila contigua de la referencia original.</x:v>
      </x:c>
      <x:c r="O85" s="29" t="str">
        <x:v>La fila contiene solo una parte de una referencia bibliográfica. Página PDF 21.</x:v>
      </x:c>
      <x:c r="P85" s="28" t="str">
        <x:v>Codex</x:v>
      </x:c>
      <x:c r="Q85" s="30" t="n">
        <x:v>46280.708333333336</x:v>
      </x:c>
    </x:row>
    <x:row r="86">
      <x:c r="A86" s="24" t="str">
        <x:v>R078</x:v>
      </x:c>
      <x:c r="B86" s="24" t="str">
        <x:v>P13</x:v>
      </x:c>
      <x:c r="C86" s="24" t="str">
        <x:v>saki_research/published_papers/bigio_kanzig_sanchez_walsh_carbon_pricing_inequality_normative_pespective.pdf</x:v>
      </x:c>
      <x:c r="D86" s="24" t="n">
        <x:v>3</x:v>
      </x:c>
      <x:c r="E86" s="24" t="str">
        <x:v>Andersson</x:v>
      </x:c>
      <x:c r="F86" s="26" t="n">
        <x:v>2019</x:v>
      </x:c>
      <x:c r="G86" s="25" t="str">
        <x:v>Carbon taxes and CO2 emissions: Sweden as a case study</x:v>
      </x:c>
      <x:c r="H86" s="25" t="str">
        <x:v>Andersson, Julius J. (2019). “Carbon taxes and CO2 emissions: Sweden as a case study”. American Economic Journal: Economic Policy 11.4, pp. 1–30.</x:v>
      </x:c>
      <x:c r="I86" s="25" t="str"/>
      <x:c r="J86" s="28" t="str">
        <x:v>referencia_correcta</x:v>
      </x:c>
      <x:c r="K86" s="28" t="str">
        <x:v>sí</x:v>
      </x:c>
      <x:c r="L86" s="28" t="str">
        <x:v>sí</x:v>
      </x:c>
      <x:c r="M86" s="28" t="str">
        <x:v>sí</x:v>
      </x:c>
      <x:c r="N86" s="29" t="str"/>
      <x:c r="O86" s="29" t="str">
        <x:v>Contraste independiente con la sección de referencias del PDF. Página PDF 27.</x:v>
      </x:c>
      <x:c r="P86" s="28" t="str">
        <x:v>Codex</x:v>
      </x:c>
      <x:c r="Q86" s="30" t="n">
        <x:v>46280.708333333336</x:v>
      </x:c>
    </x:row>
    <x:row r="87">
      <x:c r="A87" s="24" t="str">
        <x:v>R079</x:v>
      </x:c>
      <x:c r="B87" s="24" t="str">
        <x:v>W07</x:v>
      </x:c>
      <x:c r="C87" s="24" t="str">
        <x:v>saki_research/working_papers/bigio_d_erasmo_yepez_monetary_policy_implementation_regimes_reserve_demand_us.pdf</x:v>
      </x:c>
      <x:c r="D87" s="24" t="n">
        <x:v>8</x:v>
      </x:c>
      <x:c r="E87" s="24" t="str">
        <x:v>Bianchi</x:v>
      </x:c>
      <x:c r="F87" s="26" t="n">
        <x:v>2022</x:v>
      </x:c>
      <x:c r="G87" s="25" t="str">
        <x:v>Banks, liquidity management, and monetary policy,</x:v>
      </x:c>
      <x:c r="H87" s="25" t="str">
        <x:v>Bianchi, Javier and Saki Bigio , “Banks, liquidity management, and monetary policy,” Econometrica, 2022, 90 (1), 391–454. and , “Portfolio Choice and Settlement Frictions: a Theory of Endogenous Convenience Yields,” 2025. Working Paper.</x:v>
      </x:c>
      <x:c r="I87" s="25" t="str"/>
      <x:c r="J87" s="28" t="str">
        <x:v>fusionada</x:v>
      </x:c>
      <x:c r="K87" s="28" t="str">
        <x:v>no_aplica</x:v>
      </x:c>
      <x:c r="L87" s="28" t="str">
        <x:v>no_aplica</x:v>
      </x:c>
      <x:c r="M87" s="28" t="str">
        <x:v>no_aplica</x:v>
      </x:c>
      <x:c r="N87" s="29" t="str">
        <x:v>Separar las referencias contenidas en esta fila.</x:v>
      </x:c>
      <x:c r="O87" s="29" t="str">
        <x:v>La fila reúne material de dos o más referencias consecutivas. Página PDF 41.</x:v>
      </x:c>
      <x:c r="P87" s="28" t="str">
        <x:v>Codex</x:v>
      </x:c>
      <x:c r="Q87" s="30" t="n">
        <x:v>46280.708333333336</x:v>
      </x:c>
    </x:row>
    <x:row r="88">
      <x:c r="A88" s="24" t="str">
        <x:v>R080</x:v>
      </x:c>
      <x:c r="B88" s="24" t="str">
        <x:v>E02</x:v>
      </x:c>
      <x:c r="C88" s="24" t="str">
        <x:v>saki_research/pre_phd_papers/bigio_salas_non_linear_effects_monetary_policy_real_exchange_rate_shocks_partially_dollarized_economies_empirical_study_peru.pdf</x:v>
      </x:c>
      <x:c r="D88" s="24" t="n">
        <x:v>5</x:v>
      </x:c>
      <x:c r="E88" s="24" t="str">
        <x:v>Costs</x:v>
      </x:c>
      <x:c r="F88" s="26" t="str"/>
      <x:c r="G88" s="25" t="str"/>
      <x:c r="H88" s="25" t="str">
        <x:v>Costs, Net Worth, and Business Fluctuations”, American Economic Review, vol. 79, no 1, pp. 14-31.</x:v>
      </x:c>
      <x:c r="I88" s="25" t="str">
        <x:v>missing_year; title_not_isolated</x:v>
      </x:c>
      <x:c r="J88" s="28" t="str">
        <x:v>fragmentada</x:v>
      </x:c>
      <x:c r="K88" s="28" t="str">
        <x:v>no_aplica</x:v>
      </x:c>
      <x:c r="L88" s="28" t="str">
        <x:v>no_aplica</x:v>
      </x:c>
      <x:c r="M88" s="28" t="str">
        <x:v>no_aplica</x:v>
      </x:c>
      <x:c r="N88" s="29" t="str">
        <x:v>Unir con la fila contigua de la referencia original.</x:v>
      </x:c>
      <x:c r="O88" s="29" t="str">
        <x:v>La fila contiene solo una parte de una referencia bibliográfica. Página PDF 28.</x:v>
      </x:c>
      <x:c r="P88" s="28" t="str">
        <x:v>Codex</x:v>
      </x:c>
      <x:c r="Q88" s="30" t="n">
        <x:v>46280.708333333336</x:v>
      </x:c>
    </x:row>
    <x:row r="89">
      <x:c r="A89" s="24" t="str">
        <x:v>R081</x:v>
      </x:c>
      <x:c r="B89" s="24" t="str">
        <x:v>P10</x:v>
      </x:c>
      <x:c r="C89" s="24" t="str">
        <x:v>saki_research/published_papers/begenau_bigio_majerovitz_vieyra_q_theory_banks.pdf</x:v>
      </x:c>
      <x:c r="D89" s="24" t="n">
        <x:v>44</x:v>
      </x:c>
      <x:c r="E89" s="24" t="str">
        <x:v>Intermediation</x:v>
      </x:c>
      <x:c r="F89" s="26" t="n">
        <x:v>1997</x:v>
      </x:c>
      <x:c r="G89" s="25" t="str"/>
      <x:c r="H89" s="25" t="str">
        <x:v>Intermediation, Loanable funds, and the real sector,” Quarterly Journal of Economics , 1997, 112 (3), 663–691. 7</x:v>
      </x:c>
      <x:c r="I89" s="25" t="str">
        <x:v>title_not_isolated</x:v>
      </x:c>
      <x:c r="J89" s="28" t="str">
        <x:v>fragmentada</x:v>
      </x:c>
      <x:c r="K89" s="28" t="str">
        <x:v>no_aplica</x:v>
      </x:c>
      <x:c r="L89" s="28" t="str">
        <x:v>no_aplica</x:v>
      </x:c>
      <x:c r="M89" s="28" t="str">
        <x:v>no_aplica</x:v>
      </x:c>
      <x:c r="N89" s="29" t="str">
        <x:v>Unir con la fila contigua de la referencia original.</x:v>
      </x:c>
      <x:c r="O89" s="29" t="str">
        <x:v>La fila contiene solo una parte de una referencia bibliográfica. Página PDF 47.</x:v>
      </x:c>
      <x:c r="P89" s="28" t="str">
        <x:v>Codex</x:v>
      </x:c>
      <x:c r="Q89" s="30" t="n">
        <x:v>46280.708333333336</x:v>
      </x:c>
    </x:row>
    <x:row r="90">
      <x:c r="A90" s="24" t="str">
        <x:v>R082</x:v>
      </x:c>
      <x:c r="B90" s="24" t="str">
        <x:v>P11</x:v>
      </x:c>
      <x:c r="C90" s="24" t="str">
        <x:v>saki_research/published_papers/bigio_silva_zilberman_heterogeneous_beliefs_asset_prices_business_cycles.pdf</x:v>
      </x:c>
      <x:c r="D90" s="24" t="n">
        <x:v>8</x:v>
      </x:c>
      <x:c r="E90" s="24" t="str">
        <x:v>Donangelo</x:v>
      </x:c>
      <x:c r="F90" s="26" t="n">
        <x:v>2023</x:v>
      </x:c>
      <x:c r="G90" s="25" t="str">
        <x:v>What drives firms</x:v>
      </x:c>
      <x:c r="H90" s="25" t="str">
        <x:v>Donangelo, Xiaoji Lin, and Ding Luo , “What drives firms’ hiring decisions? An asset pricing perspective,” The Review of Financial Studies , 2023, 36 (9), 3825–3860. , Xiaoji Lin, and Santiago Bazdresch, “Labor hiring, investment, and stock return predictability in the cross section,” Journal of Political Economy, 2014, 122 (1), 129–177.</x:v>
      </x:c>
      <x:c r="I90" s="25" t="str"/>
      <x:c r="J90" s="28" t="str">
        <x:v>fusionada</x:v>
      </x:c>
      <x:c r="K90" s="28" t="str">
        <x:v>no_aplica</x:v>
      </x:c>
      <x:c r="L90" s="28" t="str">
        <x:v>no_aplica</x:v>
      </x:c>
      <x:c r="M90" s="28" t="str">
        <x:v>no_aplica</x:v>
      </x:c>
      <x:c r="N90" s="29" t="str">
        <x:v>Separar las referencias contenidas en esta fila.</x:v>
      </x:c>
      <x:c r="O90" s="29" t="str">
        <x:v>La fila reúne material de dos o más referencias consecutivas. Página PDF 49.</x:v>
      </x:c>
      <x:c r="P90" s="28" t="str">
        <x:v>Codex</x:v>
      </x:c>
      <x:c r="Q90" s="30" t="n">
        <x:v>46280.708333333336</x:v>
      </x:c>
    </x:row>
    <x:row r="91">
      <x:c r="A91" s="24" t="str">
        <x:v>R083</x:v>
      </x:c>
      <x:c r="B91" s="24" t="str">
        <x:v>P11</x:v>
      </x:c>
      <x:c r="C91" s="24" t="str">
        <x:v>saki_research/published_papers/bigio_silva_zilberman_heterogeneous_beliefs_asset_prices_business_cycles.pdf</x:v>
      </x:c>
      <x:c r="D91" s="24" t="n">
        <x:v>83</x:v>
      </x:c>
      <x:c r="E91" s="24" t="str">
        <x:v>Shiller</x:v>
      </x:c>
      <x:c r="F91" s="26" t="n">
        <x:v>1981</x:v>
      </x:c>
      <x:c r="G91" s="25" t="str">
        <x:v>Do stock prices move too much to be justified by subsequent changes in dividends?,</x:v>
      </x:c>
      <x:c r="H91" s="25" t="str">
        <x:v>Shiller, Robert J, “Do stock prices move too much to be justified by subsequent changes in dividends?,” 1981.</x:v>
      </x:c>
      <x:c r="I91" s="25" t="str"/>
      <x:c r="J91" s="28" t="str">
        <x:v>referencia_correcta</x:v>
      </x:c>
      <x:c r="K91" s="28" t="str">
        <x:v>sí</x:v>
      </x:c>
      <x:c r="L91" s="28" t="str">
        <x:v>sí</x:v>
      </x:c>
      <x:c r="M91" s="28" t="str">
        <x:v>sí</x:v>
      </x:c>
      <x:c r="N91" s="29" t="str"/>
      <x:c r="O91" s="29" t="str">
        <x:v>Contraste independiente con la sección de referencias del PDF. Página PDF 55.</x:v>
      </x:c>
      <x:c r="P91" s="28" t="str">
        <x:v>Codex</x:v>
      </x:c>
      <x:c r="Q91" s="30" t="n">
        <x:v>46280.708333333336</x:v>
      </x:c>
    </x:row>
    <x:row r="92">
      <x:c r="A92" s="24" t="str">
        <x:v>R084</x:v>
      </x:c>
      <x:c r="B92" s="24" t="str">
        <x:v>P01</x:v>
      </x:c>
      <x:c r="C92" s="24" t="str">
        <x:v>saki_research/published_papers/bigio_learning_under_fear_floating.pdf</x:v>
      </x:c>
      <x:c r="D92" s="24" t="n">
        <x:v>17</x:v>
      </x:c>
      <x:c r="E92" s="24" t="str">
        <x:v>Sargent</x:v>
      </x:c>
      <x:c r="F92" s="26" t="n">
        <x:v>2002</x:v>
      </x:c>
      <x:c r="G92" s="25" t="str"/>
      <x:c r="H92" s="25" t="str">
        <x:v>Sargent, T.J., 2002. Escaping Nash inﬂation. Review of Economic Studies 69, 1–40.</x:v>
      </x:c>
      <x:c r="I92" s="25" t="str">
        <x:v>title_not_isolated</x:v>
      </x:c>
      <x:c r="J92" s="28" t="str">
        <x:v>referencia_correcta</x:v>
      </x:c>
      <x:c r="K92" s="28" t="str">
        <x:v>sí</x:v>
      </x:c>
      <x:c r="L92" s="28" t="str">
        <x:v>sí</x:v>
      </x:c>
      <x:c r="M92" s="28" t="str">
        <x:v>no</x:v>
      </x:c>
      <x:c r="N92" s="29" t="str"/>
      <x:c r="O92" s="29" t="str">
        <x:v>La fila corresponde a una referencia completa, pero el título no quedó aislado por el extractor. Página PDF 28.</x:v>
      </x:c>
      <x:c r="P92" s="28" t="str">
        <x:v>Codex</x:v>
      </x:c>
      <x:c r="Q92" s="30" t="n">
        <x:v>46280.708333333336</x:v>
      </x:c>
    </x:row>
    <x:row r="93">
      <x:c r="A93" s="24" t="str">
        <x:v>R085</x:v>
      </x:c>
      <x:c r="B93" s="24" t="str">
        <x:v>P11</x:v>
      </x:c>
      <x:c r="C93" s="24" t="str">
        <x:v>saki_research/published_papers/bigio_silva_zilberman_heterogeneous_beliefs_asset_prices_business_cycles.pdf</x:v>
      </x:c>
      <x:c r="D93" s="24" t="n">
        <x:v>17</x:v>
      </x:c>
      <x:c r="E93" s="24" t="str">
        <x:v>Caballero</x:v>
      </x:c>
      <x:c r="F93" s="26" t="n">
        <x:v>2020</x:v>
      </x:c>
      <x:c r="G93" s="25" t="str">
        <x:v>A Risk-Centric Model of Demand Recessions and Speculation,</x:v>
      </x:c>
      <x:c r="H93" s="25" t="str">
        <x:v>Caballero, Ricardo J. and Alp Simsek , “A Risk-Centric Model of Demand Recessions and Speculation,” Quarterly Journal of Economics, 2020, 135 (3), 1493–1566. and , “Prudential Monetary Policy,” 2020. Working Paper.</x:v>
      </x:c>
      <x:c r="I93" s="25" t="str"/>
      <x:c r="J93" s="28" t="str">
        <x:v>fusionada</x:v>
      </x:c>
      <x:c r="K93" s="28" t="str">
        <x:v>no_aplica</x:v>
      </x:c>
      <x:c r="L93" s="28" t="str">
        <x:v>no_aplica</x:v>
      </x:c>
      <x:c r="M93" s="28" t="str">
        <x:v>no_aplica</x:v>
      </x:c>
      <x:c r="N93" s="29" t="str">
        <x:v>Separar las referencias contenidas en esta fila.</x:v>
      </x:c>
      <x:c r="O93" s="29" t="str">
        <x:v>La fila reúne material de dos o más referencias consecutivas. Página PDF 50.</x:v>
      </x:c>
      <x:c r="P93" s="28" t="str">
        <x:v>Codex</x:v>
      </x:c>
      <x:c r="Q93" s="30" t="n">
        <x:v>46280.708333333336</x:v>
      </x:c>
    </x:row>
    <x:row r="94">
      <x:c r="A94" s="24" t="str">
        <x:v>R086</x:v>
      </x:c>
      <x:c r="B94" s="24" t="str">
        <x:v>P05</x:v>
      </x:c>
      <x:c r="C94" s="24" t="str">
        <x:v>saki_research/published_papers/bigio_lao_distortions_production_networks.pdf</x:v>
      </x:c>
      <x:c r="D94" s="24" t="n">
        <x:v>35</x:v>
      </x:c>
      <x:c r="E94" s="24" t="str">
        <x:v>Liu</x:v>
      </x:c>
      <x:c r="F94" s="26" t="n">
        <x:v>2019</x:v>
      </x:c>
      <x:c r="G94" s="25" t="str">
        <x:v>Industrial Policies in Production Networks.</x:v>
      </x:c>
      <x:c r="H94" s="25" t="str">
        <x:v>Liu, Ernest. “Industrial Policies in Production Networks.” The Quarterly Journal of Economics, 134(2019), 1883–1948.</x:v>
      </x:c>
      <x:c r="I94" s="25" t="str"/>
      <x:c r="J94" s="28" t="str">
        <x:v>referencia_correcta</x:v>
      </x:c>
      <x:c r="K94" s="28" t="str">
        <x:v>sí</x:v>
      </x:c>
      <x:c r="L94" s="28" t="str">
        <x:v>sí</x:v>
      </x:c>
      <x:c r="M94" s="28" t="str">
        <x:v>sí</x:v>
      </x:c>
      <x:c r="N94" s="29" t="str"/>
      <x:c r="O94" s="29" t="str">
        <x:v>Contraste independiente con la sección de referencias del PDF. Página PDF 51.</x:v>
      </x:c>
      <x:c r="P94" s="28" t="str">
        <x:v>Codex</x:v>
      </x:c>
      <x:c r="Q94" s="30" t="n">
        <x:v>46280.708333333336</x:v>
      </x:c>
    </x:row>
    <x:row r="95">
      <x:c r="A95" s="24" t="str">
        <x:v>R087</x:v>
      </x:c>
      <x:c r="B95" s="24" t="str">
        <x:v>W05</x:v>
      </x:c>
      <x:c r="C95" s="24" t="str">
        <x:v>saki_research/working_papers/bigio_nuno_decomposing_optimal_debt_maturity.pdf</x:v>
      </x:c>
      <x:c r="D95" s="24" t="n">
        <x:v>25</x:v>
      </x:c>
      <x:c r="E95" s="24" t="str">
        <x:v>Hatchondo</x:v>
      </x:c>
      <x:c r="F95" s="26" t="n">
        <x:v>2009</x:v>
      </x:c>
      <x:c r="G95" s="25" t="str">
        <x:v>Long-duration bonds and sovereign defaults,</x:v>
      </x:c>
      <x:c r="H95" s="25" t="str">
        <x:v>Hatchondo, Juan Carlos and Leonardo Martinez , “Long-duration bonds and sovereign defaults,”Journal of International Economics, 2009, 79 (1), 117 – 125. 1 , , and Cesar Sosa-Padilla , “Debt dilution and sovereign default risk,” Journal of Political Economy, 2016, 124 (5), 1383–1422. 1</x:v>
      </x:c>
      <x:c r="I95" s="25" t="str"/>
      <x:c r="J95" s="28" t="str">
        <x:v>fusionada</x:v>
      </x:c>
      <x:c r="K95" s="28" t="str">
        <x:v>no_aplica</x:v>
      </x:c>
      <x:c r="L95" s="28" t="str">
        <x:v>no_aplica</x:v>
      </x:c>
      <x:c r="M95" s="28" t="str">
        <x:v>no_aplica</x:v>
      </x:c>
      <x:c r="N95" s="29" t="str">
        <x:v>Separar las referencias contenidas en esta fila.</x:v>
      </x:c>
      <x:c r="O95" s="29" t="str">
        <x:v>La fila reúne material de dos o más referencias consecutivas. Página PDF 38.</x:v>
      </x:c>
      <x:c r="P95" s="28" t="str">
        <x:v>Codex</x:v>
      </x:c>
      <x:c r="Q95" s="30" t="n">
        <x:v>46280.708333333336</x:v>
      </x:c>
    </x:row>
    <x:row r="96">
      <x:c r="A96" s="24" t="str">
        <x:v>R088</x:v>
      </x:c>
      <x:c r="B96" s="24" t="str">
        <x:v>P11</x:v>
      </x:c>
      <x:c r="C96" s="24" t="str">
        <x:v>saki_research/published_papers/bigio_silva_zilberman_heterogeneous_beliefs_asset_prices_business_cycles.pdf</x:v>
      </x:c>
      <x:c r="D96" s="24" t="n">
        <x:v>18</x:v>
      </x:c>
      <x:c r="E96" s="24" t="str">
        <x:v>Fernandez-Villaverde</x:v>
      </x:c>
      <x:c r="F96" s="26" t="n">
        <x:v>2012</x:v>
      </x:c>
      <x:c r="G96" s="25" t="str">
        <x:v>Computing DSGE models with recursive preferences and stochastic volatility,</x:v>
      </x:c>
      <x:c r="H96" s="25" t="str">
        <x:v>Fernandez-Villaverde, Juan F Rubio-Ramirez, and Wen Yao , “Computing DSGE models with recursive preferences and stochastic volatility,”Review of Economic Dynamics, 2012, 15 (2), 188–206.</x:v>
      </x:c>
      <x:c r="I96" s="25" t="str"/>
      <x:c r="J96" s="28" t="str">
        <x:v>referencia_correcta</x:v>
      </x:c>
      <x:c r="K96" s="28" t="str">
        <x:v>sí</x:v>
      </x:c>
      <x:c r="L96" s="28" t="str">
        <x:v>sí</x:v>
      </x:c>
      <x:c r="M96" s="28" t="str">
        <x:v>sí</x:v>
      </x:c>
      <x:c r="N96" s="29" t="str"/>
      <x:c r="O96" s="29" t="str">
        <x:v>Contraste independiente con la sección de referencias del PDF. Página PDF 50.</x:v>
      </x:c>
      <x:c r="P96" s="28" t="str">
        <x:v>Codex</x:v>
      </x:c>
      <x:c r="Q96" s="30" t="n">
        <x:v>46280.708333333336</x:v>
      </x:c>
    </x:row>
    <x:row r="97">
      <x:c r="A97" s="24" t="str">
        <x:v>R089</x:v>
      </x:c>
      <x:c r="B97" s="24" t="str">
        <x:v>P09</x:v>
      </x:c>
      <x:c r="C97" s="24" t="str">
        <x:v>saki_research/published_papers/bigio_shi_repurchase_options_market_lemons.pdf</x:v>
      </x:c>
      <x:c r="D97" s="24" t="n">
        <x:v>34</x:v>
      </x:c>
      <x:c r="E97" s="24" t="str">
        <x:v>Microeconomics</x:v>
      </x:c>
      <x:c r="F97" s="26" t="n">
        <x:v>2018</x:v>
      </x:c>
      <x:c r="G97" s="25" t="str">
        <x:v>Adverse Selection in Competitive Search Equilibrium,</x:v>
      </x:c>
      <x:c r="H97" s="25" t="str">
        <x:v>Microeconomics, May 2018,10 (2), 250–74. , , and Randall Wright, “Adverse Selection in Competitive Search Equilibrium,”Econometrica, 2010,78 (6), 1823–1862.</x:v>
      </x:c>
      <x:c r="I97" s="25" t="str"/>
      <x:c r="J97" s="28" t="str">
        <x:v>fusionada</x:v>
      </x:c>
      <x:c r="K97" s="28" t="str">
        <x:v>no_aplica</x:v>
      </x:c>
      <x:c r="L97" s="28" t="str">
        <x:v>no_aplica</x:v>
      </x:c>
      <x:c r="M97" s="28" t="str">
        <x:v>no_aplica</x:v>
      </x:c>
      <x:c r="N97" s="29" t="str">
        <x:v>Separar las referencias contenidas en esta fila.</x:v>
      </x:c>
      <x:c r="O97" s="29" t="str">
        <x:v>La fila reúne material de dos o más referencias consecutivas. Página PDF 37.</x:v>
      </x:c>
      <x:c r="P97" s="28" t="str">
        <x:v>Codex</x:v>
      </x:c>
      <x:c r="Q97" s="30" t="n">
        <x:v>46280.708333333336</x:v>
      </x:c>
    </x:row>
    <x:row r="98">
      <x:c r="A98" s="24" t="str">
        <x:v>R090</x:v>
      </x:c>
      <x:c r="B98" s="24" t="str">
        <x:v>W02</x:v>
      </x:c>
      <x:c r="C98" s="24" t="str">
        <x:v>saki_research/working_papers/bigio_sannikov_model_credit_money_interest_prices.pdf</x:v>
      </x:c>
      <x:c r="D98" s="24" t="n">
        <x:v>64</x:v>
      </x:c>
      <x:c r="E98" s="24" t="str">
        <x:v>Weingarden</x:v>
      </x:c>
      <x:c r="F98" s="26" t="n">
        <x:v>2020</x:v>
      </x:c>
      <x:c r="G98" s="25" t="str">
        <x:v>Worker Churn at Establishments over the Business Cycle,</x:v>
      </x:c>
      <x:c r="H98" s="25" t="str">
        <x:v>Weingarden, Alison, “Worker Churn at Establishments over the Business Cycle,” FEDS Notes Board of Governors of the Federal Reserve System , August 2020. Werning, Iv´ an, “Incomplete markets and aggregate demand,” Technical</x:v>
      </x:c>
      <x:c r="I98" s="25" t="str"/>
      <x:c r="J98" s="28" t="str">
        <x:v>fusionada</x:v>
      </x:c>
      <x:c r="K98" s="28" t="str">
        <x:v>no_aplica</x:v>
      </x:c>
      <x:c r="L98" s="28" t="str">
        <x:v>no_aplica</x:v>
      </x:c>
      <x:c r="M98" s="28" t="str">
        <x:v>no_aplica</x:v>
      </x:c>
      <x:c r="N98" s="29" t="str">
        <x:v>Separar las referencias contenidas en esta fila.</x:v>
      </x:c>
      <x:c r="O98" s="29" t="str">
        <x:v>La fila reúne material de dos o más referencias consecutivas. Página PDF 45.</x:v>
      </x:c>
      <x:c r="P98" s="28" t="str">
        <x:v>Codex</x:v>
      </x:c>
      <x:c r="Q98" s="30" t="n">
        <x:v>46280.708333333336</x:v>
      </x:c>
    </x:row>
    <x:row r="99">
      <x:c r="A99" s="24" t="str">
        <x:v>R091</x:v>
      </x:c>
      <x:c r="B99" s="24" t="str">
        <x:v>P08</x:v>
      </x:c>
      <x:c r="C99" s="24" t="str">
        <x:v>saki_research/published_papers/bigio_nuno_passadore_debt_maturity_management_liquidity_costs.pdf</x:v>
      </x:c>
      <x:c r="D99" s="24" t="n">
        <x:v>25</x:v>
      </x:c>
      <x:c r="E99" s="24" t="str">
        <x:v>Green</x:v>
      </x:c>
      <x:c r="F99" s="26" t="n">
        <x:v>2004</x:v>
      </x:c>
      <x:c r="G99" s="25" t="str">
        <x:v>Economic News and the Impact of Trading on Bond Prices,</x:v>
      </x:c>
      <x:c r="H99" s="25" t="str">
        <x:v>Green, T. Clifton, “Economic News and the Impact of Trading on Bond Prices,” The Journal of Finance, 2004, 59 (3), 1201–1233. Greenwood, Robin, Samuel Gregory Hanson, Joshua S. Rudolph, and Lawrence Summers, “The Optimal Maturity of Government Debt,” in David Wessel, ed., The $13 Trillion Question: How America Manages Its</x:v>
      </x:c>
      <x:c r="I99" s="25" t="str"/>
      <x:c r="J99" s="28" t="str">
        <x:v>fusionada</x:v>
      </x:c>
      <x:c r="K99" s="28" t="str">
        <x:v>no_aplica</x:v>
      </x:c>
      <x:c r="L99" s="28" t="str">
        <x:v>no_aplica</x:v>
      </x:c>
      <x:c r="M99" s="28" t="str">
        <x:v>no_aplica</x:v>
      </x:c>
      <x:c r="N99" s="29" t="str">
        <x:v>Separar las referencias contenidas en esta fila.</x:v>
      </x:c>
      <x:c r="O99" s="29" t="str">
        <x:v>La fila reúne material de dos o más referencias consecutivas. Página PDF 45.</x:v>
      </x:c>
      <x:c r="P99" s="28" t="str">
        <x:v>Codex</x:v>
      </x:c>
      <x:c r="Q99" s="30" t="n">
        <x:v>46280.708333333336</x:v>
      </x:c>
    </x:row>
    <x:row r="100">
      <x:c r="A100" s="24" t="str">
        <x:v>R092</x:v>
      </x:c>
      <x:c r="B100" s="24" t="str">
        <x:v>W05</x:v>
      </x:c>
      <x:c r="C100" s="24" t="str">
        <x:v>saki_research/working_papers/bigio_nuno_decomposing_optimal_debt_maturity.pdf</x:v>
      </x:c>
      <x:c r="D100" s="24" t="n">
        <x:v>29</x:v>
      </x:c>
      <x:c r="E100" s="24" t="str">
        <x:v>Hanno</x:v>
      </x:c>
      <x:c r="F100" s="26" t="str"/>
      <x:c r="G100" s="25" t="str">
        <x:v>Fiscal hedging with nominal assets,</x:v>
      </x:c>
      <x:c r="H100" s="25" t="str">
        <x:v>Hanno, Christopher Sleet, and Sevin Yeltekin , “Fiscal hedging with nominal assets,” Journal of Monetary</x:v>
      </x:c>
      <x:c r="I100" s="25" t="str">
        <x:v>missing_year</x:v>
      </x:c>
      <x:c r="J100" s="28" t="str">
        <x:v>fragmentada</x:v>
      </x:c>
      <x:c r="K100" s="28" t="str">
        <x:v>no_aplica</x:v>
      </x:c>
      <x:c r="L100" s="28" t="str">
        <x:v>no_aplica</x:v>
      </x:c>
      <x:c r="M100" s="28" t="str">
        <x:v>no_aplica</x:v>
      </x:c>
      <x:c r="N100" s="29" t="str">
        <x:v>Unir con la fila contigua de la referencia original.</x:v>
      </x:c>
      <x:c r="O100" s="29" t="str">
        <x:v>La fila contiene solo una parte de una referencia bibliográfica. Página PDF 38.</x:v>
      </x:c>
      <x:c r="P100" s="28" t="str">
        <x:v>Codex</x:v>
      </x:c>
      <x:c r="Q100" s="30" t="n">
        <x:v>46280.708333333336</x:v>
      </x:c>
    </x:row>
    <x:row r="101">
      <x:c r="A101" s="24" t="str">
        <x:v>R093</x:v>
      </x:c>
      <x:c r="B101" s="24" t="str">
        <x:v>P07</x:v>
      </x:c>
      <x:c r="C101" s="24" t="str">
        <x:v>saki_research/published_papers/bianchi_bigio_banks_liquidity_management_monetary_policy.pdf</x:v>
      </x:c>
      <x:c r="D101" s="24" t="n">
        <x:v>55</x:v>
      </x:c>
      <x:c r="E101" s="24" t="str">
        <x:v>Keister</x:v>
      </x:c>
      <x:c r="F101" s="26" t="n">
        <x:v>2008</x:v>
      </x:c>
      <x:c r="G101" s="25" t="str">
        <x:v>Divorcing Money from Monetary Policy,</x:v>
      </x:c>
      <x:c r="H101" s="25" t="str">
        <x:v>Keister, T., A. Martin, and J. McAndrews (2008): “Divorcing Money from Monetary Policy,” Economic Policy Review, 14, 41–56.</x:v>
      </x:c>
      <x:c r="I101" s="25" t="str"/>
      <x:c r="J101" s="28" t="str">
        <x:v>referencia_correcta</x:v>
      </x:c>
      <x:c r="K101" s="28" t="str">
        <x:v>sí</x:v>
      </x:c>
      <x:c r="L101" s="28" t="str">
        <x:v>sí</x:v>
      </x:c>
      <x:c r="M101" s="28" t="str">
        <x:v>sí</x:v>
      </x:c>
      <x:c r="N101" s="29" t="str"/>
      <x:c r="O101" s="29" t="str">
        <x:v>Contraste independiente con la sección de referencias del PDF. Página PDF 48.</x:v>
      </x:c>
      <x:c r="P101" s="28" t="str">
        <x:v>Codex</x:v>
      </x:c>
      <x:c r="Q101" s="30" t="n">
        <x:v>46280.708333333336</x:v>
      </x:c>
    </x:row>
    <x:row r="102">
      <x:c r="A102" s="24" t="str">
        <x:v>R094</x:v>
      </x:c>
      <x:c r="B102" s="24" t="str">
        <x:v>P06</x:v>
      </x:c>
      <x:c r="C102" s="24" t="str">
        <x:v>saki_research/published_papers/bigio_d_anvernas_financial_risk_capacity.pdf</x:v>
      </x:c>
      <x:c r="D102" s="24" t="n">
        <x:v>2</x:v>
      </x:c>
      <x:c r="E102" s="24" t="str">
        <x:v>Akerlof</x:v>
      </x:c>
      <x:c r="F102" s="26" t="n">
        <x:v>1978</x:v>
      </x:c>
      <x:c r="G102" s="25" t="str"/>
      <x:c r="H102" s="25" t="str">
        <x:v>Akerlof, George A. The market for “lemons”: Quality uncertainty and the market mechanism. In Uncertainty in economics, pages 235–251. Elsevier, 1978.</x:v>
      </x:c>
      <x:c r="I102" s="25" t="str">
        <x:v>title_not_isolated</x:v>
      </x:c>
      <x:c r="J102" s="28" t="str">
        <x:v>referencia_correcta</x:v>
      </x:c>
      <x:c r="K102" s="28" t="str">
        <x:v>sí</x:v>
      </x:c>
      <x:c r="L102" s="28" t="str">
        <x:v>sí</x:v>
      </x:c>
      <x:c r="M102" s="28" t="str">
        <x:v>no</x:v>
      </x:c>
      <x:c r="N102" s="29" t="str"/>
      <x:c r="O102" s="29" t="str">
        <x:v>La fila corresponde a una referencia completa, pero el título no quedó aislado por el extractor. Página PDF 39.</x:v>
      </x:c>
      <x:c r="P102" s="28" t="str">
        <x:v>Codex</x:v>
      </x:c>
      <x:c r="Q102" s="30" t="n">
        <x:v>46280.708333333336</x:v>
      </x:c>
    </x:row>
    <x:row r="103">
      <x:c r="A103" s="24" t="str">
        <x:v>R095</x:v>
      </x:c>
      <x:c r="B103" s="24" t="str">
        <x:v>E01</x:v>
      </x:c>
      <x:c r="C103" s="24" t="str">
        <x:v>saki_research/pre_phd_papers/bigio_ramirez_corrupcion_indicadores_desarrollo_pery_mundo_revision_empirica.pdf</x:v>
      </x:c>
      <x:c r="D103" s="24" t="n">
        <x:v>39</x:v>
      </x:c>
      <x:c r="E103" s="24" t="str">
        <x:v>Persson</x:v>
      </x:c>
      <x:c r="F103" s="26" t="n">
        <x:v>2002</x:v>
      </x:c>
      <x:c r="G103" s="25" t="str">
        <x:v>Do Political Institutions Shape Economic Policy?</x:v>
      </x:c>
      <x:c r="H103" s="25" t="str">
        <x:v>Persson, T. (2002): “Do Political Institutions Shape Economic Policy?” Econometrica, 70(3), pp. 883-905.</x:v>
      </x:c>
      <x:c r="I103" s="25" t="str"/>
      <x:c r="J103" s="28" t="str">
        <x:v>referencia_correcta</x:v>
      </x:c>
      <x:c r="K103" s="28" t="str">
        <x:v>sí</x:v>
      </x:c>
      <x:c r="L103" s="28" t="str">
        <x:v>sí</x:v>
      </x:c>
      <x:c r="M103" s="28" t="str">
        <x:v>sí</x:v>
      </x:c>
      <x:c r="N103" s="29" t="str"/>
      <x:c r="O103" s="29" t="str">
        <x:v>Contraste independiente con la sección de referencias del PDF. Página PDF 21.</x:v>
      </x:c>
      <x:c r="P103" s="28" t="str">
        <x:v>Codex</x:v>
      </x:c>
      <x:c r="Q103" s="30" t="n">
        <x:v>46280.708333333336</x:v>
      </x:c>
    </x:row>
    <x:row r="104">
      <x:c r="A104" s="24" t="str">
        <x:v>R096</x:v>
      </x:c>
      <x:c r="B104" s="24" t="str">
        <x:v>P03</x:v>
      </x:c>
      <x:c r="C104" s="24" t="str">
        <x:v>saki_research/published_papers/bigio_endogenous_liquidity_business_cycle.pdf</x:v>
      </x:c>
      <x:c r="D104" s="24" t="n">
        <x:v>19</x:v>
      </x:c>
      <x:c r="E104" s="24" t="str">
        <x:v>Ivashina</x:v>
      </x:c>
      <x:c r="F104" s="26" t="n">
        <x:v>2010</x:v>
      </x:c>
      <x:c r="G104" s="25" t="str">
        <x:v>Loan Syndication and Credit Cycles,</x:v>
      </x:c>
      <x:c r="H104" s="25" t="str">
        <x:v>Ivashina, Victoria and David Scharfstein , “Loan Syndication and Credit Cycles,” American Economic Review: Papers and Proceedings , 2010, 100 (2), 1–8. 38</x:v>
      </x:c>
      <x:c r="I104" s="25" t="str"/>
      <x:c r="J104" s="28" t="str">
        <x:v>referencia_correcta</x:v>
      </x:c>
      <x:c r="K104" s="28" t="str">
        <x:v>sí</x:v>
      </x:c>
      <x:c r="L104" s="28" t="str">
        <x:v>sí</x:v>
      </x:c>
      <x:c r="M104" s="28" t="str">
        <x:v>sí</x:v>
      </x:c>
      <x:c r="N104" s="29" t="str"/>
      <x:c r="O104" s="29" t="str">
        <x:v>Contraste independiente con la sección de referencias del PDF. Página PDF 43.</x:v>
      </x:c>
      <x:c r="P104" s="28" t="str">
        <x:v>Codex</x:v>
      </x:c>
      <x:c r="Q104" s="30" t="n">
        <x:v>46280.708333333336</x:v>
      </x:c>
    </x:row>
    <x:row r="105">
      <x:c r="A105" s="24" t="str">
        <x:v>R097</x:v>
      </x:c>
      <x:c r="B105" s="24" t="str">
        <x:v>W03</x:v>
      </x:c>
      <x:c r="C105" s="24" t="str">
        <x:v>saki_research/working_papers/bianchi_bigio_engel_scrambling_dollars_international_liquidity_banks_exchange_rate.pdf</x:v>
      </x:c>
      <x:c r="D105" s="24" t="n">
        <x:v>43</x:v>
      </x:c>
      <x:c r="E105" s="24" t="str">
        <x:v>Lucas</x:v>
      </x:c>
      <x:c r="F105" s="26" t="n">
        <x:v>1982</x:v>
      </x:c>
      <x:c r="G105" s="25" t="str">
        <x:v>Interest rates and currency prices in a two-country world,</x:v>
      </x:c>
      <x:c r="H105" s="25" t="str">
        <x:v>Lucas, Robert E, “Interest rates and currency prices in a two-country world,”Journal of Monetary Economics, 1982, 10 (3), 335–359.</x:v>
      </x:c>
      <x:c r="I105" s="25" t="str"/>
      <x:c r="J105" s="28" t="str">
        <x:v>referencia_correcta</x:v>
      </x:c>
      <x:c r="K105" s="28" t="str">
        <x:v>sí</x:v>
      </x:c>
      <x:c r="L105" s="28" t="str">
        <x:v>sí</x:v>
      </x:c>
      <x:c r="M105" s="28" t="str">
        <x:v>sí</x:v>
      </x:c>
      <x:c r="N105" s="29" t="str"/>
      <x:c r="O105" s="29" t="str">
        <x:v>Contraste independiente con la sección de referencias del PDF. Página PDF 37.</x:v>
      </x:c>
      <x:c r="P105" s="28" t="str">
        <x:v>Codex</x:v>
      </x:c>
      <x:c r="Q105" s="30" t="n">
        <x:v>46280.708333333336</x:v>
      </x:c>
    </x:row>
    <x:row r="106">
      <x:c r="A106" s="24" t="str">
        <x:v>R098</x:v>
      </x:c>
      <x:c r="B106" s="24" t="str">
        <x:v>W05</x:v>
      </x:c>
      <x:c r="C106" s="24" t="str">
        <x:v>saki_research/working_papers/bigio_nuno_decomposing_optimal_debt_maturity.pdf</x:v>
      </x:c>
      <x:c r="D106" s="24" t="n">
        <x:v>35</x:v>
      </x:c>
      <x:c r="E106" s="24" t="str">
        <x:v>Valaitis</x:v>
      </x:c>
      <x:c r="F106" s="26" t="n">
        <x:v>2022</x:v>
      </x:c>
      <x:c r="G106" s="25" t="str">
        <x:v>A Machine Learning Projection Method for Macro-FinanceModels,</x:v>
      </x:c>
      <x:c r="H106" s="25" t="str">
        <x:v>Valaitis, Vytautas and Alessandro T. Villa, “ A Machine Learning Projection Method for Macro-FinanceModels,” 2022. 6 38</x:v>
      </x:c>
      <x:c r="I106" s="25" t="str"/>
      <x:c r="J106" s="28" t="str">
        <x:v>referencia_correcta</x:v>
      </x:c>
      <x:c r="K106" s="28" t="str">
        <x:v>sí</x:v>
      </x:c>
      <x:c r="L106" s="28" t="str">
        <x:v>sí</x:v>
      </x:c>
      <x:c r="M106" s="28" t="str">
        <x:v>sí</x:v>
      </x:c>
      <x:c r="N106" s="29" t="str"/>
      <x:c r="O106" s="29" t="str">
        <x:v>Contraste independiente con la sección de referencias del PDF. Página PDF 38.</x:v>
      </x:c>
      <x:c r="P106" s="28" t="str">
        <x:v>Codex</x:v>
      </x:c>
      <x:c r="Q106" s="30" t="n">
        <x:v>46280.708333333336</x:v>
      </x:c>
    </x:row>
    <x:row r="107">
      <x:c r="A107" s="24" t="str">
        <x:v>R099</x:v>
      </x:c>
      <x:c r="B107" s="24" t="str">
        <x:v>P13</x:v>
      </x:c>
      <x:c r="C107" s="24" t="str">
        <x:v>saki_research/published_papers/bigio_kanzig_sanchez_walsh_carbon_pricing_inequality_normative_pespective.pdf</x:v>
      </x:c>
      <x:c r="D107" s="24" t="n">
        <x:v>9</x:v>
      </x:c>
      <x:c r="E107" s="24" t="str">
        <x:v>Macro</x:v>
      </x:c>
      <x:c r="F107" s="26" t="str"/>
      <x:c r="G107" s="25" t="str"/>
      <x:c r="H107" s="25" t="str">
        <x:v>Macro, Regional and Sectoral Data”.European Economic Review, p. 104983.</x:v>
      </x:c>
      <x:c r="I107" s="25" t="str">
        <x:v>missing_year; title_not_isolated</x:v>
      </x:c>
      <x:c r="J107" s="28" t="str">
        <x:v>fragmentada</x:v>
      </x:c>
      <x:c r="K107" s="28" t="str">
        <x:v>no_aplica</x:v>
      </x:c>
      <x:c r="L107" s="28" t="str">
        <x:v>no_aplica</x:v>
      </x:c>
      <x:c r="M107" s="28" t="str">
        <x:v>no_aplica</x:v>
      </x:c>
      <x:c r="N107" s="29" t="str">
        <x:v>Unir con la fila contigua de la referencia original.</x:v>
      </x:c>
      <x:c r="O107" s="29" t="str">
        <x:v>La fila contiene solo una parte de una referencia bibliográfica. Página PDF 27.</x:v>
      </x:c>
      <x:c r="P107" s="28" t="str">
        <x:v>Codex</x:v>
      </x:c>
      <x:c r="Q107" s="30" t="n">
        <x:v>46280.708333333336</x:v>
      </x:c>
    </x:row>
    <x:row r="108">
      <x:c r="A108" s="24" t="str">
        <x:v>R100</x:v>
      </x:c>
      <x:c r="B108" s="24" t="str">
        <x:v>V01</x:v>
      </x:c>
      <x:c r="C108" s="24" t="str">
        <x:v>saki_research/research_vision/research_vision.pdf</x:v>
      </x:c>
      <x:c r="D108" s="24" t="n">
        <x:v>25</x:v>
      </x:c>
      <x:c r="E108" s="24" t="str">
        <x:v>Bigio</x:v>
      </x:c>
      <x:c r="F108" s="26" t="n">
        <x:v>2025</x:v>
      </x:c>
      <x:c r="G108" s="25" t="str">
        <x:v>Repurchase Options in the Market for Lemons,</x:v>
      </x:c>
      <x:c r="H108" s="25" t="str">
        <x:v>Bigio, Saki and Liyan Shi, “Repurchase Options in the Market for Lemons,”The Review of Economic Studies,2025.</x:v>
      </x:c>
      <x:c r="I108" s="25" t="str"/>
      <x:c r="J108" s="28" t="str">
        <x:v>referencia_correcta</x:v>
      </x:c>
      <x:c r="K108" s="28" t="str">
        <x:v>sí</x:v>
      </x:c>
      <x:c r="L108" s="28" t="str">
        <x:v>sí</x:v>
      </x:c>
      <x:c r="M108" s="28" t="str">
        <x:v>sí</x:v>
      </x:c>
      <x:c r="N108" s="29" t="str"/>
      <x:c r="O108" s="29" t="str">
        <x:v>Contraste independiente con la sección de referencias del PDF. Página PDF 6.</x:v>
      </x:c>
      <x:c r="P108" s="28" t="str">
        <x:v>Codex</x:v>
      </x:c>
      <x:c r="Q108" s="30" t="n">
        <x:v>46280.708333333336</x:v>
      </x:c>
    </x:row>
    <x:row r="109">
      <x:c r="A109" s="24" t="str">
        <x:v>R101</x:v>
      </x:c>
      <x:c r="B109" s="24" t="str">
        <x:v>P12</x:v>
      </x:c>
      <x:c r="C109" s="24" t="str">
        <x:v>saki_research/published_papers/bianchi_bigio_portfolio_choice_settlement_frictions_theory_endogenous_convenience_yields.pdf</x:v>
      </x:c>
      <x:c r="D109" s="24" t="n">
        <x:v>1</x:v>
      </x:c>
      <x:c r="E109" s="24" t="str">
        <x:v>Acharya</x:v>
      </x:c>
      <x:c r="F109" s="26" t="n">
        <x:v>2005</x:v>
      </x:c>
      <x:c r="G109" s="25" t="str">
        <x:v>Asset pricing with liquidity risk,</x:v>
      </x:c>
      <x:c r="H109" s="25" t="str">
        <x:v>Acharya, Viral V and Lasse Heje Pedersen, “Asset pricing with liquidity risk,”Journal of Financial Economics, 2005,77 (2), 375–410.</x:v>
      </x:c>
      <x:c r="I109" s="25" t="str"/>
      <x:c r="J109" s="28" t="str">
        <x:v>referencia_correcta</x:v>
      </x:c>
      <x:c r="K109" s="28" t="str">
        <x:v>sí</x:v>
      </x:c>
      <x:c r="L109" s="28" t="str">
        <x:v>sí</x:v>
      </x:c>
      <x:c r="M109" s="28" t="str">
        <x:v>sí</x:v>
      </x:c>
      <x:c r="N109" s="29" t="str"/>
      <x:c r="O109" s="29" t="str">
        <x:v>Contraste independiente con la sección de referencias del PDF. Página PDF 42.</x:v>
      </x:c>
      <x:c r="P109" s="28" t="str">
        <x:v>Codex</x:v>
      </x:c>
      <x:c r="Q109" s="30" t="n">
        <x:v>46280.708333333336</x:v>
      </x:c>
    </x:row>
    <x:row r="110">
      <x:c r="A110" s="24" t="str">
        <x:v>R102</x:v>
      </x:c>
      <x:c r="B110" s="24" t="str">
        <x:v>W08</x:v>
      </x:c>
      <x:c r="C110" s="24" t="str">
        <x:v>saki_research/working_papers/bigio_mendez_patten_theory_payments_chain_crises.pdf</x:v>
      </x:c>
      <x:c r="D110" s="24" t="n">
        <x:v>23</x:v>
      </x:c>
      <x:c r="E110" s="24" t="str">
        <x:v>Lagos</x:v>
      </x:c>
      <x:c r="F110" s="26" t="n">
        <x:v>2009</x:v>
      </x:c>
      <x:c r="G110" s="25" t="str">
        <x:v>Liquidity in Asset Markets with Search Frictions,</x:v>
      </x:c>
      <x:c r="H110" s="25" t="str">
        <x:v>Lagos, Ricardo and Guillaume Rocheteau , “Liquidity in Asset Markets with Search Frictions,” Econometrica, 2009, 77, 403–426. 2 and Randall Wright, “Unified Framework for Monetary Theory and Policy Analysis,” Journal of Political Economy, 2005, 113 (3), 463–484. 1 , Guillaume Rocheteau, and Pierre-Olivier Weill, “Crises and Liquidity in OTC Markets,” Journal of Economic Theory, 2011, 146, 2169–2205. 2</x:v>
      </x:c>
      <x:c r="I110" s="25" t="str"/>
      <x:c r="J110" s="28" t="str">
        <x:v>fusionada</x:v>
      </x:c>
      <x:c r="K110" s="28" t="str">
        <x:v>no_aplica</x:v>
      </x:c>
      <x:c r="L110" s="28" t="str">
        <x:v>no_aplica</x:v>
      </x:c>
      <x:c r="M110" s="28" t="str">
        <x:v>no_aplica</x:v>
      </x:c>
      <x:c r="N110" s="29" t="str">
        <x:v>Separar las referencias contenidas en esta fila.</x:v>
      </x:c>
      <x:c r="O110" s="29" t="str">
        <x:v>La fila reúne material de dos o más referencias consecutivas. Página PDF 52.</x:v>
      </x:c>
      <x:c r="P110" s="28" t="str">
        <x:v>Codex</x:v>
      </x:c>
      <x:c r="Q110" s="30" t="n">
        <x:v>46280.708333333336</x:v>
      </x:c>
    </x:row>
    <x:row r="111">
      <x:c r="A111" s="24" t="str">
        <x:v>R103</x:v>
      </x:c>
      <x:c r="B111" s="24" t="str">
        <x:v>P09</x:v>
      </x:c>
      <x:c r="C111" s="24" t="str">
        <x:v>saki_research/published_papers/bigio_shi_repurchase_options_market_lemons.pdf</x:v>
      </x:c>
      <x:c r="D111" s="24" t="n">
        <x:v>35</x:v>
      </x:c>
      <x:c r="E111" s="24" t="str">
        <x:v>Hart</x:v>
      </x:c>
      <x:c r="F111" s="26" t="n">
        <x:v>1994</x:v>
      </x:c>
      <x:c r="G111" s="25" t="str">
        <x:v>A Theory of Debt Based on the Inalienability of Human Capital,</x:v>
      </x:c>
      <x:c r="H111" s="25" t="str">
        <x:v>Hart, Oliver and John Moore, “A Theory of Debt Based on the Inalienability of Human Capital,” The Quarterly Journal of Economics, 1994,109 (4), 841–879.</x:v>
      </x:c>
      <x:c r="I111" s="25" t="str"/>
      <x:c r="J111" s="28" t="str">
        <x:v>referencia_correcta</x:v>
      </x:c>
      <x:c r="K111" s="28" t="str">
        <x:v>sí</x:v>
      </x:c>
      <x:c r="L111" s="28" t="str">
        <x:v>sí</x:v>
      </x:c>
      <x:c r="M111" s="28" t="str">
        <x:v>sí</x:v>
      </x:c>
      <x:c r="N111" s="29" t="str"/>
      <x:c r="O111" s="29" t="str">
        <x:v>Contraste independiente con la sección de referencias del PDF. Página PDF 37.</x:v>
      </x:c>
      <x:c r="P111" s="28" t="str">
        <x:v>Codex</x:v>
      </x:c>
      <x:c r="Q111" s="30" t="n">
        <x:v>46280.708333333336</x:v>
      </x:c>
    </x:row>
    <x:row r="112">
      <x:c r="A112" s="24" t="str">
        <x:v>R104</x:v>
      </x:c>
      <x:c r="B112" s="24" t="str">
        <x:v>W03</x:v>
      </x:c>
      <x:c r="C112" s="24" t="str">
        <x:v>saki_research/working_papers/bianchi_bigio_engel_scrambling_dollars_international_liquidity_banks_exchange_rate.pdf</x:v>
      </x:c>
      <x:c r="D112" s="24" t="n">
        <x:v>22</x:v>
      </x:c>
      <x:c r="E112" s="24" t="str">
        <x:v>Diamond</x:v>
      </x:c>
      <x:c r="F112" s="26" t="n">
        <x:v>2022</x:v>
      </x:c>
      <x:c r="G112" s="25" t="str">
        <x:v>Risk-Free Rates and Convenience Yields around the World,</x:v>
      </x:c>
      <x:c r="H112" s="25" t="str">
        <x:v>Diamond, William and Peter Van Tassel, “Risk-Free Rates and Convenience Yields around the World,” 2022. Federal Reserve Bank of New York Staff Reports, no. 1032. Du</x:v>
      </x:c>
      <x:c r="I112" s="25" t="str"/>
      <x:c r="J112" s="28" t="str">
        <x:v>fusionada</x:v>
      </x:c>
      <x:c r="K112" s="28" t="str">
        <x:v>no_aplica</x:v>
      </x:c>
      <x:c r="L112" s="28" t="str">
        <x:v>no_aplica</x:v>
      </x:c>
      <x:c r="M112" s="28" t="str">
        <x:v>no_aplica</x:v>
      </x:c>
      <x:c r="N112" s="29" t="str">
        <x:v>Separar las referencias contenidas en esta fila.</x:v>
      </x:c>
      <x:c r="O112" s="29" t="str">
        <x:v>La fila reúne material de dos o más referencias consecutivas. Página PDF 33.</x:v>
      </x:c>
      <x:c r="P112" s="28" t="str">
        <x:v>Codex</x:v>
      </x:c>
      <x:c r="Q112" s="30" t="n">
        <x:v>46280.708333333336</x:v>
      </x:c>
    </x:row>
    <x:row r="113">
      <x:c r="A113" s="24" t="str">
        <x:v>R105</x:v>
      </x:c>
      <x:c r="B113" s="24" t="str">
        <x:v>P13</x:v>
      </x:c>
      <x:c r="C113" s="24" t="str">
        <x:v>saki_research/published_papers/bigio_kanzig_sanchez_walsh_carbon_pricing_inequality_normative_pespective.pdf</x:v>
      </x:c>
      <x:c r="D113" s="24" t="n">
        <x:v>2</x:v>
      </x:c>
      <x:c r="E113" s="24" t="str">
        <x:v>Andersson</x:v>
      </x:c>
      <x:c r="F113" s="26" t="n">
        <x:v>2020</x:v>
      </x:c>
      <x:c r="G113" s="25" t="str">
        <x:v>The distributional effects of a carbon tax: The role of income inequality</x:v>
      </x:c>
      <x:c r="H113" s="25" t="str">
        <x:v>Andersson, Julius and Giles Atkinson (2020). “The distributional effects of a carbon tax: The role of income inequality”.</x:v>
      </x:c>
      <x:c r="I113" s="25" t="str"/>
      <x:c r="J113" s="28" t="str">
        <x:v>referencia_correcta</x:v>
      </x:c>
      <x:c r="K113" s="28" t="str">
        <x:v>sí</x:v>
      </x:c>
      <x:c r="L113" s="28" t="str">
        <x:v>sí</x:v>
      </x:c>
      <x:c r="M113" s="28" t="str">
        <x:v>sí</x:v>
      </x:c>
      <x:c r="N113" s="29" t="str"/>
      <x:c r="O113" s="29" t="str">
        <x:v>Contraste independiente con la sección de referencias del PDF. Página PDF 4.</x:v>
      </x:c>
      <x:c r="P113" s="28" t="str">
        <x:v>Codex</x:v>
      </x:c>
      <x:c r="Q113" s="30" t="n">
        <x:v>46280.708333333336</x:v>
      </x:c>
    </x:row>
    <x:row r="114">
      <x:c r="A114" s="24" t="str">
        <x:v>R106</x:v>
      </x:c>
      <x:c r="B114" s="24" t="str">
        <x:v>E02</x:v>
      </x:c>
      <x:c r="C114" s="24" t="str">
        <x:v>saki_research/pre_phd_papers/bigio_salas_non_linear_effects_monetary_policy_real_exchange_rate_shocks_partially_dollarized_economies_empirical_study_peru.pdf</x:v>
      </x:c>
      <x:c r="D114" s="24" t="n">
        <x:v>28</x:v>
      </x:c>
      <x:c r="E114" s="24" t="str">
        <x:v>Galí</x:v>
      </x:c>
      <x:c r="F114" s="26" t="n">
        <x:v>2005</x:v>
      </x:c>
      <x:c r="G114" s="25" t="str">
        <x:v>Monetary Policy and Exchange Rate Volatility in a Small Open Economy</x:v>
      </x:c>
      <x:c r="H114" s="25" t="str">
        <x:v>Galí, Jordi and Tomasso Monacelli (2005), “Monetary Policy and Exchange Rate Volatility in a Small Open Economy”, Review of Economic Studies, vol. 72, no 3, pp. 707-34.</x:v>
      </x:c>
      <x:c r="I114" s="25" t="str"/>
      <x:c r="J114" s="28" t="str">
        <x:v>referencia_correcta</x:v>
      </x:c>
      <x:c r="K114" s="28" t="str">
        <x:v>sí</x:v>
      </x:c>
      <x:c r="L114" s="28" t="str">
        <x:v>sí</x:v>
      </x:c>
      <x:c r="M114" s="28" t="str">
        <x:v>sí</x:v>
      </x:c>
      <x:c r="N114" s="29" t="str"/>
      <x:c r="O114" s="29" t="str">
        <x:v>Contraste independiente con la sección de referencias del PDF. Página PDF 29.</x:v>
      </x:c>
      <x:c r="P114" s="28" t="str">
        <x:v>Codex</x:v>
      </x:c>
      <x:c r="Q114" s="30" t="n">
        <x:v>46280.708333333336</x:v>
      </x:c>
    </x:row>
    <x:row r="115">
      <x:c r="A115" s="24" t="str">
        <x:v>R107</x:v>
      </x:c>
      <x:c r="B115" s="24" t="str">
        <x:v>P11</x:v>
      </x:c>
      <x:c r="C115" s="24" t="str">
        <x:v>saki_research/published_papers/bigio_silva_zilberman_heterogeneous_beliefs_asset_prices_business_cycles.pdf</x:v>
      </x:c>
      <x:c r="D115" s="24" t="n">
        <x:v>85</x:v>
      </x:c>
      <x:c r="E115" s="24" t="str">
        <x:v>Simsek</x:v>
      </x:c>
      <x:c r="F115" s="26" t="n">
        <x:v>2013</x:v>
      </x:c>
      <x:c r="G115" s="25" t="str">
        <x:v>Belief Disagreements and Collateral Constraints,</x:v>
      </x:c>
      <x:c r="H115" s="25" t="str">
        <x:v>Simsek, Alp, “Belief Disagreements and Collateral Constraints,” Econometrica, 2013, 81 (1), 1–53. , “Speculation and risk sharing with new financial assets,” The Quarterly journal of economics, 2013, 128 (3), 1365–1396. , “The macroeconomics of financial speculation,” Annual Review of Economics, 2021, 13 (1), 335–369.</x:v>
      </x:c>
      <x:c r="I115" s="25" t="str"/>
      <x:c r="J115" s="28" t="str">
        <x:v>fusionada</x:v>
      </x:c>
      <x:c r="K115" s="28" t="str">
        <x:v>no_aplica</x:v>
      </x:c>
      <x:c r="L115" s="28" t="str">
        <x:v>no_aplica</x:v>
      </x:c>
      <x:c r="M115" s="28" t="str">
        <x:v>no_aplica</x:v>
      </x:c>
      <x:c r="N115" s="29" t="str">
        <x:v>Separar las referencias contenidas en esta fila.</x:v>
      </x:c>
      <x:c r="O115" s="29" t="str">
        <x:v>La fila reúne material de dos o más referencias consecutivas. Página PDF 55.</x:v>
      </x:c>
      <x:c r="P115" s="28" t="str">
        <x:v>Codex</x:v>
      </x:c>
      <x:c r="Q115" s="30" t="n">
        <x:v>46280.708333333336</x:v>
      </x:c>
    </x:row>
    <x:row r="116">
      <x:c r="A116" s="24" t="str">
        <x:v>R108</x:v>
      </x:c>
      <x:c r="B116" s="24" t="str">
        <x:v>P07</x:v>
      </x:c>
      <x:c r="C116" s="24" t="str">
        <x:v>saki_research/published_papers/bianchi_bigio_banks_liquidity_management_monetary_policy.pdf</x:v>
      </x:c>
      <x:c r="D116" s="24" t="n">
        <x:v>46</x:v>
      </x:c>
      <x:c r="E116" s="24" t="str">
        <x:v>Gertler</x:v>
      </x:c>
      <x:c r="F116" s="26" t="n">
        <x:v>2016</x:v>
      </x:c>
      <x:c r="G116" s="25" t="str">
        <x:v>Wholesale Banking and Bank Runs in Macroeconomic Modeling of Financial Crises,</x:v>
      </x:c>
      <x:c r="H116" s="25" t="str">
        <x:v>Gertler, M., N. Kiyotaki, and A. Prestipino (2016): “Wholesale Banking and Bank Runs in Macroeconomic Modeling of Financial Crises,” in Handbook of Macroeconomics, ed. by J. B. Taylor and H.</x:v>
      </x:c>
      <x:c r="I116" s="25" t="str"/>
      <x:c r="J116" s="28" t="str">
        <x:v>fragmentada</x:v>
      </x:c>
      <x:c r="K116" s="28" t="str">
        <x:v>no_aplica</x:v>
      </x:c>
      <x:c r="L116" s="28" t="str">
        <x:v>no_aplica</x:v>
      </x:c>
      <x:c r="M116" s="28" t="str">
        <x:v>no_aplica</x:v>
      </x:c>
      <x:c r="N116" s="29" t="str">
        <x:v>Unir con la fila contigua de la referencia original.</x:v>
      </x:c>
      <x:c r="O116" s="29" t="str">
        <x:v>La fila contiene solo una parte de una referencia bibliográfica. Página PDF 47.</x:v>
      </x:c>
      <x:c r="P116" s="28" t="str">
        <x:v>Codex</x:v>
      </x:c>
      <x:c r="Q116" s="30" t="n">
        <x:v>46280.708333333336</x:v>
      </x:c>
    </x:row>
    <x:row r="117">
      <x:c r="A117" s="24" t="str">
        <x:v>R109</x:v>
      </x:c>
      <x:c r="B117" s="24" t="str">
        <x:v>P13</x:v>
      </x:c>
      <x:c r="C117" s="24" t="str">
        <x:v>saki_research/published_papers/bigio_kanzig_sanchez_walsh_carbon_pricing_inequality_normative_pespective.pdf</x:v>
      </x:c>
      <x:c r="D117" s="24" t="n">
        <x:v>35</x:v>
      </x:c>
      <x:c r="E117" s="24" t="str">
        <x:v>Olea</x:v>
      </x:c>
      <x:c r="F117" s="26" t="n">
        <x:v>2021</x:v>
      </x:c>
      <x:c r="G117" s="25" t="str">
        <x:v>Local projection inference is simpler and more robust than you think</x:v>
      </x:c>
      <x:c r="H117" s="25" t="str">
        <x:v>Olea, José Luis and Mikkel Plagborg-Møller(2021). “Local projection inference is simpler and more robust than you think”. Econometrica 89.4, pp. 1789–1823.</x:v>
      </x:c>
      <x:c r="I117" s="25" t="str"/>
      <x:c r="J117" s="28" t="str">
        <x:v>fragmentada</x:v>
      </x:c>
      <x:c r="K117" s="28" t="str">
        <x:v>no_aplica</x:v>
      </x:c>
      <x:c r="L117" s="28" t="str">
        <x:v>no_aplica</x:v>
      </x:c>
      <x:c r="M117" s="28" t="str">
        <x:v>no_aplica</x:v>
      </x:c>
      <x:c r="N117" s="29" t="str">
        <x:v>Unir con la fila contigua de la referencia original.</x:v>
      </x:c>
      <x:c r="O117" s="29" t="str">
        <x:v>La fila contiene solo una parte de una referencia bibliográfica. Página PDF 10.</x:v>
      </x:c>
      <x:c r="P117" s="28" t="str">
        <x:v>Codex</x:v>
      </x:c>
      <x:c r="Q117" s="30" t="n">
        <x:v>46280.708333333336</x:v>
      </x:c>
    </x:row>
    <x:row r="118">
      <x:c r="A118" s="24" t="str">
        <x:v>R110</x:v>
      </x:c>
      <x:c r="B118" s="24" t="str">
        <x:v>V01</x:v>
      </x:c>
      <x:c r="C118" s="24" t="str">
        <x:v>saki_research/research_vision/research_vision.pdf</x:v>
      </x:c>
      <x:c r="D118" s="24" t="n">
        <x:v>49</x:v>
      </x:c>
      <x:c r="E118" s="24" t="str">
        <x:v>Holmstrom</x:v>
      </x:c>
      <x:c r="F118" s="26" t="str"/>
      <x:c r="G118" s="25" t="str"/>
      <x:c r="H118" s="25" t="str">
        <x:v>Holmstrom, Bengt and Jean Tirole, “Financial</x:v>
      </x:c>
      <x:c r="I118" s="25" t="str">
        <x:v>missing_year; title_not_isolated</x:v>
      </x:c>
      <x:c r="J118" s="28" t="str">
        <x:v>fragmentada</x:v>
      </x:c>
      <x:c r="K118" s="28" t="str">
        <x:v>no_aplica</x:v>
      </x:c>
      <x:c r="L118" s="28" t="str">
        <x:v>no_aplica</x:v>
      </x:c>
      <x:c r="M118" s="28" t="str">
        <x:v>no_aplica</x:v>
      </x:c>
      <x:c r="N118" s="29" t="str">
        <x:v>Unir con la fila contigua de la referencia original.</x:v>
      </x:c>
      <x:c r="O118" s="29" t="str">
        <x:v>La fila contiene solo una parte de una referencia bibliográfica. Página PDF 23.</x:v>
      </x:c>
      <x:c r="P118" s="28" t="str">
        <x:v>Codex</x:v>
      </x:c>
      <x:c r="Q118" s="30" t="n">
        <x:v>46280.708333333336</x:v>
      </x:c>
    </x:row>
    <x:row r="119">
      <x:c r="A119" s="24" t="str">
        <x:v>R111</x:v>
      </x:c>
      <x:c r="B119" s="24" t="str">
        <x:v>W07</x:v>
      </x:c>
      <x:c r="C119" s="24" t="str">
        <x:v>saki_research/working_papers/bigio_d_erasmo_yepez_monetary_policy_implementation_regimes_reserve_demand_us.pdf</x:v>
      </x:c>
      <x:c r="D119" s="24" t="n">
        <x:v>10</x:v>
      </x:c>
      <x:c r="E119" s="24" t="str">
        <x:v>Borio</x:v>
      </x:c>
      <x:c r="F119" s="26" t="n">
        <x:v>1997</x:v>
      </x:c>
      <x:c r="G119" s="25" t="str">
        <x:v>Monetary Policy Operating Procedures in Industrial Countries,</x:v>
      </x:c>
      <x:c r="H119" s="25" t="str">
        <x:v>Borio, Claudio E. V. , “Monetary Policy Operating Procedures in Industrial Countries,” BIS Working Paper No. 40, Bank for International Settlements March 1997. 94 pp.</x:v>
      </x:c>
      <x:c r="I119" s="25" t="str"/>
      <x:c r="J119" s="28" t="str">
        <x:v>referencia_correcta</x:v>
      </x:c>
      <x:c r="K119" s="28" t="str">
        <x:v>sí</x:v>
      </x:c>
      <x:c r="L119" s="28" t="str">
        <x:v>sí</x:v>
      </x:c>
      <x:c r="M119" s="28" t="str">
        <x:v>sí</x:v>
      </x:c>
      <x:c r="N119" s="29" t="str"/>
      <x:c r="O119" s="29" t="str">
        <x:v>Contraste independiente con la sección de referencias del PDF. Página PDF 41.</x:v>
      </x:c>
      <x:c r="P119" s="28" t="str">
        <x:v>Codex</x:v>
      </x:c>
      <x:c r="Q119" s="30" t="n">
        <x:v>46280.708333333336</x:v>
      </x:c>
    </x:row>
    <x:row r="120">
      <x:c r="A120" s="24" t="str">
        <x:v>R112</x:v>
      </x:c>
      <x:c r="B120" s="24" t="str">
        <x:v>W07</x:v>
      </x:c>
      <x:c r="C120" s="24" t="str">
        <x:v>saki_research/working_papers/bigio_d_erasmo_yepez_monetary_policy_implementation_regimes_reserve_demand_us.pdf</x:v>
      </x:c>
      <x:c r="D120" s="24" t="n">
        <x:v>11</x:v>
      </x:c>
      <x:c r="E120" s="24" t="str">
        <x:v>Chernozhukov</x:v>
      </x:c>
      <x:c r="F120" s="26" t="n">
        <x:v>2022</x:v>
      </x:c>
      <x:c r="G120" s="25" t="str">
        <x:v>Foundations of Causal Inference and Econometrics: From Wright to Today,</x:v>
      </x:c>
      <x:c r="H120" s="25" t="str">
        <x:v>Chernozhukov, Victor, “Foundations of Causal Inference and Econometrics: From Wright to Today,” 2022. Lecture notes and discussions, American Economic Association continuing education series.</x:v>
      </x:c>
      <x:c r="I120" s="25" t="str"/>
      <x:c r="J120" s="28" t="str">
        <x:v>referencia_correcta</x:v>
      </x:c>
      <x:c r="K120" s="28" t="str">
        <x:v>sí</x:v>
      </x:c>
      <x:c r="L120" s="28" t="str">
        <x:v>sí</x:v>
      </x:c>
      <x:c r="M120" s="28" t="str">
        <x:v>sí</x:v>
      </x:c>
      <x:c r="N120" s="29" t="str"/>
      <x:c r="O120" s="29" t="str">
        <x:v>Contraste independiente con la sección de referencias del PDF. Página PDF 41.</x:v>
      </x:c>
      <x:c r="P120" s="28" t="str">
        <x:v>Codex</x:v>
      </x:c>
      <x:c r="Q120" s="30" t="n">
        <x:v>46280.708333333336</x:v>
      </x:c>
    </x:row>
    <x:row r="121">
      <x:c r="A121" s="24" t="str">
        <x:v>R113</x:v>
      </x:c>
      <x:c r="B121" s="24" t="str">
        <x:v>P09</x:v>
      </x:c>
      <x:c r="C121" s="24" t="str">
        <x:v>saki_research/published_papers/bigio_shi_repurchase_options_market_lemons.pdf</x:v>
      </x:c>
      <x:c r="D121" s="24" t="n">
        <x:v>57</x:v>
      </x:c>
      <x:c r="E121" s="24" t="str">
        <x:v>Tirole</x:v>
      </x:c>
      <x:c r="F121" s="26" t="n">
        <x:v>2012</x:v>
      </x:c>
      <x:c r="G121" s="25" t="str">
        <x:v>Overcoming Adverse Selection: How Public Intervention Can Restore Market Functioning,</x:v>
      </x:c>
      <x:c r="H121" s="25" t="str">
        <x:v>Tirole, Jean, “Overcoming Adverse Selection: How Public Intervention Can Restore Market Functioning,” The American Economic Review, 2012,102 (1), 29–59.</x:v>
      </x:c>
      <x:c r="I121" s="25" t="str"/>
      <x:c r="J121" s="28" t="str">
        <x:v>referencia_correcta</x:v>
      </x:c>
      <x:c r="K121" s="28" t="str">
        <x:v>sí</x:v>
      </x:c>
      <x:c r="L121" s="28" t="str">
        <x:v>sí</x:v>
      </x:c>
      <x:c r="M121" s="28" t="str">
        <x:v>sí</x:v>
      </x:c>
      <x:c r="N121" s="29" t="str"/>
      <x:c r="O121" s="29" t="str">
        <x:v>Contraste independiente con la sección de referencias del PDF. Página PDF 39.</x:v>
      </x:c>
      <x:c r="P121" s="28" t="str">
        <x:v>Codex</x:v>
      </x:c>
      <x:c r="Q121" s="30" t="n">
        <x:v>46280.708333333336</x:v>
      </x:c>
    </x:row>
    <x:row r="122">
      <x:c r="A122" s="24" t="str">
        <x:v>R114</x:v>
      </x:c>
      <x:c r="B122" s="24" t="str">
        <x:v>C03</x:v>
      </x:c>
      <x:c r="C122" s="24" t="str">
        <x:v>saki_research/published_comments/bigio_monetary_fiscal_history_peru_1960_2017_martinelli_vega.pdf</x:v>
      </x:c>
      <x:c r="D122" s="24" t="n">
        <x:v>2</x:v>
      </x:c>
      <x:c r="E122" s="24" t="str">
        <x:v>Lima</x:v>
      </x:c>
      <x:c r="F122" s="26" t="n">
        <x:v>1987</x:v>
      </x:c>
      <x:c r="G122" s="25" t="str"/>
      <x:c r="H122" s="25" t="str">
        <x:v>Lima, Peru, 1987. [Sargent(1986)] Thomas J. Sargent. The ends of four big in ations. In Rational Expectations and In ation . Harper &amp; Row</x:v>
      </x:c>
      <x:c r="I122" s="25" t="str">
        <x:v>title_not_isolated</x:v>
      </x:c>
      <x:c r="J122" s="28" t="str">
        <x:v>fusionada</x:v>
      </x:c>
      <x:c r="K122" s="28" t="str">
        <x:v>no_aplica</x:v>
      </x:c>
      <x:c r="L122" s="28" t="str">
        <x:v>no_aplica</x:v>
      </x:c>
      <x:c r="M122" s="28" t="str">
        <x:v>no_aplica</x:v>
      </x:c>
      <x:c r="N122" s="29" t="str">
        <x:v>Separar las referencias contenidas en esta fila.</x:v>
      </x:c>
      <x:c r="O122" s="29" t="str">
        <x:v>La fila reúne material de dos o más referencias consecutivas. Página PDF 4.</x:v>
      </x:c>
      <x:c r="P122" s="28" t="str">
        <x:v>Codex</x:v>
      </x:c>
      <x:c r="Q122" s="30" t="n">
        <x:v>46280.708333333336</x:v>
      </x:c>
    </x:row>
    <x:row r="123">
      <x:c r="A123" s="24" t="str">
        <x:v>R115</x:v>
      </x:c>
      <x:c r="B123" s="24" t="str">
        <x:v>P13</x:v>
      </x:c>
      <x:c r="C123" s="24" t="str">
        <x:v>saki_research/published_papers/bigio_kanzig_sanchez_walsh_carbon_pricing_inequality_normative_pespective.pdf</x:v>
      </x:c>
      <x:c r="D123" s="24" t="n">
        <x:v>22</x:v>
      </x:c>
      <x:c r="E123" s="24" t="str">
        <x:v>Jens</x:v>
      </x:c>
      <x:c r="F123" s="26" t="n">
        <x:v>2022</x:v>
      </x:c>
      <x:c r="G123" s="25" t="str">
        <x:v>Understanding the resistance to carbon taxes: Drivers and barriers among the general public and fuel-tax protesters</x:v>
      </x:c>
      <x:c r="H123" s="25" t="str">
        <x:v>Jens, Thomas Sterner, and Erik Sterner (2022). “Understanding the resistance to carbon taxes: Drivers and barriers among the general public and fuel-tax protesters”. Resource and Energy Economics 70, p. 101331. ISSN : 0928-7655.</x:v>
      </x:c>
      <x:c r="I123" s="25" t="str"/>
      <x:c r="J123" s="28" t="str">
        <x:v>fragmentada</x:v>
      </x:c>
      <x:c r="K123" s="28" t="str">
        <x:v>no_aplica</x:v>
      </x:c>
      <x:c r="L123" s="28" t="str">
        <x:v>no_aplica</x:v>
      </x:c>
      <x:c r="M123" s="28" t="str">
        <x:v>no_aplica</x:v>
      </x:c>
      <x:c r="N123" s="29" t="str">
        <x:v>Unir con la fila contigua de la referencia original.</x:v>
      </x:c>
      <x:c r="O123" s="29" t="str">
        <x:v>La fila contiene solo una parte de una referencia bibliográfica. Página PDF 28.</x:v>
      </x:c>
      <x:c r="P123" s="28" t="str">
        <x:v>Codex</x:v>
      </x:c>
      <x:c r="Q123" s="30" t="n">
        <x:v>46280.708333333336</x:v>
      </x:c>
    </x:row>
    <x:row r="124">
      <x:c r="A124" s="24" t="str">
        <x:v>R116</x:v>
      </x:c>
      <x:c r="B124" s="24" t="str">
        <x:v>P07</x:v>
      </x:c>
      <x:c r="C124" s="24" t="str">
        <x:v>saki_research/published_papers/bianchi_bigio_banks_liquidity_management_monetary_policy.pdf</x:v>
      </x:c>
      <x:c r="D124" s="24" t="n">
        <x:v>78</x:v>
      </x:c>
      <x:c r="E124" s="24" t="str">
        <x:v>Weill</x:v>
      </x:c>
      <x:c r="F124" s="26" t="n">
        <x:v>2020</x:v>
      </x:c>
      <x:c r="G124" s="25" t="str">
        <x:v>The Search Theory of Over-the-Counter Markets,</x:v>
      </x:c>
      <x:c r="H124" s="25" t="str">
        <x:v>Weill, P.-O. (2020): “The Search Theory of Over-the-Counter Markets,” Annual Review of Economics, 12.</x:v>
      </x:c>
      <x:c r="I124" s="25" t="str"/>
      <x:c r="J124" s="28" t="str">
        <x:v>referencia_correcta</x:v>
      </x:c>
      <x:c r="K124" s="28" t="str">
        <x:v>sí</x:v>
      </x:c>
      <x:c r="L124" s="28" t="str">
        <x:v>sí</x:v>
      </x:c>
      <x:c r="M124" s="28" t="str">
        <x:v>sí</x:v>
      </x:c>
      <x:c r="N124" s="29" t="str"/>
      <x:c r="O124" s="29" t="str">
        <x:v>Contraste independiente con la sección de referencias del PDF. Página PDF 49.</x:v>
      </x:c>
      <x:c r="P124" s="28" t="str">
        <x:v>Codex</x:v>
      </x:c>
      <x:c r="Q124" s="30" t="n">
        <x:v>46280.708333333336</x:v>
      </x:c>
    </x:row>
    <x:row r="125">
      <x:c r="A125" s="24" t="str">
        <x:v>R117</x:v>
      </x:c>
      <x:c r="B125" s="24" t="str">
        <x:v>W06</x:v>
      </x:c>
      <x:c r="C125" s="24" t="str">
        <x:v>saki_research/working_papers/bigio_zhang_zilberman_transfers_credit_policy_macroeconomic_policy_trade_offs_during_covid_19.pdf</x:v>
      </x:c>
      <x:c r="D125" s="24" t="n">
        <x:v>8</x:v>
      </x:c>
      <x:c r="E125" s="24" t="str">
        <x:v>Buera</x:v>
      </x:c>
      <x:c r="F125" s="26" t="str"/>
      <x:c r="G125" s="25" t="str">
        <x:v>The Economic Ripple Effects of COVID-19,</x:v>
      </x:c>
      <x:c r="H125" s="25" t="str">
        <x:v>Buera, Francisco J., Roberto N. Fattal-Jaef, P . André Neumeyer, and Yongseok Shin , “The Economic Ripple Effects of COVID-19,”</x:v>
      </x:c>
      <x:c r="I125" s="25" t="str">
        <x:v>missing_year</x:v>
      </x:c>
      <x:c r="J125" s="28" t="str">
        <x:v>fragmentada</x:v>
      </x:c>
      <x:c r="K125" s="28" t="str">
        <x:v>no_aplica</x:v>
      </x:c>
      <x:c r="L125" s="28" t="str">
        <x:v>no_aplica</x:v>
      </x:c>
      <x:c r="M125" s="28" t="str">
        <x:v>no_aplica</x:v>
      </x:c>
      <x:c r="N125" s="29" t="str">
        <x:v>Unir con la fila contigua de la referencia original.</x:v>
      </x:c>
      <x:c r="O125" s="29" t="str">
        <x:v>La fila contiene solo una parte de una referencia bibliográfica. Página PDF 25.</x:v>
      </x:c>
      <x:c r="P125" s="28" t="str">
        <x:v>Codex</x:v>
      </x:c>
      <x:c r="Q125" s="30" t="n">
        <x:v>46280.708333333336</x:v>
      </x:c>
    </x:row>
    <x:row r="126">
      <x:c r="A126" s="24" t="str">
        <x:v>R118</x:v>
      </x:c>
      <x:c r="B126" s="24" t="str">
        <x:v>E01</x:v>
      </x:c>
      <x:c r="C126" s="24" t="str">
        <x:v>saki_research/pre_phd_papers/bigio_ramirez_corrupcion_indicadores_desarrollo_pery_mundo_revision_empirica.pdf</x:v>
      </x:c>
      <x:c r="D126" s="24" t="n">
        <x:v>41</x:v>
      </x:c>
      <x:c r="E126" s="24" t="str">
        <x:v>Sachs</x:v>
      </x:c>
      <x:c r="F126" s="26" t="n">
        <x:v>1995</x:v>
      </x:c>
      <x:c r="G126" s="25" t="str">
        <x:v>Natural Resource Abundance and Economic Growth.</x:v>
      </x:c>
      <x:c r="H126" s="25" t="str">
        <x:v>Sachs, J. y A. Warner (1995): “Natural Resource Abundance and Economic Growth.” NBER Working paper 5398.</x:v>
      </x:c>
      <x:c r="I126" s="25" t="str"/>
      <x:c r="J126" s="28" t="str">
        <x:v>referencia_correcta</x:v>
      </x:c>
      <x:c r="K126" s="28" t="str">
        <x:v>sí</x:v>
      </x:c>
      <x:c r="L126" s="28" t="str">
        <x:v>sí</x:v>
      </x:c>
      <x:c r="M126" s="28" t="str">
        <x:v>sí</x:v>
      </x:c>
      <x:c r="N126" s="29" t="str"/>
      <x:c r="O126" s="29" t="str">
        <x:v>Contraste independiente con la sección de referencias del PDF. Página PDF 21.</x:v>
      </x:c>
      <x:c r="P126" s="28" t="str">
        <x:v>Codex</x:v>
      </x:c>
      <x:c r="Q126" s="30" t="n">
        <x:v>46280.708333333336</x:v>
      </x:c>
    </x:row>
    <x:row r="127">
      <x:c r="A127" s="24" t="str">
        <x:v>R119</x:v>
      </x:c>
      <x:c r="B127" s="24" t="str">
        <x:v>E02</x:v>
      </x:c>
      <x:c r="C127" s="24" t="str">
        <x:v>saki_research/pre_phd_papers/bigio_salas_non_linear_effects_monetary_policy_real_exchange_rate_shocks_partially_dollarized_economies_empirical_study_peru.pdf</x:v>
      </x:c>
      <x:c r="D127" s="24" t="n">
        <x:v>58</x:v>
      </x:c>
      <x:c r="E127" s="24" t="str">
        <x:v>Winkelried</x:v>
      </x:c>
      <x:c r="F127" s="26" t="n">
        <x:v>2004</x:v>
      </x:c>
      <x:c r="G127" s="25" t="str">
        <x:v>Tendencias Comunes y Análisis de la Política Monetaria en el Perú</x:v>
      </x:c>
      <x:c r="H127" s="25" t="str">
        <x:v>Winkelried, Diego (2004 ), “Tendencias Comunes y Análisis de la Política Monetaria en el Perú ”, Estudios Económicos, no 11, Banco Central de Reserva del Perú.</x:v>
      </x:c>
      <x:c r="I127" s="25" t="str"/>
      <x:c r="J127" s="28" t="str">
        <x:v>referencia_correcta</x:v>
      </x:c>
      <x:c r="K127" s="28" t="str">
        <x:v>sí</x:v>
      </x:c>
      <x:c r="L127" s="28" t="str">
        <x:v>sí</x:v>
      </x:c>
      <x:c r="M127" s="28" t="str">
        <x:v>sí</x:v>
      </x:c>
      <x:c r="N127" s="29" t="str"/>
      <x:c r="O127" s="29" t="str">
        <x:v>Contraste independiente con la sección de referencias del PDF. Página PDF 31.</x:v>
      </x:c>
      <x:c r="P127" s="28" t="str">
        <x:v>Codex</x:v>
      </x:c>
      <x:c r="Q127" s="30" t="n">
        <x:v>46280.708333333336</x:v>
      </x:c>
    </x:row>
    <x:row r="128">
      <x:c r="A128" s="24" t="str">
        <x:v>R120</x:v>
      </x:c>
      <x:c r="B128" s="24" t="str">
        <x:v>P09</x:v>
      </x:c>
      <x:c r="C128" s="24" t="str">
        <x:v>saki_research/published_papers/bigio_shi_repurchase_options_market_lemons.pdf</x:v>
      </x:c>
      <x:c r="D128" s="24" t="n">
        <x:v>48</x:v>
      </x:c>
      <x:c r="E128" s="24" t="str">
        <x:v>Emre</x:v>
      </x:c>
      <x:c r="F128" s="26" t="n">
        <x:v>2023</x:v>
      </x:c>
      <x:c r="G128" s="25" t="str">
        <x:v>Dynamic Asset-Backed Security Design,</x:v>
      </x:c>
      <x:c r="H128" s="25" t="str">
        <x:v>Emre, Kathy Yuan, and Shengxing Zhang, “Dynamic Asset-Backed Security Design,” The Review of Economic Studies, 03 2023, p. rdad022.</x:v>
      </x:c>
      <x:c r="I128" s="25" t="str"/>
      <x:c r="J128" s="28" t="str">
        <x:v>fragmentada</x:v>
      </x:c>
      <x:c r="K128" s="28" t="str">
        <x:v>no_aplica</x:v>
      </x:c>
      <x:c r="L128" s="28" t="str">
        <x:v>no_aplica</x:v>
      </x:c>
      <x:c r="M128" s="28" t="str">
        <x:v>no_aplica</x:v>
      </x:c>
      <x:c r="N128" s="29" t="str">
        <x:v>Unir con la fila contigua de la referencia original.</x:v>
      </x:c>
      <x:c r="O128" s="29" t="str">
        <x:v>La fila contiene solo una parte de una referencia bibliográfica. Página PDF 38.</x:v>
      </x:c>
      <x:c r="P128" s="28" t="str">
        <x:v>Codex</x:v>
      </x:c>
      <x:c r="Q128" s="30" t="n">
        <x:v>46280.708333333336</x:v>
      </x:c>
    </x:row>
    <x:row r="129">
      <x:c r="A129" s="24" t="str">
        <x:v>R121</x:v>
      </x:c>
      <x:c r="B129" s="24" t="str">
        <x:v>P09</x:v>
      </x:c>
      <x:c r="C129" s="24" t="str">
        <x:v>saki_research/published_papers/bigio_shi_repurchase_options_market_lemons.pdf</x:v>
      </x:c>
      <x:c r="D129" s="24" t="n">
        <x:v>6</x:v>
      </x:c>
      <x:c r="E129" s="24" t="str">
        <x:v>Asriyan</x:v>
      </x:c>
      <x:c r="F129" s="26" t="n">
        <x:v>2023</x:v>
      </x:c>
      <x:c r="G129" s="25" t="str">
        <x:v>Security Design in Non-Exclusive Markets with Asymmetric Information,</x:v>
      </x:c>
      <x:c r="H129" s="25" t="str">
        <x:v>Asriyan, Vladimir and Victoria Vanasco, “Security Design in Non-Exclusive Markets with Asymmetric Information,” The Review of Economic Studies, 04 2023, p. rdad038.</x:v>
      </x:c>
      <x:c r="I129" s="25" t="str"/>
      <x:c r="J129" s="28" t="str">
        <x:v>referencia_correcta</x:v>
      </x:c>
      <x:c r="K129" s="28" t="str">
        <x:v>sí</x:v>
      </x:c>
      <x:c r="L129" s="28" t="str">
        <x:v>sí</x:v>
      </x:c>
      <x:c r="M129" s="28" t="str">
        <x:v>sí</x:v>
      </x:c>
      <x:c r="N129" s="29" t="str"/>
      <x:c r="O129" s="29" t="str">
        <x:v>Contraste independiente con la sección de referencias del PDF. Página PDF 35.</x:v>
      </x:c>
      <x:c r="P129" s="28" t="str">
        <x:v>Codex</x:v>
      </x:c>
      <x:c r="Q129" s="30" t="n">
        <x:v>46280.708333333336</x:v>
      </x:c>
    </x:row>
    <x:row r="130">
      <x:c r="A130" s="24" t="str">
        <x:v>R122</x:v>
      </x:c>
      <x:c r="B130" s="24" t="str">
        <x:v>W06</x:v>
      </x:c>
      <x:c r="C130" s="24" t="str">
        <x:v>saki_research/working_papers/bigio_zhang_zilberman_transfers_credit_policy_macroeconomic_policy_trade_offs_during_covid_19.pdf</x:v>
      </x:c>
      <x:c r="D130" s="24" t="n">
        <x:v>13</x:v>
      </x:c>
      <x:c r="E130" s="24" t="str">
        <x:v>Eichenbaum</x:v>
      </x:c>
      <x:c r="F130" s="26" t="n">
        <x:v>2020</x:v>
      </x:c>
      <x:c r="G130" s="25" t="str">
        <x:v>The macroeconomics of epidemics,</x:v>
      </x:c>
      <x:c r="H130" s="25" t="str">
        <x:v>Eichenbaum, Martin S, Sergio Rebelo, and Mathias Trabandt , “The macroeconomics of epidemics,” Technical Report 26882, National Bureau of Economic Research 2020.</x:v>
      </x:c>
      <x:c r="I130" s="25" t="str"/>
      <x:c r="J130" s="28" t="str">
        <x:v>referencia_correcta</x:v>
      </x:c>
      <x:c r="K130" s="28" t="str">
        <x:v>sí</x:v>
      </x:c>
      <x:c r="L130" s="28" t="str">
        <x:v>sí</x:v>
      </x:c>
      <x:c r="M130" s="28" t="str">
        <x:v>sí</x:v>
      </x:c>
      <x:c r="N130" s="29" t="str"/>
      <x:c r="O130" s="29" t="str">
        <x:v>Contraste independiente con la sección de referencias del PDF. Página PDF 25.</x:v>
      </x:c>
      <x:c r="P130" s="28" t="str">
        <x:v>Codex</x:v>
      </x:c>
      <x:c r="Q130" s="30" t="n">
        <x:v>46280.708333333336</x:v>
      </x:c>
    </x:row>
    <x:row r="131">
      <x:c r="A131" s="24" t="str">
        <x:v>R123</x:v>
      </x:c>
      <x:c r="B131" s="24" t="str">
        <x:v>V01</x:v>
      </x:c>
      <x:c r="C131" s="24" t="str">
        <x:v>saki_research/research_vision/research_vision.pdf</x:v>
      </x:c>
      <x:c r="D131" s="24" t="n">
        <x:v>69</x:v>
      </x:c>
      <x:c r="E131" s="24" t="str">
        <x:v>Beliefs</x:v>
      </x:c>
      <x:c r="F131" s="26" t="str"/>
      <x:c r="G131" s="25" t="str"/>
      <x:c r="H131" s="25" t="str">
        <x:v>Beliefs, Asset Prices, and Business Cycles</x:v>
      </x:c>
      <x:c r="I131" s="25" t="str">
        <x:v>missing_year; title_not_isolated</x:v>
      </x:c>
      <x:c r="J131" s="28" t="str">
        <x:v>no_es_referencia</x:v>
      </x:c>
      <x:c r="K131" s="28" t="str">
        <x:v>no_aplica</x:v>
      </x:c>
      <x:c r="L131" s="28" t="str">
        <x:v>no_aplica</x:v>
      </x:c>
      <x:c r="M131" s="28" t="str">
        <x:v>no_aplica</x:v>
      </x:c>
      <x:c r="N131" s="29" t="str">
        <x:v>Excluir esta fila del conjunto de referencias.</x:v>
      </x:c>
      <x:c r="O131" s="29" t="str">
        <x:v>Es texto del cuerpo, apéndice o agenda; no una referencia bibliográfica. Página PDF 3.</x:v>
      </x:c>
      <x:c r="P131" s="28" t="str">
        <x:v>Codex</x:v>
      </x:c>
      <x:c r="Q131" s="30" t="n">
        <x:v>46280.708333333336</x:v>
      </x:c>
    </x:row>
    <x:row r="132">
      <x:c r="A132" s="24" t="str">
        <x:v>R124</x:v>
      </x:c>
      <x:c r="B132" s="24" t="str">
        <x:v>W02</x:v>
      </x:c>
      <x:c r="C132" s="24" t="str">
        <x:v>saki_research/working_papers/bigio_sannikov_model_credit_money_interest_prices.pdf</x:v>
      </x:c>
      <x:c r="D132" s="24" t="n">
        <x:v>30</x:v>
      </x:c>
      <x:c r="E132" s="24" t="str">
        <x:v>Farhi</x:v>
      </x:c>
      <x:c r="F132" s="26" t="n">
        <x:v>2016</x:v>
      </x:c>
      <x:c r="G132" s="25" t="str">
        <x:v>A Theory of Macroprudential Policies in the Presence of Nominal Rigidities,</x:v>
      </x:c>
      <x:c r="H132" s="25" t="str">
        <x:v>Farhi, Emmanuel and Iv´ an Werning, “A Theory of Macroprudential Policies in the Presence of Nominal Rigidities,” Econometrica, 2016, 84 (5), 1645–1704. Lead article.</x:v>
      </x:c>
      <x:c r="I132" s="25" t="str"/>
      <x:c r="J132" s="28" t="str">
        <x:v>referencia_correcta</x:v>
      </x:c>
      <x:c r="K132" s="28" t="str">
        <x:v>sí</x:v>
      </x:c>
      <x:c r="L132" s="28" t="str">
        <x:v>sí</x:v>
      </x:c>
      <x:c r="M132" s="28" t="str">
        <x:v>sí</x:v>
      </x:c>
      <x:c r="N132" s="29" t="str"/>
      <x:c r="O132" s="29" t="str">
        <x:v>Contraste independiente con la sección de referencias del PDF. Página PDF 43.</x:v>
      </x:c>
      <x:c r="P132" s="28" t="str">
        <x:v>Codex</x:v>
      </x:c>
      <x:c r="Q132" s="30" t="n">
        <x:v>46280.708333333336</x:v>
      </x:c>
    </x:row>
    <x:row r="133">
      <x:c r="A133" s="24" t="str">
        <x:v>R125</x:v>
      </x:c>
      <x:c r="B133" s="24" t="str">
        <x:v>E01</x:v>
      </x:c>
      <x:c r="C133" s="24" t="str">
        <x:v>saki_research/pre_phd_papers/bigio_ramirez_corrupcion_indicadores_desarrollo_pery_mundo_revision_empirica.pdf</x:v>
      </x:c>
      <x:c r="D133" s="24" t="n">
        <x:v>35</x:v>
      </x:c>
      <x:c r="E133" s="24" t="str">
        <x:v>Mauro</x:v>
      </x:c>
      <x:c r="F133" s="26" t="n">
        <x:v>1998</x:v>
      </x:c>
      <x:c r="G133" s="25" t="str">
        <x:v>Corruption and the Composition of Government Expenditure.</x:v>
      </x:c>
      <x:c r="H133" s="25" t="str">
        <x:v>Mauro, P. (1998a): “Corruption and the Composition of Government Expenditure.” Journal of Public Economics, 69(2), pp. 263-279.</x:v>
      </x:c>
      <x:c r="I133" s="25" t="str"/>
      <x:c r="J133" s="28" t="str">
        <x:v>referencia_correcta</x:v>
      </x:c>
      <x:c r="K133" s="28" t="str">
        <x:v>sí</x:v>
      </x:c>
      <x:c r="L133" s="28" t="str">
        <x:v>sí</x:v>
      </x:c>
      <x:c r="M133" s="28" t="str">
        <x:v>sí</x:v>
      </x:c>
      <x:c r="N133" s="29" t="str"/>
      <x:c r="O133" s="29" t="str">
        <x:v>Contraste independiente con la sección de referencias del PDF. Página PDF 21.</x:v>
      </x:c>
      <x:c r="P133" s="28" t="str">
        <x:v>Codex</x:v>
      </x:c>
      <x:c r="Q133" s="30" t="n">
        <x:v>46280.708333333336</x:v>
      </x:c>
    </x:row>
    <x:row r="134">
      <x:c r="A134" s="24" t="str">
        <x:v>R126</x:v>
      </x:c>
      <x:c r="B134" s="24" t="str">
        <x:v>W10</x:v>
      </x:c>
      <x:c r="C134" s="24" t="str">
        <x:v>saki_research/working_papers/bigio_ishide_new_keynesian_economics_through_extensive_margin.pdf</x:v>
      </x:c>
      <x:c r="D134" s="24" t="n">
        <x:v>3</x:v>
      </x:c>
      <x:c r="E134" s="24" t="str">
        <x:v>Adrien</x:v>
      </x:c>
      <x:c r="F134" s="26" t="str"/>
      <x:c r="G134" s="25" t="str">
        <x:v>Micro jumps, macro humps: Monetary policy and business cycles in an estimated HANK model,</x:v>
      </x:c>
      <x:c r="H134" s="25" t="str">
        <x:v>Adrien, Matthew Rognlie, and Ludwig Straub , “Micro jumps, macro humps: Monetary policy and business cycles in an estimated HANK model,” Technical</x:v>
      </x:c>
      <x:c r="I134" s="25" t="str">
        <x:v>missing_year</x:v>
      </x:c>
      <x:c r="J134" s="28" t="str">
        <x:v>fragmentada</x:v>
      </x:c>
      <x:c r="K134" s="28" t="str">
        <x:v>no_aplica</x:v>
      </x:c>
      <x:c r="L134" s="28" t="str">
        <x:v>no_aplica</x:v>
      </x:c>
      <x:c r="M134" s="28" t="str">
        <x:v>no_aplica</x:v>
      </x:c>
      <x:c r="N134" s="29" t="str">
        <x:v>Unir con la fila contigua de la referencia original.</x:v>
      </x:c>
      <x:c r="O134" s="29" t="str">
        <x:v>La fila contiene solo una parte de una referencia bibliográfica. Página PDF 19.</x:v>
      </x:c>
      <x:c r="P134" s="28" t="str">
        <x:v>Codex</x:v>
      </x:c>
      <x:c r="Q134" s="30" t="n">
        <x:v>46280.708333333336</x:v>
      </x:c>
    </x:row>
    <x:row r="135">
      <x:c r="A135" s="24" t="str">
        <x:v>R127</x:v>
      </x:c>
      <x:c r="B135" s="24" t="str">
        <x:v>E02</x:v>
      </x:c>
      <x:c r="C135" s="24" t="str">
        <x:v>saki_research/pre_phd_papers/bigio_salas_non_linear_effects_monetary_policy_real_exchange_rate_shocks_partially_dollarized_economies_empirical_study_peru.pdf</x:v>
      </x:c>
      <x:c r="D135" s="24" t="n">
        <x:v>22</x:v>
      </x:c>
      <x:c r="E135" s="24" t="str">
        <x:v>Céspedes</x:v>
      </x:c>
      <x:c r="F135" s="26" t="n">
        <x:v>2005</x:v>
      </x:c>
      <x:c r="G135" s="25" t="str"/>
      <x:c r="H135" s="25" t="str">
        <x:v>Céspedes, Luis F. (2005), Financial Frictions and Real</x:v>
      </x:c>
      <x:c r="I135" s="25" t="str">
        <x:v>title_not_isolated</x:v>
      </x:c>
      <x:c r="J135" s="28" t="str">
        <x:v>fragmentada</x:v>
      </x:c>
      <x:c r="K135" s="28" t="str">
        <x:v>no_aplica</x:v>
      </x:c>
      <x:c r="L135" s="28" t="str">
        <x:v>no_aplica</x:v>
      </x:c>
      <x:c r="M135" s="28" t="str">
        <x:v>no_aplica</x:v>
      </x:c>
      <x:c r="N135" s="29" t="str">
        <x:v>Unir con la fila contigua de la referencia original.</x:v>
      </x:c>
      <x:c r="O135" s="29" t="str">
        <x:v>La fila contiene solo una parte de una referencia bibliográfica. Página PDF 29.</x:v>
      </x:c>
      <x:c r="P135" s="28" t="str">
        <x:v>Codex</x:v>
      </x:c>
      <x:c r="Q135" s="30" t="n">
        <x:v>46280.708333333336</x:v>
      </x:c>
    </x:row>
    <x:row r="136">
      <x:c r="A136" s="24" t="str">
        <x:v>R128</x:v>
      </x:c>
      <x:c r="B136" s="24" t="str">
        <x:v>W02</x:v>
      </x:c>
      <x:c r="C136" s="24" t="str">
        <x:v>saki_research/working_papers/bigio_sannikov_model_credit_money_interest_prices.pdf</x:v>
      </x:c>
      <x:c r="D136" s="24" t="n">
        <x:v>34</x:v>
      </x:c>
      <x:c r="E136" s="24" t="str">
        <x:v>Greenwald</x:v>
      </x:c>
      <x:c r="F136" s="26" t="n">
        <x:v>2018</x:v>
      </x:c>
      <x:c r="G136" s="25" t="str">
        <x:v>The mortgage credit channel of macroeconomic transmission,</x:v>
      </x:c>
      <x:c r="H136" s="25" t="str">
        <x:v>Greenwald, Daniel, “The mortgage credit channel of macroeconomic transmission,” 2018. Gu</x:v>
      </x:c>
      <x:c r="I136" s="25" t="str"/>
      <x:c r="J136" s="28" t="str">
        <x:v>fusionada</x:v>
      </x:c>
      <x:c r="K136" s="28" t="str">
        <x:v>no_aplica</x:v>
      </x:c>
      <x:c r="L136" s="28" t="str">
        <x:v>no_aplica</x:v>
      </x:c>
      <x:c r="M136" s="28" t="str">
        <x:v>no_aplica</x:v>
      </x:c>
      <x:c r="N136" s="29" t="str">
        <x:v>Separar las referencias contenidas en esta fila.</x:v>
      </x:c>
      <x:c r="O136" s="29" t="str">
        <x:v>La fila reúne material de dos o más referencias consecutivas. Página PDF 43.</x:v>
      </x:c>
      <x:c r="P136" s="28" t="str">
        <x:v>Codex</x:v>
      </x:c>
      <x:c r="Q136" s="30" t="n">
        <x:v>46280.708333333336</x:v>
      </x:c>
    </x:row>
    <x:row r="137">
      <x:c r="A137" s="24" t="str">
        <x:v>R129</x:v>
      </x:c>
      <x:c r="B137" s="24" t="str">
        <x:v>P09</x:v>
      </x:c>
      <x:c r="C137" s="24" t="str">
        <x:v>saki_research/published_papers/bigio_shi_repurchase_options_market_lemons.pdf</x:v>
      </x:c>
      <x:c r="D137" s="24" t="n">
        <x:v>45</x:v>
      </x:c>
      <x:c r="E137" s="24" t="str">
        <x:v>Monnet</x:v>
      </x:c>
      <x:c r="F137" s="26" t="n">
        <x:v>2017</x:v>
      </x:c>
      <x:c r="G137" s="25" t="str">
        <x:v>Why Rent When You Can Buy?,</x:v>
      </x:c>
      <x:c r="H137" s="25" t="str">
        <x:v>Monnet, Cyril and Borghan Narajabad, “Why Rent When You Can Buy?,”FEDS Working Paper No. 2017-094, 2017.</x:v>
      </x:c>
      <x:c r="I137" s="25" t="str"/>
      <x:c r="J137" s="28" t="str">
        <x:v>referencia_correcta</x:v>
      </x:c>
      <x:c r="K137" s="28" t="str">
        <x:v>sí</x:v>
      </x:c>
      <x:c r="L137" s="28" t="str">
        <x:v>sí</x:v>
      </x:c>
      <x:c r="M137" s="28" t="str">
        <x:v>sí</x:v>
      </x:c>
      <x:c r="N137" s="29" t="str"/>
      <x:c r="O137" s="29" t="str">
        <x:v>Contraste independiente con la sección de referencias del PDF. Página PDF 38.</x:v>
      </x:c>
      <x:c r="P137" s="28" t="str">
        <x:v>Codex</x:v>
      </x:c>
      <x:c r="Q137" s="30" t="n">
        <x:v>46280.708333333336</x:v>
      </x:c>
    </x:row>
    <x:row r="138">
      <x:c r="A138" s="24" t="str">
        <x:v>R130</x:v>
      </x:c>
      <x:c r="B138" s="24" t="str">
        <x:v>P06</x:v>
      </x:c>
      <x:c r="C138" s="24" t="str">
        <x:v>saki_research/published_papers/bigio_d_anvernas_financial_risk_capacity.pdf</x:v>
      </x:c>
      <x:c r="D138" s="24" t="n">
        <x:v>15</x:v>
      </x:c>
      <x:c r="E138" s="24" t="str">
        <x:v>Hubbard</x:v>
      </x:c>
      <x:c r="F138" s="26" t="n">
        <x:v>1991</x:v>
      </x:c>
      <x:c r="G138" s="25" t="str"/>
      <x:c r="H138" s="25" t="str">
        <x:v>Hubbard, R. Glenn, editor, Financial Markets and Financial Crises. University of Chicago Press, 1991.</x:v>
      </x:c>
      <x:c r="I138" s="25" t="str">
        <x:v>title_not_isolated</x:v>
      </x:c>
      <x:c r="J138" s="28" t="str">
        <x:v>referencia_correcta</x:v>
      </x:c>
      <x:c r="K138" s="28" t="str">
        <x:v>sí</x:v>
      </x:c>
      <x:c r="L138" s="28" t="str">
        <x:v>sí</x:v>
      </x:c>
      <x:c r="M138" s="28" t="str">
        <x:v>no</x:v>
      </x:c>
      <x:c r="N138" s="29" t="str"/>
      <x:c r="O138" s="29" t="str">
        <x:v>La fila corresponde a una referencia completa, pero el título no quedó aislado por el extractor. Página PDF 40.</x:v>
      </x:c>
      <x:c r="P138" s="28" t="str">
        <x:v>Codex</x:v>
      </x:c>
      <x:c r="Q138" s="30" t="n">
        <x:v>46280.708333333336</x:v>
      </x:c>
    </x:row>
    <x:row r="139">
      <x:c r="A139" s="24" t="str">
        <x:v>R131</x:v>
      </x:c>
      <x:c r="B139" s="24" t="str">
        <x:v>W08</x:v>
      </x:c>
      <x:c r="C139" s="24" t="str">
        <x:v>saki_research/working_papers/bigio_mendez_patten_theory_payments_chain_crises.pdf</x:v>
      </x:c>
      <x:c r="D139" s="24" t="n">
        <x:v>8</x:v>
      </x:c>
      <x:c r="E139" s="24" t="str">
        <x:v>Boissay</x:v>
      </x:c>
      <x:c r="F139" s="26" t="n">
        <x:v>2007</x:v>
      </x:c>
      <x:c r="G139" s="25" t="str">
        <x:v>Trade Credit Defaults and Liquidity Provision by Firms,</x:v>
      </x:c>
      <x:c r="H139" s="25" t="str">
        <x:v>Boissay, Frederic and Reint Gropp, “Trade Credit Defaults and Liquidity Provision by Firms,” 2007. European Central Bank working paper series, 753. 1</x:v>
      </x:c>
      <x:c r="I139" s="25" t="str"/>
      <x:c r="J139" s="28" t="str">
        <x:v>referencia_correcta</x:v>
      </x:c>
      <x:c r="K139" s="28" t="str">
        <x:v>sí</x:v>
      </x:c>
      <x:c r="L139" s="28" t="str">
        <x:v>sí</x:v>
      </x:c>
      <x:c r="M139" s="28" t="str">
        <x:v>sí</x:v>
      </x:c>
      <x:c r="N139" s="29" t="str"/>
      <x:c r="O139" s="29" t="str">
        <x:v>Contraste independiente con la sección de referencias del PDF. Página PDF 51.</x:v>
      </x:c>
      <x:c r="P139" s="28" t="str">
        <x:v>Codex</x:v>
      </x:c>
      <x:c r="Q139" s="30" t="n">
        <x:v>46280.708333333336</x:v>
      </x:c>
    </x:row>
    <x:row r="140">
      <x:c r="A140" s="24" t="str">
        <x:v>R132</x:v>
      </x:c>
      <x:c r="B140" s="24" t="str">
        <x:v>P13</x:v>
      </x:c>
      <x:c r="C140" s="24" t="str">
        <x:v>saki_research/published_papers/bigio_kanzig_sanchez_walsh_carbon_pricing_inequality_normative_pespective.pdf</x:v>
      </x:c>
      <x:c r="D140" s="24" t="n">
        <x:v>13</x:v>
      </x:c>
      <x:c r="E140" s="24" t="str">
        <x:v>Bovenberg</x:v>
      </x:c>
      <x:c r="F140" s="26" t="n">
        <x:v>1996</x:v>
      </x:c>
      <x:c r="G140" s="25" t="str">
        <x:v>Optimal environmental taxation in the presence of other taxes: general-equilibrium analyses</x:v>
      </x:c>
      <x:c r="H140" s="25" t="str">
        <x:v>Bovenberg, A. Lans and Lawrence H. Goulder (1996). “Optimal environmental taxation in the presence of other taxes: general-equilibrium analyses”. The American Economic Review 86.4, pp. 985–1000.</x:v>
      </x:c>
      <x:c r="I140" s="25" t="str"/>
      <x:c r="J140" s="28" t="str">
        <x:v>referencia_correcta</x:v>
      </x:c>
      <x:c r="K140" s="28" t="str">
        <x:v>sí</x:v>
      </x:c>
      <x:c r="L140" s="28" t="str">
        <x:v>sí</x:v>
      </x:c>
      <x:c r="M140" s="28" t="str">
        <x:v>sí</x:v>
      </x:c>
      <x:c r="N140" s="29" t="str"/>
      <x:c r="O140" s="29" t="str">
        <x:v>Contraste independiente con la sección de referencias del PDF. Página PDF 27.</x:v>
      </x:c>
      <x:c r="P140" s="28" t="str">
        <x:v>Codex</x:v>
      </x:c>
      <x:c r="Q140" s="30" t="n">
        <x:v>46280.708333333336</x:v>
      </x:c>
    </x:row>
    <x:row r="141">
      <x:c r="A141" s="24" t="str">
        <x:v>R133</x:v>
      </x:c>
      <x:c r="B141" s="24" t="str">
        <x:v>W02</x:v>
      </x:c>
      <x:c r="C141" s="24" t="str">
        <x:v>saki_research/working_papers/bigio_sannikov_model_credit_money_interest_prices.pdf</x:v>
      </x:c>
      <x:c r="D141" s="24" t="n">
        <x:v>10</x:v>
      </x:c>
      <x:c r="E141" s="24" t="str">
        <x:v>Benigno</x:v>
      </x:c>
      <x:c r="F141" s="26" t="n">
        <x:v>2021</x:v>
      </x:c>
      <x:c r="G141" s="25" t="str">
        <x:v>Interest, Reserves and Prices,</x:v>
      </x:c>
      <x:c r="H141" s="25" t="str">
        <x:v>Benigno, Gianluca and Pierpaolo Benigno , “Interest, Reserves and Prices,” 2021.</x:v>
      </x:c>
      <x:c r="I141" s="25" t="str"/>
      <x:c r="J141" s="28" t="str">
        <x:v>referencia_correcta</x:v>
      </x:c>
      <x:c r="K141" s="28" t="str">
        <x:v>sí</x:v>
      </x:c>
      <x:c r="L141" s="28" t="str">
        <x:v>sí</x:v>
      </x:c>
      <x:c r="M141" s="28" t="str">
        <x:v>sí</x:v>
      </x:c>
      <x:c r="N141" s="29" t="str"/>
      <x:c r="O141" s="29" t="str">
        <x:v>Contraste independiente con la sección de referencias del PDF. Página PDF 41.</x:v>
      </x:c>
      <x:c r="P141" s="28" t="str">
        <x:v>Codex</x:v>
      </x:c>
      <x:c r="Q141" s="30" t="n">
        <x:v>46280.708333333336</x:v>
      </x:c>
    </x:row>
    <x:row r="142">
      <x:c r="A142" s="24" t="str">
        <x:v>R134</x:v>
      </x:c>
      <x:c r="B142" s="24" t="str">
        <x:v>E02</x:v>
      </x:c>
      <x:c r="C142" s="24" t="str">
        <x:v>saki_research/pre_phd_papers/bigio_salas_non_linear_effects_monetary_policy_real_exchange_rate_shocks_partially_dollarized_economies_empirical_study_peru.pdf</x:v>
      </x:c>
      <x:c r="D142" s="24" t="n">
        <x:v>36</x:v>
      </x:c>
      <x:c r="E142" s="24" t="str">
        <x:v>Koop</x:v>
      </x:c>
      <x:c r="F142" s="26" t="n">
        <x:v>1996</x:v>
      </x:c>
      <x:c r="G142" s="25" t="str">
        <x:v>Impulse Response Analysis in Nonlinear Multivariate Models</x:v>
      </x:c>
      <x:c r="H142" s="25" t="str">
        <x:v>Koop, Gary M, Hashem Pesara n and Simon M. Potter (1996), “Impulse Response Analysis in Nonlinear Multivariate Models”, Journal of Econometrics, vol. 74, pp. 119-47.</x:v>
      </x:c>
      <x:c r="I142" s="25" t="str"/>
      <x:c r="J142" s="28" t="str">
        <x:v>referencia_correcta</x:v>
      </x:c>
      <x:c r="K142" s="28" t="str">
        <x:v>sí</x:v>
      </x:c>
      <x:c r="L142" s="28" t="str">
        <x:v>sí</x:v>
      </x:c>
      <x:c r="M142" s="28" t="str">
        <x:v>sí</x:v>
      </x:c>
      <x:c r="N142" s="29" t="str"/>
      <x:c r="O142" s="29" t="str">
        <x:v>Contraste independiente con la sección de referencias del PDF. Página PDF 30.</x:v>
      </x:c>
      <x:c r="P142" s="28" t="str">
        <x:v>Codex</x:v>
      </x:c>
      <x:c r="Q142" s="30" t="n">
        <x:v>46280.708333333336</x:v>
      </x:c>
    </x:row>
    <x:row r="143">
      <x:c r="A143" s="24" t="str">
        <x:v>R135</x:v>
      </x:c>
      <x:c r="B143" s="24" t="str">
        <x:v>W07</x:v>
      </x:c>
      <x:c r="C143" s="24" t="str">
        <x:v>saki_research/working_papers/bigio_d_erasmo_yepez_monetary_policy_implementation_regimes_reserve_demand_us.pdf</x:v>
      </x:c>
      <x:c r="D143" s="24" t="n">
        <x:v>16</x:v>
      </x:c>
      <x:c r="E143" s="24" t="str">
        <x:v>Gordon</x:v>
      </x:c>
      <x:c r="F143" s="26" t="n">
        <x:v>1994</x:v>
      </x:c>
      <x:c r="G143" s="25" t="str">
        <x:v>The Dynamic Impacts of Monetary Policy: An Exercise in Tentative Identification,</x:v>
      </x:c>
      <x:c r="H143" s="25" t="str">
        <x:v>Gordon, David B. and Eric M. Leeper , “The Dynamic Impacts of Monetary Policy: An Exercise in Tentative Identification,” Journal of Political Economy , 1994, 102 (6), 1228–1247.</x:v>
      </x:c>
      <x:c r="I143" s="25" t="str"/>
      <x:c r="J143" s="28" t="str">
        <x:v>referencia_correcta</x:v>
      </x:c>
      <x:c r="K143" s="28" t="str">
        <x:v>sí</x:v>
      </x:c>
      <x:c r="L143" s="28" t="str">
        <x:v>sí</x:v>
      </x:c>
      <x:c r="M143" s="28" t="str">
        <x:v>sí</x:v>
      </x:c>
      <x:c r="N143" s="29" t="str"/>
      <x:c r="O143" s="29" t="str">
        <x:v>Contraste independiente con la sección de referencias del PDF. Página PDF 42.</x:v>
      </x:c>
      <x:c r="P143" s="28" t="str">
        <x:v>Codex</x:v>
      </x:c>
      <x:c r="Q143" s="30" t="n">
        <x:v>46280.708333333336</x:v>
      </x:c>
    </x:row>
    <x:row r="144">
      <x:c r="A144" s="24" t="str">
        <x:v>R136</x:v>
      </x:c>
      <x:c r="B144" s="24" t="str">
        <x:v>W01</x:v>
      </x:c>
      <x:c r="C144" s="24" t="str">
        <x:v>saki_research/working_papers/bigio_weill_zuniga_competitive_bank_liability_design.pdf</x:v>
      </x:c>
      <x:c r="D144" s="24" t="n">
        <x:v>2</x:v>
      </x:c>
      <x:c r="E144" s="24" t="str">
        <x:v>Biais</x:v>
      </x:c>
      <x:c r="F144" s="26" t="n">
        <x:v>2005</x:v>
      </x:c>
      <x:c r="G144" s="25" t="str">
        <x:v>Strategic Liquidity Supply and Security Design,</x:v>
      </x:c>
      <x:c r="H144" s="25" t="str">
        <x:v>Biais, Bruno and Thomas Mariotti, “Strategic Liquidity Supply and Security Design,”Review of Economics Studies, 2005,72, 615–649. 1</x:v>
      </x:c>
      <x:c r="I144" s="25" t="str"/>
      <x:c r="J144" s="28" t="str">
        <x:v>referencia_correcta</x:v>
      </x:c>
      <x:c r="K144" s="28" t="str">
        <x:v>sí</x:v>
      </x:c>
      <x:c r="L144" s="28" t="str">
        <x:v>sí</x:v>
      </x:c>
      <x:c r="M144" s="28" t="str">
        <x:v>sí</x:v>
      </x:c>
      <x:c r="N144" s="29" t="str"/>
      <x:c r="O144" s="29" t="str">
        <x:v>Contraste independiente con la sección de referencias del PDF. Página PDF 5.</x:v>
      </x:c>
      <x:c r="P144" s="28" t="str">
        <x:v>Codex</x:v>
      </x:c>
      <x:c r="Q144" s="30" t="n">
        <x:v>46280.708333333336</x:v>
      </x:c>
    </x:row>
    <x:row r="145">
      <x:c r="A145" s="24" t="str">
        <x:v>R137</x:v>
      </x:c>
      <x:c r="B145" s="24" t="str">
        <x:v>P08</x:v>
      </x:c>
      <x:c r="C145" s="24" t="str">
        <x:v>saki_research/published_papers/bigio_nuno_passadore_debt_maturity_management_liquidity_costs.pdf</x:v>
      </x:c>
      <x:c r="D145" s="24" t="n">
        <x:v>15</x:v>
      </x:c>
      <x:c r="E145" s="24" t="str">
        <x:v>Calvo</x:v>
      </x:c>
      <x:c r="F145" s="26" t="n">
        <x:v>1988</x:v>
      </x:c>
      <x:c r="G145" s="25" t="str">
        <x:v>Servicing the public debt: The role of expectations,</x:v>
      </x:c>
      <x:c r="H145" s="25" t="str">
        <x:v>Calvo, Guillermo A, “Servicing the public debt: The role of expectations,”The American Economic Review, 1988, pp. 647–661.</x:v>
      </x:c>
      <x:c r="I145" s="25" t="str"/>
      <x:c r="J145" s="28" t="str">
        <x:v>referencia_correcta</x:v>
      </x:c>
      <x:c r="K145" s="28" t="str">
        <x:v>sí</x:v>
      </x:c>
      <x:c r="L145" s="28" t="str">
        <x:v>sí</x:v>
      </x:c>
      <x:c r="M145" s="28" t="str">
        <x:v>sí</x:v>
      </x:c>
      <x:c r="N145" s="29" t="str"/>
      <x:c r="O145" s="29" t="str">
        <x:v>Contraste independiente con la sección de referencias del PDF. Página PDF 44.</x:v>
      </x:c>
      <x:c r="P145" s="28" t="str">
        <x:v>Codex</x:v>
      </x:c>
      <x:c r="Q145" s="30" t="n">
        <x:v>46280.708333333336</x:v>
      </x:c>
    </x:row>
    <x:row r="146">
      <x:c r="A146" s="24" t="str">
        <x:v>R138</x:v>
      </x:c>
      <x:c r="B146" s="24" t="str">
        <x:v>V01</x:v>
      </x:c>
      <x:c r="C146" s="24" t="str">
        <x:v>saki_research/research_vision/research_vision.pdf</x:v>
      </x:c>
      <x:c r="D146" s="24" t="n">
        <x:v>39</x:v>
      </x:c>
      <x:c r="E146" s="24" t="str">
        <x:v>Fiore</x:v>
      </x:c>
      <x:c r="F146" s="26" t="str"/>
      <x:c r="G146" s="25" t="str"/>
      <x:c r="H146" s="25" t="str">
        <x:v>Fiore, Fiorella De, Marie Hoerova, and Harald Uhlig, “Money</x:v>
      </x:c>
      <x:c r="I146" s="25" t="str">
        <x:v>missing_year; title_not_isolated</x:v>
      </x:c>
      <x:c r="J146" s="28" t="str">
        <x:v>fragmentada</x:v>
      </x:c>
      <x:c r="K146" s="28" t="str">
        <x:v>no_aplica</x:v>
      </x:c>
      <x:c r="L146" s="28" t="str">
        <x:v>no_aplica</x:v>
      </x:c>
      <x:c r="M146" s="28" t="str">
        <x:v>no_aplica</x:v>
      </x:c>
      <x:c r="N146" s="29" t="str">
        <x:v>Unir con la fila contigua de la referencia original.</x:v>
      </x:c>
      <x:c r="O146" s="29" t="str">
        <x:v>La fila contiene solo una parte de una referencia bibliográfica. Página PDF 11.</x:v>
      </x:c>
      <x:c r="P146" s="28" t="str">
        <x:v>Codex</x:v>
      </x:c>
      <x:c r="Q146" s="30" t="n">
        <x:v>46280.708333333336</x:v>
      </x:c>
    </x:row>
    <x:row r="147">
      <x:c r="A147" s="24" t="str">
        <x:v>R139</x:v>
      </x:c>
      <x:c r="B147" s="24" t="str">
        <x:v>P08</x:v>
      </x:c>
      <x:c r="C147" s="24" t="str">
        <x:v>saki_research/published_papers/bigio_nuno_passadore_debt_maturity_management_liquidity_costs.pdf</x:v>
      </x:c>
      <x:c r="D147" s="24" t="n">
        <x:v>45</x:v>
      </x:c>
      <x:c r="E147" s="24" t="str">
        <x:v>Song</x:v>
      </x:c>
      <x:c r="F147" s="26" t="n">
        <x:v>2018</x:v>
      </x:c>
      <x:c r="G147" s="25" t="str">
        <x:v>Quantitative easing auctions of Treasury bonds,</x:v>
      </x:c>
      <x:c r="H147" s="25" t="str">
        <x:v>Song, Zhaogang and Haoxiang Zhu, “Quantitative easing auctions of Treasury bonds,”Journal of Financial Economics, 2018, 128 (1), 103 – 124.</x:v>
      </x:c>
      <x:c r="I147" s="25" t="str"/>
      <x:c r="J147" s="28" t="str">
        <x:v>referencia_correcta</x:v>
      </x:c>
      <x:c r="K147" s="28" t="str">
        <x:v>sí</x:v>
      </x:c>
      <x:c r="L147" s="28" t="str">
        <x:v>sí</x:v>
      </x:c>
      <x:c r="M147" s="28" t="str">
        <x:v>sí</x:v>
      </x:c>
      <x:c r="N147" s="29" t="str"/>
      <x:c r="O147" s="29" t="str">
        <x:v>Contraste independiente con la sección de referencias del PDF. Página PDF 47.</x:v>
      </x:c>
      <x:c r="P147" s="28" t="str">
        <x:v>Codex</x:v>
      </x:c>
      <x:c r="Q147" s="30" t="n">
        <x:v>46280.708333333336</x:v>
      </x:c>
    </x:row>
    <x:row r="148">
      <x:c r="A148" s="24" t="str">
        <x:v>R140</x:v>
      </x:c>
      <x:c r="B148" s="24" t="str">
        <x:v>W05</x:v>
      </x:c>
      <x:c r="C148" s="24" t="str">
        <x:v>saki_research/working_papers/bigio_nuno_decomposing_optimal_debt_maturity.pdf</x:v>
      </x:c>
      <x:c r="D148" s="24" t="n">
        <x:v>30</x:v>
      </x:c>
      <x:c r="E148" s="24" t="str">
        <x:v>Pasquariello</x:v>
      </x:c>
      <x:c r="F148" s="26" t="n">
        <x:v>2009</x:v>
      </x:c>
      <x:c r="G148" s="25" t="str">
        <x:v>The on-the-run liquidity phenomenon,</x:v>
      </x:c>
      <x:c r="H148" s="25" t="str">
        <x:v>Pasquariello, Paolo and Clara Vega, “The on-the-run liquidity phenomenon,” Journal of Financial Economics, 2009, 92 (1), 1 – 24. 2</x:v>
      </x:c>
      <x:c r="I148" s="25" t="str"/>
      <x:c r="J148" s="28" t="str">
        <x:v>referencia_correcta</x:v>
      </x:c>
      <x:c r="K148" s="28" t="str">
        <x:v>sí</x:v>
      </x:c>
      <x:c r="L148" s="28" t="str">
        <x:v>sí</x:v>
      </x:c>
      <x:c r="M148" s="28" t="str">
        <x:v>sí</x:v>
      </x:c>
      <x:c r="N148" s="29" t="str"/>
      <x:c r="O148" s="29" t="str">
        <x:v>Contraste independiente con la sección de referencias del PDF. Página PDF 38.</x:v>
      </x:c>
      <x:c r="P148" s="28" t="str">
        <x:v>Codex</x:v>
      </x:c>
      <x:c r="Q148" s="30" t="n">
        <x:v>46280.708333333336</x:v>
      </x:c>
    </x:row>
    <x:row r="149">
      <x:c r="A149" s="24" t="str">
        <x:v>R141</x:v>
      </x:c>
      <x:c r="B149" s="24" t="str">
        <x:v>W10</x:v>
      </x:c>
      <x:c r="C149" s="24" t="str">
        <x:v>saki_research/working_papers/bigio_ishide_new_keynesian_economics_through_extensive_margin.pdf</x:v>
      </x:c>
      <x:c r="D149" s="24" t="n">
        <x:v>17</x:v>
      </x:c>
      <x:c r="E149" s="24" t="str">
        <x:v>Ravn</x:v>
      </x:c>
      <x:c r="F149" s="26" t="n">
        <x:v>2017</x:v>
      </x:c>
      <x:c r="G149" s="25" t="str">
        <x:v>Job uncertainty and deep recessions,</x:v>
      </x:c>
      <x:c r="H149" s="25" t="str">
        <x:v>Ravn, Morten O and Vincent Sterk, “Job uncertainty and deep recessions,” Journal of Monetary Economics, 2017, 90, 125–141.</x:v>
      </x:c>
      <x:c r="I149" s="25" t="str"/>
      <x:c r="J149" s="28" t="str">
        <x:v>referencia_correcta</x:v>
      </x:c>
      <x:c r="K149" s="28" t="str">
        <x:v>sí</x:v>
      </x:c>
      <x:c r="L149" s="28" t="str">
        <x:v>sí</x:v>
      </x:c>
      <x:c r="M149" s="28" t="str">
        <x:v>sí</x:v>
      </x:c>
      <x:c r="N149" s="29" t="str"/>
      <x:c r="O149" s="29" t="str">
        <x:v>Contraste independiente con la sección de referencias del PDF. Página PDF 20.</x:v>
      </x:c>
      <x:c r="P149" s="28" t="str">
        <x:v>Codex</x:v>
      </x:c>
      <x:c r="Q149" s="30" t="n">
        <x:v>46280.708333333336</x:v>
      </x:c>
    </x:row>
    <x:row r="150">
      <x:c r="A150" s="24" t="str">
        <x:v>R142</x:v>
      </x:c>
      <x:c r="B150" s="24" t="str">
        <x:v>P11</x:v>
      </x:c>
      <x:c r="C150" s="24" t="str">
        <x:v>saki_research/published_papers/bigio_silva_zilberman_heterogeneous_beliefs_asset_prices_business_cycles.pdf</x:v>
      </x:c>
      <x:c r="D150" s="24" t="n">
        <x:v>48</x:v>
      </x:c>
      <x:c r="E150" s="24" t="str">
        <x:v>Greenwood</x:v>
      </x:c>
      <x:c r="F150" s="26" t="n">
        <x:v>2014</x:v>
      </x:c>
      <x:c r="G150" s="25" t="str">
        <x:v>Expectations of Returns and Expected Returns,</x:v>
      </x:c>
      <x:c r="H150" s="25" t="str">
        <x:v>Greenwood, Robin and Andrei Shleifer , “Expectations of Returns and Expected Returns,” Review of Financial Studies, 2014, 27 (3), 714–746.</x:v>
      </x:c>
      <x:c r="I150" s="25" t="str"/>
      <x:c r="J150" s="28" t="str">
        <x:v>referencia_correcta</x:v>
      </x:c>
      <x:c r="K150" s="28" t="str">
        <x:v>sí</x:v>
      </x:c>
      <x:c r="L150" s="28" t="str">
        <x:v>sí</x:v>
      </x:c>
      <x:c r="M150" s="28" t="str">
        <x:v>sí</x:v>
      </x:c>
      <x:c r="N150" s="29" t="str"/>
      <x:c r="O150" s="29" t="str">
        <x:v>Contraste independiente con la sección de referencias del PDF. Página PDF 52.</x:v>
      </x:c>
      <x:c r="P150" s="28" t="str">
        <x:v>Codex</x:v>
      </x:c>
      <x:c r="Q150" s="30" t="n">
        <x:v>46280.708333333336</x:v>
      </x:c>
    </x:row>
    <x:row r="151">
      <x:c r="A151" s="24" t="str">
        <x:v>R143</x:v>
      </x:c>
      <x:c r="B151" s="24" t="str">
        <x:v>P13</x:v>
      </x:c>
      <x:c r="C151" s="24" t="str">
        <x:v>saki_research/published_papers/bigio_kanzig_sanchez_walsh_carbon_pricing_inequality_normative_pespective.pdf</x:v>
      </x:c>
      <x:c r="D151" s="24" t="n">
        <x:v>19</x:v>
      </x:c>
      <x:c r="E151" s="24" t="str">
        <x:v>Dixit</x:v>
      </x:c>
      <x:c r="F151" s="26" t="n">
        <x:v>1985</x:v>
      </x:c>
      <x:c r="G151" s="25" t="str">
        <x:v>Tax policy in open economies</x:v>
      </x:c>
      <x:c r="H151" s="25" t="str">
        <x:v>Dixit, Avinash(1985). “Tax policy in open economies”.Handbook of public economics. Vol. 1. Elsevier, pp. 313–374.</x:v>
      </x:c>
      <x:c r="I151" s="25" t="str"/>
      <x:c r="J151" s="28" t="str">
        <x:v>referencia_correcta</x:v>
      </x:c>
      <x:c r="K151" s="28" t="str">
        <x:v>sí</x:v>
      </x:c>
      <x:c r="L151" s="28" t="str">
        <x:v>sí</x:v>
      </x:c>
      <x:c r="M151" s="28" t="str">
        <x:v>sí</x:v>
      </x:c>
      <x:c r="N151" s="29" t="str"/>
      <x:c r="O151" s="29" t="str">
        <x:v>Contraste independiente con la sección de referencias del PDF. Página PDF 28.</x:v>
      </x:c>
      <x:c r="P151" s="28" t="str">
        <x:v>Codex</x:v>
      </x:c>
      <x:c r="Q151" s="30" t="n">
        <x:v>46280.708333333336</x:v>
      </x:c>
    </x:row>
    <x:row r="152">
      <x:c r="A152" s="24" t="str">
        <x:v>R144</x:v>
      </x:c>
      <x:c r="B152" s="24" t="str">
        <x:v>W08</x:v>
      </x:c>
      <x:c r="C152" s="24" t="str">
        <x:v>saki_research/working_papers/bigio_mendez_patten_theory_payments_chain_crises.pdf</x:v>
      </x:c>
      <x:c r="D152" s="24" t="n">
        <x:v>32</x:v>
      </x:c>
      <x:c r="E152" s="24" t="str">
        <x:v>Rocheteau</x:v>
      </x:c>
      <x:c r="F152" s="26" t="n">
        <x:v>2011</x:v>
      </x:c>
      <x:c r="G152" s="25" t="str">
        <x:v>Payment and Liquidity under Adverse Selection,</x:v>
      </x:c>
      <x:c r="H152" s="25" t="str">
        <x:v>Rocheteau, Guillaume, “Payment and Liquidity under Adverse Selection,” Journal of Monetary Economics, 2011, 58 (191-205). 2 , Tsz-Nga Wong, and Pierre-Olivier Weill, “Working through the Distribution: Money in the Short and Long Run,” May 2016. 1</x:v>
      </x:c>
      <x:c r="I152" s="25" t="str"/>
      <x:c r="J152" s="28" t="str">
        <x:v>fusionada</x:v>
      </x:c>
      <x:c r="K152" s="28" t="str">
        <x:v>no_aplica</x:v>
      </x:c>
      <x:c r="L152" s="28" t="str">
        <x:v>no_aplica</x:v>
      </x:c>
      <x:c r="M152" s="28" t="str">
        <x:v>no_aplica</x:v>
      </x:c>
      <x:c r="N152" s="29" t="str">
        <x:v>Separar las referencias contenidas en esta fila.</x:v>
      </x:c>
      <x:c r="O152" s="29" t="str">
        <x:v>La fila reúne material de dos o más referencias consecutivas. Página PDF 53.</x:v>
      </x:c>
      <x:c r="P152" s="28" t="str">
        <x:v>Codex</x:v>
      </x:c>
      <x:c r="Q152" s="30" t="n">
        <x:v>46280.708333333336</x:v>
      </x:c>
    </x:row>
    <x:row r="153">
      <x:c r="A153" s="24" t="str">
        <x:v>R145</x:v>
      </x:c>
      <x:c r="B153" s="24" t="str">
        <x:v>P12</x:v>
      </x:c>
      <x:c r="C153" s="24" t="str">
        <x:v>saki_research/published_papers/bianchi_bigio_portfolio_choice_settlement_frictions_theory_endogenous_convenience_yields.pdf</x:v>
      </x:c>
      <x:c r="D153" s="24" t="n">
        <x:v>34</x:v>
      </x:c>
      <x:c r="E153" s="24" t="str">
        <x:v>Lagos</x:v>
      </x:c>
      <x:c r="F153" s="26" t="n">
        <x:v>2010</x:v>
      </x:c>
      <x:c r="G153" s="25" t="str">
        <x:v>Asset prices and liquidity in an exchange economy,</x:v>
      </x:c>
      <x:c r="H153" s="25" t="str">
        <x:v>Lagos, Ricardo, “Asset prices and liquidity in an exchange economy,”Journal of Monetary Economics, 2010, 57 (8), 913–930. and Guillaume Rocheteau, “Liquidity in Asset Markets with Search Frictions,”Econometrica, 2009, 77, 403–426. and Randall Wright, “A Unified Framework for Monetary Theory and Policy Analysis,”Journal of Political Economy, 2005. , Guillaume Rocheteau, and Randall Wright, “Liquidity: A New Monetarist Perspective,”Journal of Economic Literature, 2017,55 (2), 371–440.</x:v>
      </x:c>
      <x:c r="I153" s="25" t="str"/>
      <x:c r="J153" s="28" t="str">
        <x:v>fusionada</x:v>
      </x:c>
      <x:c r="K153" s="28" t="str">
        <x:v>no_aplica</x:v>
      </x:c>
      <x:c r="L153" s="28" t="str">
        <x:v>no_aplica</x:v>
      </x:c>
      <x:c r="M153" s="28" t="str">
        <x:v>no_aplica</x:v>
      </x:c>
      <x:c r="N153" s="29" t="str">
        <x:v>Separar las referencias contenidas en esta fila.</x:v>
      </x:c>
      <x:c r="O153" s="29" t="str">
        <x:v>La fila reúne material de dos o más referencias consecutivas. Página PDF 44.</x:v>
      </x:c>
      <x:c r="P153" s="28" t="str">
        <x:v>Codex</x:v>
      </x:c>
      <x:c r="Q153" s="30" t="n">
        <x:v>46280.708333333336</x:v>
      </x:c>
    </x:row>
    <x:row r="154">
      <x:c r="A154" s="24" t="str">
        <x:v>R146</x:v>
      </x:c>
      <x:c r="B154" s="24" t="str">
        <x:v>V01</x:v>
      </x:c>
      <x:c r="C154" s="24" t="str">
        <x:v>saki_research/research_vision/research_vision.pdf</x:v>
      </x:c>
      <x:c r="D154" s="24" t="n">
        <x:v>51</x:v>
      </x:c>
      <x:c r="E154" s="24" t="str">
        <x:v>Holmstrom</x:v>
      </x:c>
      <x:c r="F154" s="26" t="n">
        <x:v>1998</x:v>
      </x:c>
      <x:c r="G154" s="25" t="str">
        <x:v>Private and Public Supply of Liquidity,</x:v>
      </x:c>
      <x:c r="H154" s="25" t="str">
        <x:v>Holmstrom, Bengt and Jean Tirole, “Private and Public Supply of Liquidity,” Journal of Political Economy,1998,106(1),1–40. Hsieh, Chang-Tai and Peter J. Klenow, “Misallocation and Manufacturing TFP in China and India,”The Quarterly Journal of</x:v>
      </x:c>
      <x:c r="I154" s="25" t="str"/>
      <x:c r="J154" s="28" t="str">
        <x:v>fusionada</x:v>
      </x:c>
      <x:c r="K154" s="28" t="str">
        <x:v>no_aplica</x:v>
      </x:c>
      <x:c r="L154" s="28" t="str">
        <x:v>no_aplica</x:v>
      </x:c>
      <x:c r="M154" s="28" t="str">
        <x:v>no_aplica</x:v>
      </x:c>
      <x:c r="N154" s="29" t="str">
        <x:v>Separar las referencias contenidas en esta fila.</x:v>
      </x:c>
      <x:c r="O154" s="29" t="str">
        <x:v>La fila reúne material de dos o más referencias consecutivas. Página PDF 23.</x:v>
      </x:c>
      <x:c r="P154" s="28" t="str">
        <x:v>Codex</x:v>
      </x:c>
      <x:c r="Q154" s="30" t="n">
        <x:v>46280.708333333336</x:v>
      </x:c>
    </x:row>
    <x:row r="155">
      <x:c r="A155" s="24" t="str">
        <x:v>R147</x:v>
      </x:c>
      <x:c r="B155" s="24" t="str">
        <x:v>V01</x:v>
      </x:c>
      <x:c r="C155" s="24" t="str">
        <x:v>saki_research/research_vision/research_vision.pdf</x:v>
      </x:c>
      <x:c r="D155" s="24" t="n">
        <x:v>18</x:v>
      </x:c>
      <x:c r="E155" s="24" t="str">
        <x:v>Javier</x:v>
      </x:c>
      <x:c r="F155" s="26" t="str"/>
      <x:c r="G155" s="25" t="str"/>
      <x:c r="H155" s="25" t="str">
        <x:v>Javier, Saki Bigio, and Charles Engel, “Scrambling for Dollars: International</x:v>
      </x:c>
      <x:c r="I155" s="25" t="str">
        <x:v>missing_year; title_not_isolated</x:v>
      </x:c>
      <x:c r="J155" s="28" t="str">
        <x:v>fragmentada</x:v>
      </x:c>
      <x:c r="K155" s="28" t="str">
        <x:v>no_aplica</x:v>
      </x:c>
      <x:c r="L155" s="28" t="str">
        <x:v>no_aplica</x:v>
      </x:c>
      <x:c r="M155" s="28" t="str">
        <x:v>no_aplica</x:v>
      </x:c>
      <x:c r="N155" s="29" t="str">
        <x:v>Unir con la fila contigua de la referencia original.</x:v>
      </x:c>
      <x:c r="O155" s="29" t="str">
        <x:v>La fila contiene solo una parte de una referencia bibliográfica. Página PDF 13.</x:v>
      </x:c>
      <x:c r="P155" s="28" t="str">
        <x:v>Codex</x:v>
      </x:c>
      <x:c r="Q155" s="30" t="n">
        <x:v>46280.708333333336</x:v>
      </x:c>
    </x:row>
    <x:row r="156">
      <x:c r="A156" s="24" t="str">
        <x:v>R148</x:v>
      </x:c>
      <x:c r="B156" s="24" t="str">
        <x:v>W05</x:v>
      </x:c>
      <x:c r="C156" s="24" t="str">
        <x:v>saki_research/working_papers/bigio_nuno_decomposing_optimal_debt_maturity.pdf</x:v>
      </x:c>
      <x:c r="D156" s="24" t="n">
        <x:v>36</x:v>
      </x:c>
      <x:c r="E156" s="24" t="str">
        <x:v>Vayanos</x:v>
      </x:c>
      <x:c r="F156" s="26" t="str"/>
      <x:c r="G156" s="25" t="str">
        <x:v>A Preferred-Habitat Model of the Term Structure of Interest Rates,</x:v>
      </x:c>
      <x:c r="H156" s="25" t="str">
        <x:v>Vayanos, Dimitri and Jean-Luc Vila, “ A Preferred-Habitat Model of the Term Structure of Interest Rates,”</x:v>
      </x:c>
      <x:c r="I156" s="25" t="str">
        <x:v>missing_year</x:v>
      </x:c>
      <x:c r="J156" s="28" t="str">
        <x:v>fragmentada</x:v>
      </x:c>
      <x:c r="K156" s="28" t="str">
        <x:v>no_aplica</x:v>
      </x:c>
      <x:c r="L156" s="28" t="str">
        <x:v>no_aplica</x:v>
      </x:c>
      <x:c r="M156" s="28" t="str">
        <x:v>no_aplica</x:v>
      </x:c>
      <x:c r="N156" s="29" t="str">
        <x:v>Unir con la fila contigua de la referencia original.</x:v>
      </x:c>
      <x:c r="O156" s="29" t="str">
        <x:v>La fila contiene solo una parte de una referencia bibliográfica. Página PDF 30.</x:v>
      </x:c>
      <x:c r="P156" s="28" t="str">
        <x:v>Codex</x:v>
      </x:c>
      <x:c r="Q156" s="30" t="n">
        <x:v>46280.708333333336</x:v>
      </x:c>
    </x:row>
    <x:row r="157">
      <x:c r="A157" s="24" t="str">
        <x:v>R149</x:v>
      </x:c>
      <x:c r="B157" s="24" t="str">
        <x:v>W06</x:v>
      </x:c>
      <x:c r="C157" s="24" t="str">
        <x:v>saki_research/working_papers/bigio_zhang_zilberman_transfers_credit_policy_macroeconomic_policy_trade_offs_during_covid_19.pdf</x:v>
      </x:c>
      <x:c r="D157" s="24" t="n">
        <x:v>3</x:v>
      </x:c>
      <x:c r="E157" s="24" t="str">
        <x:v>Berger</x:v>
      </x:c>
      <x:c r="F157" s="26" t="n">
        <x:v>2020</x:v>
      </x:c>
      <x:c r="G157" s="25" t="str">
        <x:v>An seir infectious disease model with testing and conditional quarantine,</x:v>
      </x:c>
      <x:c r="H157" s="25" t="str">
        <x:v>Berger, David W, Kyle F Herkenhoff, and Simon Mongey , “An seir infectious disease model with testing and conditional quarantine,” Technical Report 26901, National Bureau of Economic Research 2020.</x:v>
      </x:c>
      <x:c r="I157" s="25" t="str"/>
      <x:c r="J157" s="28" t="str">
        <x:v>referencia_correcta</x:v>
      </x:c>
      <x:c r="K157" s="28" t="str">
        <x:v>sí</x:v>
      </x:c>
      <x:c r="L157" s="28" t="str">
        <x:v>sí</x:v>
      </x:c>
      <x:c r="M157" s="28" t="str">
        <x:v>sí</x:v>
      </x:c>
      <x:c r="N157" s="29" t="str"/>
      <x:c r="O157" s="29" t="str">
        <x:v>Contraste independiente con la sección de referencias del PDF. Página PDF 25.</x:v>
      </x:c>
      <x:c r="P157" s="28" t="str">
        <x:v>Codex</x:v>
      </x:c>
      <x:c r="Q157" s="30" t="n">
        <x:v>46280.708333333336</x:v>
      </x:c>
    </x:row>
    <x:row r="158">
      <x:c r="A158" s="24" t="str">
        <x:v>R150</x:v>
      </x:c>
      <x:c r="B158" s="24" t="str">
        <x:v>P05</x:v>
      </x:c>
      <x:c r="C158" s="24" t="str">
        <x:v>saki_research/published_papers/bigio_lao_distortions_production_networks.pdf</x:v>
      </x:c>
      <x:c r="D158" s="24" t="n">
        <x:v>15</x:v>
      </x:c>
      <x:c r="E158" s="24" t="str">
        <x:v>Carvalho</x:v>
      </x:c>
      <x:c r="F158" s="26" t="n">
        <x:v>2014</x:v>
      </x:c>
      <x:c r="G158" s="25" t="str">
        <x:v>From Micro to Macro via Production Networks.</x:v>
      </x:c>
      <x:c r="H158" s="25" t="str">
        <x:v>Carvalho, Vasco M. “From Micro to Macro via Production Networks.” The Journal of Economic Perspectives, 28(2014), 23–47.</x:v>
      </x:c>
      <x:c r="I158" s="25" t="str"/>
      <x:c r="J158" s="28" t="str">
        <x:v>referencia_correcta</x:v>
      </x:c>
      <x:c r="K158" s="28" t="str">
        <x:v>sí</x:v>
      </x:c>
      <x:c r="L158" s="28" t="str">
        <x:v>sí</x:v>
      </x:c>
      <x:c r="M158" s="28" t="str">
        <x:v>sí</x:v>
      </x:c>
      <x:c r="N158" s="29" t="str"/>
      <x:c r="O158" s="29" t="str">
        <x:v>Contraste independiente con la sección de referencias del PDF. Página PDF 51.</x:v>
      </x:c>
      <x:c r="P158" s="28" t="str">
        <x:v>Codex</x:v>
      </x:c>
      <x:c r="Q158" s="30" t="n">
        <x:v>46280.708333333336</x:v>
      </x:c>
    </x:row>
  </x:sheetData>
  <x:conditionalFormatting sqref="J9:J158">
    <x:cfRule type="containsText" dxfId="0" priority="1" operator="containsText" text="referencia_correcta"/>
    <x:cfRule type="containsText" dxfId="1" priority="2" operator="containsText" text="fragmentada"/>
    <x:cfRule type="containsText" dxfId="2" priority="3" operator="containsText" text="fusionada"/>
    <x:cfRule type="containsText" dxfId="3" priority="4" operator="containsText" text="no_es_referencia"/>
  </x:conditionalFormatting>
  <x:dataValidations count="4">
    <x:dataValidation type="list" sqref="J9:J158">
      <x:formula1>"referencia_correcta,fragmentada,fusionada,no_es_referencia"</x:formula1>
    </x:dataValidation>
    <x:dataValidation type="list" sqref="K9:K158">
      <x:formula1>"sí,no,no_aplica"</x:formula1>
    </x:dataValidation>
    <x:dataValidation type="list" sqref="L9:L158">
      <x:formula1>"sí,no,no_aplica"</x:formula1>
    </x:dataValidation>
    <x:dataValidation type="list" sqref="M9:M158">
      <x:formula1>"sí,no,no_aplica"</x:formula1>
    </x:dataValidation>
  </x:dataValidations>
  <x:pageMargins left="0.7" right="0.7" top="0.75" bottom="0.75" header="0.3" footer="0.3"/>
  <x:tableParts count="1">
    <x:tablePart xmlns:r="http://schemas.openxmlformats.org/officeDocument/2006/relationships" r:id="Rf2120a8a7f054efa"/>
  </x:tableParts>
</x:worksheet>
</file>

<file path=xl/worksheets/sheet2.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24" hidden="0" customWidth="1"/>
    <x:col min="2" max="2" width="12" hidden="0" customWidth="1"/>
    <x:col min="3" max="3" width="44" hidden="0" customWidth="1"/>
    <x:col min="4" max="4" width="13" hidden="0" customWidth="1"/>
    <x:col min="5" max="5" width="18" hidden="0" customWidth="1"/>
    <x:col min="6" max="6" width="11" hidden="0" customWidth="1"/>
    <x:col min="7" max="7" width="38" hidden="0" customWidth="1"/>
    <x:col min="8" max="8" width="86" hidden="0" customWidth="1"/>
    <x:col min="9" max="9" width="27" hidden="0" customWidth="1"/>
    <x:col min="10" max="10" width="23" hidden="0" customWidth="1"/>
    <x:col min="11" max="11" width="18" hidden="0" customWidth="1"/>
    <x:col min="12" max="12" width="16" hidden="0" customWidth="1"/>
    <x:col min="13" max="13" width="17" hidden="0" customWidth="1"/>
    <x:col min="14" max="14" width="70" hidden="0" customWidth="1"/>
    <x:col min="15" max="15" width="48" hidden="0" customWidth="1"/>
    <x:col min="16" max="16" width="18" hidden="0" customWidth="1"/>
    <x:col min="17" max="17" width="15" hidden="0" customWidth="1"/>
  </x:cols>
  <x:sheetData>
    <x:row r="1" ht="25" customHeight="1">
      <x:c r="A1" s="1" t="str">
        <x:v>Casos dirigidos</x:v>
      </x:c>
      <x:c r="B1" s="1"/>
      <x:c r="C1" s="1"/>
      <x:c r="D1" s="1"/>
      <x:c r="E1" s="1"/>
      <x:c r="F1" s="1"/>
      <x:c r="G1" s="1"/>
      <x:c r="H1" s="1"/>
      <x:c r="I1" s="1"/>
      <x:c r="J1" s="1"/>
      <x:c r="K1" s="1"/>
      <x:c r="L1" s="1"/>
      <x:c r="M1" s="1"/>
      <x:c r="N1" s="1"/>
      <x:c r="O1" s="1"/>
      <x:c r="P1" s="1"/>
      <x:c r="Q1" s="1"/>
      <x:c r="R1" s="1"/>
    </x:row>
    <x:row r="2">
      <x:c r="A2" s="2" t="str">
        <x:v>Casos difíciles para diagnosticar el extractor. No se incluyen en la estimación general de precisión.</x:v>
      </x:c>
      <x:c r="B2" s="2"/>
      <x:c r="C2" s="2"/>
      <x:c r="D2" s="2"/>
      <x:c r="E2" s="2"/>
      <x:c r="F2" s="2"/>
      <x:c r="G2" s="2"/>
      <x:c r="H2" s="2"/>
      <x:c r="I2" s="2"/>
      <x:c r="J2" s="2"/>
      <x:c r="K2" s="2"/>
      <x:c r="L2" s="2"/>
      <x:c r="M2" s="2"/>
      <x:c r="N2" s="2"/>
      <x:c r="O2" s="2"/>
      <x:c r="P2" s="2"/>
      <x:c r="Q2" s="2"/>
      <x:c r="R2" s="2"/>
    </x:row>
    <x:row r="5" ht="32" customHeight="1">
      <x:c r="A5" s="20" t="str">
        <x:v>motivo_muestra</x:v>
      </x:c>
      <x:c r="B5" s="21" t="str">
        <x:v>document_id</x:v>
      </x:c>
      <x:c r="C5" s="21" t="str">
        <x:v>source_pdf</x:v>
      </x:c>
      <x:c r="D5" s="21" t="str">
        <x:v>candidate_index</x:v>
      </x:c>
      <x:c r="E5" s="21" t="str">
        <x:v>surname_extracted</x:v>
      </x:c>
      <x:c r="F5" s="21" t="str">
        <x:v>year_extracted</x:v>
      </x:c>
      <x:c r="G5" s="21" t="str">
        <x:v>title_extracted</x:v>
      </x:c>
      <x:c r="H5" s="21" t="str">
        <x:v>entry_extracted</x:v>
      </x:c>
      <x:c r="I5" s="21" t="str">
        <x:v>quality_flags</x:v>
      </x:c>
      <x:c r="J5" s="21" t="str">
        <x:v>veredicto</x:v>
      </x:c>
      <x:c r="K5" s="21" t="str">
        <x:v>surname_correcto</x:v>
      </x:c>
      <x:c r="L5" s="21" t="str">
        <x:v>year_correcto</x:v>
      </x:c>
      <x:c r="M5" s="21" t="str">
        <x:v>title_correcto</x:v>
      </x:c>
      <x:c r="N5" s="21" t="str">
        <x:v>correccion</x:v>
      </x:c>
      <x:c r="O5" s="21" t="str">
        <x:v>observacion</x:v>
      </x:c>
      <x:c r="P5" s="21" t="str">
        <x:v>revisor</x:v>
      </x:c>
      <x:c r="Q5" s="22" t="str">
        <x:v>fecha_revision</x:v>
      </x:c>
    </x:row>
    <x:row r="6">
      <x:c r="A6" s="24" t="str">
        <x:v>Todos los casos possible_merged</x:v>
      </x:c>
      <x:c r="B6" s="24" t="str">
        <x:v>W03</x:v>
      </x:c>
      <x:c r="C6" s="24" t="str">
        <x:v>saki_research/working_papers/bianchi_bigio_engel_scrambling_dollars_international_liquidity_banks_exchange_rate.pdf</x:v>
      </x:c>
      <x:c r="D6" s="24" t="n">
        <x:v>54</x:v>
      </x:c>
      <x:c r="E6" s="24" t="str">
        <x:v>Bianchi</x:v>
      </x:c>
      <x:c r="F6" s="26" t="n">
        <x:v>2023</x:v>
      </x:c>
      <x:c r="G6" s="25" t="str">
        <x:v>dash for cash,</x:v>
      </x:c>
      <x:c r="H6" s="25" t="str">
        <x:v>Bianchi, Bigio and Engel (2023). C Mapping the model to the data: CIP andDLP A data counterpart for theDLP is crucial to map the model to the data. We show now that once we include an explicit forward market, theDLP maps to deviations from covered interest parity (CIP). With a forward market available, banks can create synthetic dollar assets by buying euros and converting their returns into dollars through the forward and spot markets. However, these synthetic dollars do not meet the liquidity needs of banks, as they must settle obligations with depositors in actual dollars. For example, during the March 2020 “dash for cash,” the heightened demand for liquid dollar assets by financial intermediaries 42 resulted in lower returns on actual dollars compared to synthetic dollars. We assume that the forward market is perfectly competitive and for generality, and for generality, we allow for risk premia. In particular, we assume that banks maximize profits using a stochastic discount factor Λ(X,X′), which captures the risk aversion of shareholders.31 A forward contract traded at timet promises to exchange one dollar for ˆet,t+1 euros in the lending stage in the following period.32 The first-order condition with respect to the volume of forwards purchased can be expressed as 0 = E  Λt+1 1 +πt+1 · (et+1− ˆet,t+1)  . (C.1) By definition, theCIP deviation (or Treasury basis) is given by CIP = (1 +im t )−  1 +im∗ t  ˆet+1 et  . (C.2) Replacing the forward rateˆet,t+1 from (C.1) into (C.2) and using (17), we obtain CIP = E [Λt+1 (¯χm∗− ¯χm)] E h Λt+1 1+πt+1 i . (C.3) That is, according to our model, the CIP deviation is given by the nominal risk-adjusted dollar liquidity premium. Accordingly, in the quantitative analysis, we use the time series of the CIP deviation to as a counterpart of theDLP. 31Incorporating this feature in the portfolio problem (10) yields that the difference between expected returns on the dollar and euro liquid assets is driven by the sum of theDLP and a standard risk premium. 32Notice that since there are no aggregate shocks in the balancing stage, it is equivalent to pricing the forward in the lending or the balancing stage. 43</x:v>
      </x:c>
      <x:c r="I6" s="25" t="str">
        <x:v>possible_merged_entries</x:v>
      </x:c>
      <x:c r="J6" s="28" t="str">
        <x:v>no_es_referencia</x:v>
      </x:c>
      <x:c r="K6" s="28" t="str">
        <x:v>no_aplica</x:v>
      </x:c>
      <x:c r="L6" s="28" t="str">
        <x:v>no_aplica</x:v>
      </x:c>
      <x:c r="M6" s="28" t="str">
        <x:v>no_aplica</x:v>
      </x:c>
      <x:c r="N6" s="29" t="str">
        <x:v>Excluir esta fila del conjunto de referencias.</x:v>
      </x:c>
      <x:c r="O6" s="29" t="str">
        <x:v>Es texto del cuerpo, apéndice o agenda; no una referencia bibliográfica. Página PDF 43.</x:v>
      </x:c>
      <x:c r="P6" s="28" t="str">
        <x:v>Codex</x:v>
      </x:c>
      <x:c r="Q6" s="30" t="n">
        <x:v>46280.708333333336</x:v>
      </x:c>
    </x:row>
    <x:row r="7">
      <x:c r="A7" s="24" t="str">
        <x:v>Todos los casos possible_merged</x:v>
      </x:c>
      <x:c r="B7" s="24" t="str">
        <x:v>W09</x:v>
      </x:c>
      <x:c r="C7" s="24" t="str">
        <x:v>saki_research/working_papers/abad_bigio_garcia_villegas_marbet_nuno_heterogeneous_bank_lending_channel_monetary_policy.pdf</x:v>
      </x:c>
      <x:c r="D7" s="24" t="n">
        <x:v>49</x:v>
      </x:c>
      <x:c r="E7" s="24" t="str">
        <x:v>Netherlands</x:v>
      </x:c>
      <x:c r="F7" s="26" t="n">
        <x:v>2000</x:v>
      </x:c>
      <x:c r="G7" s="25" t="str"/>
      <x:c r="H7" s="25" t="str">
        <x:v>Netherlands, Portugal, and Spain) using data on lending rates, deposit rates, among others, from 2000 to 2023. For these estimations, we aggregate the data to quarterly frequency. We classify countries as variable-raters (VR) if their share of variable-rate lending is above 50%. VR countries are Spain, Portugal, Italy, Finland, Ireland, and Austria. Fixed-raters (FR) are Germany, France, Belgium, and the Netherlands. Prices. For interest rates, we estimate the following local projection specification: rc,t +h = αc,h + β1hεMP t + β2h £ εMP t × I F R c ⁄ + Γh Xc,t + ec,t +h (25) where rc,t +h denotes the variable of interest (lending rates, deposit rates, NIM) at time t, and horizon h ranging from 0 to 16 quarters. The variable εMP t denotes the monetary policy shock at time t. I F R c is a dummy variable that takes the value of one if country belongs to the FR category. Xc,t represents the set of controls. As it is common in the literature, we include the first lag of the dependent variable and the first lag of the deposit facility rate. We also use the contemporaneous and the first lag of inflation and the quarterly growth rate of the industrial production index. As well as the first lag of the yield on a BBB corporate bond index for the euroarea, and the first lag of the yield on the one-year German government debt bond since these variables have been found relevant for the euro area (Jaroci ´ nski and Karadi (2020)). Quantities. In a similar fashion, our econometric specification for the volume of lending: logYc,t +h = αc,h + β1hϵMP t + β2h £ ϵMP t × I F R c ⁄ + Γh Xc,t + ec,t +h. (26) For these IRFs, we directly use the monetary surprises (ϵMP t ) without instrumenting the DFR since for log-volumes the monetary surprise series yields smoother IRFs. The set of controls is the same used for interest rates but expressing variables in logarithms: 44 first lag of the dependent variable logYc,t −1. The contemporaneous and the first lag of HICP and the log of the industrial production index. We also include the first lag of the yield on a BBB corporate bond index for the euroarea, and the first lag of the yield on the one-year German government debt bond. 45</x:v>
      </x:c>
      <x:c r="I7" s="25" t="str">
        <x:v>title_not_isolated; possible_merged_entries</x:v>
      </x:c>
      <x:c r="J7" s="28" t="str">
        <x:v>no_es_referencia</x:v>
      </x:c>
      <x:c r="K7" s="28" t="str">
        <x:v>no_aplica</x:v>
      </x:c>
      <x:c r="L7" s="28" t="str">
        <x:v>no_aplica</x:v>
      </x:c>
      <x:c r="M7" s="28" t="str">
        <x:v>no_aplica</x:v>
      </x:c>
      <x:c r="N7" s="29" t="str">
        <x:v>Excluir esta fila del conjunto de referencias.</x:v>
      </x:c>
      <x:c r="O7" s="29" t="str">
        <x:v>Es texto del cuerpo, apéndice o agenda; no una referencia bibliográfica. Página PDF 28.</x:v>
      </x:c>
      <x:c r="P7" s="28" t="str">
        <x:v>Codex</x:v>
      </x:c>
      <x:c r="Q7" s="30" t="n">
        <x:v>46280.708333333336</x:v>
      </x:c>
    </x:row>
    <x:row r="8">
      <x:c r="A8" s="24" t="str">
        <x:v>Todos los casos possible_merged</x:v>
      </x:c>
      <x:c r="B8" s="24" t="str">
        <x:v>C01</x:v>
      </x:c>
      <x:c r="C8" s="24" t="str">
        <x:v>saki_research/published_comments/bigio_discussion_optimal_supply_public_private_liquidity_azzimonti_yared.pdf</x:v>
      </x:c>
      <x:c r="D8" s="24" t="n">
        <x:v>2</x:v>
      </x:c>
      <x:c r="E8" s="24" t="str">
        <x:v>Angeletos</x:v>
      </x:c>
      <x:c r="F8" s="26" t="n">
        <x:v>2018</x:v>
      </x:c>
      <x:c r="G8" s="25" t="str"/>
      <x:c r="H8" s="25" t="str">
        <x:v>Angeletos, Fabrice Collard, and Harris Dellas. Public debt as private liquidity: Optimal policy. Unpublished Manuscript, 2018. Marina Azzimonti and Pierre Yared. Optimal supply of public and private liquidity. Unpublished Manuscript, 2018. Robert J Barro. The ricardian approach to budget deﬁcits. Journal of Economic perspectives , 3(2):37–54, 1989. Truman Bewley. A difﬁculty with the optimum quantity of money. Econometrica, 51(5):1485–1504, 1983. ISSN 00129682, 14680262. URL http://www.jstor.org/stable/1912286 . Saki Bigio. Endogenous liquidity and the business cycle. American Economic Review , 105(6):1883–1927, 2015. doi: 10.1257/aer. 20110035. URL http://www.aeaweb.org/articles.php?doi=10.1257/aer.20110035 . Bengt Holmström and Jean Tirole. Private and public supply of liquidity. The Journal of Political Economy , 106(1):pp. 1–40, 1998. ISSN 00223808. URL http://www.jstor.org/stable/2990758 . Nobuhiro Kiyotaki and John Moore. Liquidity, business cycles, and monetary policy. 2008. URL http://www.princeton.edu/ ~kiyotaki/papers/ChiKM6-1.pdf . Robert E. Lucas. Equilibrium in a pure currency economy. Economic Inquiry, 18(2):203–220, 1980. ISSN 1465-7295. doi: 10.1111/ j.1465-7295.1980.tb00570.x. URL http://dx.doi.org/10.1111/j.1465-7295.1980.tb00570.x . Robert E Lucas and Nancy L Stokey. Optimal ﬁscal and monetary policy in an economy without capital. Journal of monetary Economics, 12(1):55–93, 1983. Michael Woodford. Public debt as private liquidity. The American Economic Review , 80(2):382–388, 1990. ISSN 00028282. URL http://www.jstor.org/stable/2006605 . 9</x:v>
      </x:c>
      <x:c r="I8" s="25" t="str">
        <x:v>title_not_isolated; possible_merged_entries</x:v>
      </x:c>
      <x:c r="J8" s="28" t="str">
        <x:v>fusionada</x:v>
      </x:c>
      <x:c r="K8" s="28" t="str">
        <x:v>no_aplica</x:v>
      </x:c>
      <x:c r="L8" s="28" t="str">
        <x:v>no_aplica</x:v>
      </x:c>
      <x:c r="M8" s="28" t="str">
        <x:v>no_aplica</x:v>
      </x:c>
      <x:c r="N8" s="29" t="str">
        <x:v>Separar las referencias contenidas en esta fila.</x:v>
      </x:c>
      <x:c r="O8" s="29" t="str">
        <x:v>La fila reúne material de dos o más referencias consecutivas. Página PDF 9.</x:v>
      </x:c>
      <x:c r="P8" s="28" t="str">
        <x:v>Codex</x:v>
      </x:c>
      <x:c r="Q8" s="30" t="n">
        <x:v>46280.708333333336</x:v>
      </x:c>
    </x:row>
    <x:row r="9">
      <x:c r="A9" s="24" t="str">
        <x:v>Muestra dirigida: missing_year</x:v>
      </x:c>
      <x:c r="B9" s="24" t="str">
        <x:v>W06</x:v>
      </x:c>
      <x:c r="C9" s="24" t="str">
        <x:v>saki_research/working_papers/bigio_zhang_zilberman_transfers_credit_policy_macroeconomic_policy_trade_offs_during_covid_19.pdf</x:v>
      </x:c>
      <x:c r="D9" s="24" t="n">
        <x:v>6</x:v>
      </x:c>
      <x:c r="E9" s="24" t="str">
        <x:v>Bigio</x:v>
      </x:c>
      <x:c r="F9" s="26" t="str"/>
      <x:c r="G9" s="25" t="str"/>
      <x:c r="H9" s="25" t="str">
        <x:v>Bigio, Saki and Yuliy Sannikov, “A Model of</x:v>
      </x:c>
      <x:c r="I9" s="25" t="str">
        <x:v>missing_year; title_not_isolated</x:v>
      </x:c>
      <x:c r="J9" s="28" t="str">
        <x:v>fragmentada</x:v>
      </x:c>
      <x:c r="K9" s="28" t="str">
        <x:v>no_aplica</x:v>
      </x:c>
      <x:c r="L9" s="28" t="str">
        <x:v>no_aplica</x:v>
      </x:c>
      <x:c r="M9" s="28" t="str">
        <x:v>no_aplica</x:v>
      </x:c>
      <x:c r="N9" s="29" t="str">
        <x:v>Unir con la fila contigua de la referencia original.</x:v>
      </x:c>
      <x:c r="O9" s="29" t="str">
        <x:v>La fila contiene solo una parte de una referencia bibliográfica. Página PDF 3.</x:v>
      </x:c>
      <x:c r="P9" s="28" t="str">
        <x:v>Codex</x:v>
      </x:c>
      <x:c r="Q9" s="30" t="n">
        <x:v>46280.708333333336</x:v>
      </x:c>
    </x:row>
    <x:row r="10">
      <x:c r="A10" s="24" t="str">
        <x:v>Muestra dirigida: missing_year</x:v>
      </x:c>
      <x:c r="B10" s="24" t="str">
        <x:v>P09</x:v>
      </x:c>
      <x:c r="C10" s="24" t="str">
        <x:v>saki_research/published_papers/bigio_shi_repurchase_options_market_lemons.pdf</x:v>
      </x:c>
      <x:c r="D10" s="24" t="n">
        <x:v>13</x:v>
      </x:c>
      <x:c r="E10" s="24" t="str">
        <x:v>Bigio</x:v>
      </x:c>
      <x:c r="F10" s="26" t="str"/>
      <x:c r="G10" s="25" t="str">
        <x:v>Endogenous Liquidity and the Business Cycle,</x:v>
      </x:c>
      <x:c r="H10" s="25" t="str">
        <x:v>Bigio, Saki, “Endogenous Liquidity and the Business Cycle,”American Economic</x:v>
      </x:c>
      <x:c r="I10" s="25" t="str">
        <x:v>missing_year</x:v>
      </x:c>
      <x:c r="J10" s="28" t="str">
        <x:v>fragmentada</x:v>
      </x:c>
      <x:c r="K10" s="28" t="str">
        <x:v>no_aplica</x:v>
      </x:c>
      <x:c r="L10" s="28" t="str">
        <x:v>no_aplica</x:v>
      </x:c>
      <x:c r="M10" s="28" t="str">
        <x:v>no_aplica</x:v>
      </x:c>
      <x:c r="N10" s="29" t="str">
        <x:v>Unir con la fila contigua de la referencia original.</x:v>
      </x:c>
      <x:c r="O10" s="29" t="str">
        <x:v>La fila contiene solo una parte de una referencia bibliográfica. Página PDF 36.</x:v>
      </x:c>
      <x:c r="P10" s="28" t="str">
        <x:v>Codex</x:v>
      </x:c>
      <x:c r="Q10" s="30" t="n">
        <x:v>46280.708333333336</x:v>
      </x:c>
    </x:row>
    <x:row r="11">
      <x:c r="A11" s="24" t="str">
        <x:v>Muestra dirigida: missing_year</x:v>
      </x:c>
      <x:c r="B11" s="24" t="str">
        <x:v>W02</x:v>
      </x:c>
      <x:c r="C11" s="24" t="str">
        <x:v>saki_research/working_papers/bigio_sannikov_model_credit_money_interest_prices.pdf</x:v>
      </x:c>
      <x:c r="D11" s="24" t="n">
        <x:v>50</x:v>
      </x:c>
      <x:c r="E11" s="24" t="str">
        <x:v>Michaillat</x:v>
      </x:c>
      <x:c r="F11" s="26" t="str"/>
      <x:c r="G11" s="25" t="str"/>
      <x:c r="H11" s="25" t="str">
        <x:v>Michaillat, Pascal and Emmanuel Saez , “Aggregate</x:v>
      </x:c>
      <x:c r="I11" s="25" t="str">
        <x:v>missing_year; title_not_isolated</x:v>
      </x:c>
      <x:c r="J11" s="28" t="str">
        <x:v>fragmentada</x:v>
      </x:c>
      <x:c r="K11" s="28" t="str">
        <x:v>no_aplica</x:v>
      </x:c>
      <x:c r="L11" s="28" t="str">
        <x:v>no_aplica</x:v>
      </x:c>
      <x:c r="M11" s="28" t="str">
        <x:v>no_aplica</x:v>
      </x:c>
      <x:c r="N11" s="29" t="str">
        <x:v>Unir con la fila contigua de la referencia original.</x:v>
      </x:c>
      <x:c r="O11" s="29" t="str">
        <x:v>La fila contiene solo una parte de una referencia bibliográfica. Página PDF 44.</x:v>
      </x:c>
      <x:c r="P11" s="28" t="str">
        <x:v>Codex</x:v>
      </x:c>
      <x:c r="Q11" s="30" t="n">
        <x:v>46280.708333333336</x:v>
      </x:c>
    </x:row>
    <x:row r="12">
      <x:c r="A12" s="24" t="str">
        <x:v>Muestra dirigida: missing_year</x:v>
      </x:c>
      <x:c r="B12" s="24" t="str">
        <x:v>W10</x:v>
      </x:c>
      <x:c r="C12" s="24" t="str">
        <x:v>saki_research/working_papers/bigio_ishide_new_keynesian_economics_through_extensive_margin.pdf</x:v>
      </x:c>
      <x:c r="D12" s="24" t="n">
        <x:v>14</x:v>
      </x:c>
      <x:c r="E12" s="24" t="str">
        <x:v>Michaillat</x:v>
      </x:c>
      <x:c r="F12" s="26" t="str"/>
      <x:c r="G12" s="25" t="str"/>
      <x:c r="H12" s="25" t="str">
        <x:v>Michaillat, Pascal and Emmanuel Saez, “Aggregate</x:v>
      </x:c>
      <x:c r="I12" s="25" t="str">
        <x:v>missing_year; title_not_isolated</x:v>
      </x:c>
      <x:c r="J12" s="28" t="str">
        <x:v>fragmentada</x:v>
      </x:c>
      <x:c r="K12" s="28" t="str">
        <x:v>no_aplica</x:v>
      </x:c>
      <x:c r="L12" s="28" t="str">
        <x:v>no_aplica</x:v>
      </x:c>
      <x:c r="M12" s="28" t="str">
        <x:v>no_aplica</x:v>
      </x:c>
      <x:c r="N12" s="29" t="str">
        <x:v>Unir con la fila contigua de la referencia original.</x:v>
      </x:c>
      <x:c r="O12" s="29" t="str">
        <x:v>La fila contiene solo una parte de una referencia bibliográfica. Página PDF 4.</x:v>
      </x:c>
      <x:c r="P12" s="28" t="str">
        <x:v>Codex</x:v>
      </x:c>
      <x:c r="Q12" s="30" t="n">
        <x:v>46280.708333333336</x:v>
      </x:c>
    </x:row>
    <x:row r="13">
      <x:c r="A13" s="24" t="str">
        <x:v>Muestra dirigida: missing_year</x:v>
      </x:c>
      <x:c r="B13" s="24" t="str">
        <x:v>W08</x:v>
      </x:c>
      <x:c r="C13" s="24" t="str">
        <x:v>saki_research/working_papers/bigio_mendez_patten_theory_payments_chain_crises.pdf</x:v>
      </x:c>
      <x:c r="D13" s="24" t="n">
        <x:v>5</x:v>
      </x:c>
      <x:c r="E13" s="24" t="str">
        <x:v>Biais</x:v>
      </x:c>
      <x:c r="F13" s="26" t="str"/>
      <x:c r="G13" s="25" t="str">
        <x:v>Trade Credit and Credit Rationing,</x:v>
      </x:c>
      <x:c r="H13" s="25" t="str">
        <x:v>Biais, Bruno and Christian Gollier, “Trade Credit and Credit Rationing,”The Review of Financial</x:v>
      </x:c>
      <x:c r="I13" s="25" t="str">
        <x:v>missing_year</x:v>
      </x:c>
      <x:c r="J13" s="28" t="str">
        <x:v>fragmentada</x:v>
      </x:c>
      <x:c r="K13" s="28" t="str">
        <x:v>no_aplica</x:v>
      </x:c>
      <x:c r="L13" s="28" t="str">
        <x:v>no_aplica</x:v>
      </x:c>
      <x:c r="M13" s="28" t="str">
        <x:v>no_aplica</x:v>
      </x:c>
      <x:c r="N13" s="29" t="str">
        <x:v>Unir con la fila contigua de la referencia original.</x:v>
      </x:c>
      <x:c r="O13" s="29" t="str">
        <x:v>La fila contiene solo una parte de una referencia bibliográfica. Página PDF 51.</x:v>
      </x:c>
      <x:c r="P13" s="28" t="str">
        <x:v>Codex</x:v>
      </x:c>
      <x:c r="Q13" s="30" t="n">
        <x:v>46280.708333333336</x:v>
      </x:c>
    </x:row>
    <x:row r="14">
      <x:c r="A14" s="24" t="str">
        <x:v>Muestra dirigida: missing_year</x:v>
      </x:c>
      <x:c r="B14" s="24" t="str">
        <x:v>P12</x:v>
      </x:c>
      <x:c r="C14" s="24" t="str">
        <x:v>saki_research/published_papers/bianchi_bigio_portfolio_choice_settlement_frictions_theory_endogenous_convenience_yields.pdf</x:v>
      </x:c>
      <x:c r="D14" s="24" t="n">
        <x:v>13</x:v>
      </x:c>
      <x:c r="E14" s="24" t="str">
        <x:v>Shocks</x:v>
      </x:c>
      <x:c r="F14" s="26" t="str"/>
      <x:c r="G14" s="25" t="str"/>
      <x:c r="H14" s="25" t="str">
        <x:v>Shocks, Liquidity, and Central Bank Policy,” in William A. Barnett and Kenneth J. Singleton, eds.,New Approaches to Monetary</x:v>
      </x:c>
      <x:c r="I14" s="25" t="str">
        <x:v>missing_year; title_not_isolated</x:v>
      </x:c>
      <x:c r="J14" s="28" t="str">
        <x:v>fragmentada</x:v>
      </x:c>
      <x:c r="K14" s="28" t="str">
        <x:v>no_aplica</x:v>
      </x:c>
      <x:c r="L14" s="28" t="str">
        <x:v>no_aplica</x:v>
      </x:c>
      <x:c r="M14" s="28" t="str">
        <x:v>no_aplica</x:v>
      </x:c>
      <x:c r="N14" s="29" t="str">
        <x:v>Unir con la fila contigua de la referencia original.</x:v>
      </x:c>
      <x:c r="O14" s="29" t="str">
        <x:v>La fila contiene solo una parte de una referencia bibliográfica. Página PDF 2.</x:v>
      </x:c>
      <x:c r="P14" s="28" t="str">
        <x:v>Codex</x:v>
      </x:c>
      <x:c r="Q14" s="30" t="n">
        <x:v>46280.708333333336</x:v>
      </x:c>
    </x:row>
    <x:row r="15">
      <x:c r="A15" s="24" t="str">
        <x:v>Muestra dirigida: missing_year</x:v>
      </x:c>
      <x:c r="B15" s="24" t="str">
        <x:v>W06</x:v>
      </x:c>
      <x:c r="C15" s="24" t="str">
        <x:v>saki_research/working_papers/bigio_zhang_zilberman_transfers_credit_policy_macroeconomic_policy_trade_offs_during_covid_19.pdf</x:v>
      </x:c>
      <x:c r="D15" s="24" t="n">
        <x:v>15</x:v>
      </x:c>
      <x:c r="E15" s="24" t="str">
        <x:v>Lorenzoni</x:v>
      </x:c>
      <x:c r="F15" s="26" t="str"/>
      <x:c r="G15" s="25" t="str">
        <x:v>Macroeconomic Implications of COVID-19: Can Negative Supply Shocks Cause Demand Shortages?,</x:v>
      </x:c>
      <x:c r="H15" s="25" t="str">
        <x:v>Lorenzoni, Ludwig Straub, and Iván Werning , “Macroeconomic Implications of COVID-19: Can Negative Supply Shocks Cause Demand Shortages?,” Technical</x:v>
      </x:c>
      <x:c r="I15" s="25" t="str">
        <x:v>missing_year</x:v>
      </x:c>
      <x:c r="J15" s="28" t="str">
        <x:v>fragmentada</x:v>
      </x:c>
      <x:c r="K15" s="28" t="str">
        <x:v>no_aplica</x:v>
      </x:c>
      <x:c r="L15" s="28" t="str">
        <x:v>no_aplica</x:v>
      </x:c>
      <x:c r="M15" s="28" t="str">
        <x:v>no_aplica</x:v>
      </x:c>
      <x:c r="N15" s="29" t="str">
        <x:v>Unir con la fila contigua de la referencia original.</x:v>
      </x:c>
      <x:c r="O15" s="29" t="str">
        <x:v>La fila contiene solo una parte de una referencia bibliográfica. Página PDF 25.</x:v>
      </x:c>
      <x:c r="P15" s="28" t="str">
        <x:v>Codex</x:v>
      </x:c>
      <x:c r="Q15" s="30" t="n">
        <x:v>46280.708333333336</x:v>
      </x:c>
    </x:row>
    <x:row r="16">
      <x:c r="A16" s="24" t="str">
        <x:v>Muestra dirigida: missing_year</x:v>
      </x:c>
      <x:c r="B16" s="24" t="str">
        <x:v>P12</x:v>
      </x:c>
      <x:c r="C16" s="24" t="str">
        <x:v>saki_research/published_papers/bianchi_bigio_portfolio_choice_settlement_frictions_theory_endogenous_convenience_yields.pdf</x:v>
      </x:c>
      <x:c r="D16" s="24" t="n">
        <x:v>15</x:v>
      </x:c>
      <x:c r="E16" s="24" t="str">
        <x:v>Bigio</x:v>
      </x:c>
      <x:c r="F16" s="26" t="str"/>
      <x:c r="G16" s="25" t="str"/>
      <x:c r="H16" s="25" t="str">
        <x:v>Bigio, Saki and Yuliy Sannikov, “A Model of</x:v>
      </x:c>
      <x:c r="I16" s="25" t="str">
        <x:v>missing_year; title_not_isolated</x:v>
      </x:c>
      <x:c r="J16" s="28" t="str">
        <x:v>fragmentada</x:v>
      </x:c>
      <x:c r="K16" s="28" t="str">
        <x:v>no_aplica</x:v>
      </x:c>
      <x:c r="L16" s="28" t="str">
        <x:v>no_aplica</x:v>
      </x:c>
      <x:c r="M16" s="28" t="str">
        <x:v>no_aplica</x:v>
      </x:c>
      <x:c r="N16" s="29" t="str">
        <x:v>Unir con la fila contigua de la referencia original.</x:v>
      </x:c>
      <x:c r="O16" s="29" t="str">
        <x:v>La fila contiene solo una parte de una referencia bibliográfica. Página PDF 1.</x:v>
      </x:c>
      <x:c r="P16" s="28" t="str">
        <x:v>Codex</x:v>
      </x:c>
      <x:c r="Q16" s="30" t="n">
        <x:v>46280.708333333336</x:v>
      </x:c>
    </x:row>
    <x:row r="17">
      <x:c r="A17" s="24" t="str">
        <x:v>Muestra dirigida: missing_year</x:v>
      </x:c>
      <x:c r="B17" s="24" t="str">
        <x:v>W04</x:v>
      </x:c>
      <x:c r="C17" s="24" t="str">
        <x:v>saki_research/working_papers/bigio_caramp_silva_sticky_inflation_monetary_policy_debt_drags_inflation_expectations.pdf</x:v>
      </x:c>
      <x:c r="D17" s="24" t="n">
        <x:v>23</x:v>
      </x:c>
      <x:c r="E17" s="24" t="str">
        <x:v>Gagliardone</x:v>
      </x:c>
      <x:c r="F17" s="26" t="str"/>
      <x:c r="G17" s="25" t="str"/>
      <x:c r="H17" s="25" t="str">
        <x:v>Gagliardone, Luca and Mark Gertler , “Oil</x:v>
      </x:c>
      <x:c r="I17" s="25" t="str">
        <x:v>missing_year; title_not_isolated</x:v>
      </x:c>
      <x:c r="J17" s="28" t="str">
        <x:v>fragmentada</x:v>
      </x:c>
      <x:c r="K17" s="28" t="str">
        <x:v>no_aplica</x:v>
      </x:c>
      <x:c r="L17" s="28" t="str">
        <x:v>no_aplica</x:v>
      </x:c>
      <x:c r="M17" s="28" t="str">
        <x:v>no_aplica</x:v>
      </x:c>
      <x:c r="N17" s="29" t="str">
        <x:v>Unir con la fila contigua de la referencia original.</x:v>
      </x:c>
      <x:c r="O17" s="29" t="str">
        <x:v>La fila contiene solo una parte de una referencia bibliográfica. Página PDF 45.</x:v>
      </x:c>
      <x:c r="P17" s="28" t="str">
        <x:v>Codex</x:v>
      </x:c>
      <x:c r="Q17" s="30" t="n">
        <x:v>46280.708333333336</x:v>
      </x:c>
    </x:row>
    <x:row r="18">
      <x:c r="A18" s="24" t="str">
        <x:v>Muestra dirigida: missing_year</x:v>
      </x:c>
      <x:c r="B18" s="24" t="str">
        <x:v>W08</x:v>
      </x:c>
      <x:c r="C18" s="24" t="str">
        <x:v>saki_research/working_papers/bigio_mendez_patten_theory_payments_chain_crises.pdf</x:v>
      </x:c>
      <x:c r="D18" s="24" t="n">
        <x:v>28</x:v>
      </x:c>
      <x:c r="E18" s="24" t="str">
        <x:v>Stops</x:v>
      </x:c>
      <x:c r="F18" s="26" t="str"/>
      <x:c r="G18" s="25" t="str"/>
      <x:c r="H18" s="25" t="str">
        <x:v>Stops, Financial Crises, and Leverage,” American Economic</x:v>
      </x:c>
      <x:c r="I18" s="25" t="str">
        <x:v>missing_year; title_not_isolated</x:v>
      </x:c>
      <x:c r="J18" s="28" t="str">
        <x:v>fragmentada</x:v>
      </x:c>
      <x:c r="K18" s="28" t="str">
        <x:v>no_aplica</x:v>
      </x:c>
      <x:c r="L18" s="28" t="str">
        <x:v>no_aplica</x:v>
      </x:c>
      <x:c r="M18" s="28" t="str">
        <x:v>no_aplica</x:v>
      </x:c>
      <x:c r="N18" s="29" t="str">
        <x:v>Unir con la fila contigua de la referencia original.</x:v>
      </x:c>
      <x:c r="O18" s="29" t="str">
        <x:v>La fila contiene solo una parte de una referencia bibliográfica. Página PDF 53.</x:v>
      </x:c>
      <x:c r="P18" s="28" t="str">
        <x:v>Codex</x:v>
      </x:c>
      <x:c r="Q18" s="30" t="n">
        <x:v>46280.708333333336</x:v>
      </x:c>
    </x:row>
    <x:row r="19">
      <x:c r="A19" s="24" t="str">
        <x:v>Muestra dirigida: missing_year</x:v>
      </x:c>
      <x:c r="B19" s="24" t="str">
        <x:v>E02</x:v>
      </x:c>
      <x:c r="C19" s="24" t="str">
        <x:v>saki_research/pre_phd_papers/bigio_salas_non_linear_effects_monetary_policy_real_exchange_rate_shocks_partially_dollarized_economies_empirical_study_peru.pdf</x:v>
      </x:c>
      <x:c r="D19" s="24" t="n">
        <x:v>46</x:v>
      </x:c>
      <x:c r="E19" s="24" t="str">
        <x:v>Chile</x:v>
      </x:c>
      <x:c r="F19" s="26" t="str"/>
      <x:c r="G19" s="25" t="str"/>
      <x:c r="H19" s="25" t="str">
        <x:v>Chile, Banco Central de Chile (Working Paper, no 108).</x:v>
      </x:c>
      <x:c r="I19" s="25" t="str">
        <x:v>missing_year; title_not_isolated</x:v>
      </x:c>
      <x:c r="J19" s="28" t="str">
        <x:v>fragmentada</x:v>
      </x:c>
      <x:c r="K19" s="28" t="str">
        <x:v>no_aplica</x:v>
      </x:c>
      <x:c r="L19" s="28" t="str">
        <x:v>no_aplica</x:v>
      </x:c>
      <x:c r="M19" s="28" t="str">
        <x:v>no_aplica</x:v>
      </x:c>
      <x:c r="N19" s="29" t="str">
        <x:v>Unir con la fila contigua de la referencia original.</x:v>
      </x:c>
      <x:c r="O19" s="29" t="str">
        <x:v>La fila contiene solo una parte de una referencia bibliográfica. Página PDF 30.</x:v>
      </x:c>
      <x:c r="P19" s="28" t="str">
        <x:v>Codex</x:v>
      </x:c>
      <x:c r="Q19" s="30" t="n">
        <x:v>46280.708333333336</x:v>
      </x:c>
    </x:row>
    <x:row r="20">
      <x:c r="A20" s="24" t="str">
        <x:v>Muestra dirigida: missing_year</x:v>
      </x:c>
      <x:c r="B20" s="24" t="str">
        <x:v>W06</x:v>
      </x:c>
      <x:c r="C20" s="24" t="str">
        <x:v>saki_research/working_papers/bigio_zhang_zilberman_transfers_credit_policy_macroeconomic_policy_trade_offs_during_covid_19.pdf</x:v>
      </x:c>
      <x:c r="D20" s="24" t="n">
        <x:v>8</x:v>
      </x:c>
      <x:c r="E20" s="24" t="str">
        <x:v>Buera</x:v>
      </x:c>
      <x:c r="F20" s="26" t="str"/>
      <x:c r="G20" s="25" t="str">
        <x:v>The Economic Ripple Effects of COVID-19,</x:v>
      </x:c>
      <x:c r="H20" s="25" t="str">
        <x:v>Buera, Francisco J., Roberto N. Fattal-Jaef, P . André Neumeyer, and Yongseok Shin , “The Economic Ripple Effects of COVID-19,”</x:v>
      </x:c>
      <x:c r="I20" s="25" t="str">
        <x:v>missing_year</x:v>
      </x:c>
      <x:c r="J20" s="28" t="str">
        <x:v>fragmentada</x:v>
      </x:c>
      <x:c r="K20" s="28" t="str">
        <x:v>no_aplica</x:v>
      </x:c>
      <x:c r="L20" s="28" t="str">
        <x:v>no_aplica</x:v>
      </x:c>
      <x:c r="M20" s="28" t="str">
        <x:v>no_aplica</x:v>
      </x:c>
      <x:c r="N20" s="29" t="str">
        <x:v>Unir con la fila contigua de la referencia original.</x:v>
      </x:c>
      <x:c r="O20" s="29" t="str">
        <x:v>La fila contiene solo una parte de una referencia bibliográfica. Página PDF 25.</x:v>
      </x:c>
      <x:c r="P20" s="28" t="str">
        <x:v>Codex</x:v>
      </x:c>
      <x:c r="Q20" s="30" t="n">
        <x:v>46280.708333333336</x:v>
      </x:c>
    </x:row>
    <x:row r="21">
      <x:c r="A21" s="24" t="str">
        <x:v>Muestra dirigida: missing_year</x:v>
      </x:c>
      <x:c r="B21" s="24" t="str">
        <x:v>P08</x:v>
      </x:c>
      <x:c r="C21" s="24" t="str">
        <x:v>saki_research/published_papers/bigio_nuno_passadore_debt_maturity_management_liquidity_costs.pdf</x:v>
      </x:c>
      <x:c r="D21" s="24" t="n">
        <x:v>24</x:v>
      </x:c>
      <x:c r="E21" s="24" t="str">
        <x:v>Fleming</x:v>
      </x:c>
      <x:c r="F21" s="26" t="str"/>
      <x:c r="G21" s="25" t="str">
        <x:v>Are Larger Treasury Issues More Liquid? Evidence from Bill Reopenings,</x:v>
      </x:c>
      <x:c r="H21" s="25" t="str">
        <x:v>Fleming, Michael J., “Are Larger Treasury Issues More Liquid? Evidence from Bill Reopenings,”Journal of</x:v>
      </x:c>
      <x:c r="I21" s="25" t="str">
        <x:v>missing_year</x:v>
      </x:c>
      <x:c r="J21" s="28" t="str">
        <x:v>fragmentada</x:v>
      </x:c>
      <x:c r="K21" s="28" t="str">
        <x:v>no_aplica</x:v>
      </x:c>
      <x:c r="L21" s="28" t="str">
        <x:v>no_aplica</x:v>
      </x:c>
      <x:c r="M21" s="28" t="str">
        <x:v>no_aplica</x:v>
      </x:c>
      <x:c r="N21" s="29" t="str">
        <x:v>Unir con la fila contigua de la referencia original.</x:v>
      </x:c>
      <x:c r="O21" s="29" t="str">
        <x:v>La fila contiene solo una parte de una referencia bibliográfica. Página PDF 11.</x:v>
      </x:c>
      <x:c r="P21" s="28" t="str">
        <x:v>Codex</x:v>
      </x:c>
      <x:c r="Q21" s="30" t="n">
        <x:v>46280.708333333336</x:v>
      </x:c>
    </x:row>
    <x:row r="22">
      <x:c r="A22" s="24" t="str">
        <x:v>Muestra dirigida: missing_year</x:v>
      </x:c>
      <x:c r="B22" s="24" t="str">
        <x:v>V01</x:v>
      </x:c>
      <x:c r="C22" s="24" t="str">
        <x:v>saki_research/research_vision/research_vision.pdf</x:v>
      </x:c>
      <x:c r="D22" s="24" t="n">
        <x:v>18</x:v>
      </x:c>
      <x:c r="E22" s="24" t="str">
        <x:v>Javier</x:v>
      </x:c>
      <x:c r="F22" s="26" t="str"/>
      <x:c r="G22" s="25" t="str"/>
      <x:c r="H22" s="25" t="str">
        <x:v>Javier, Saki Bigio, and Charles Engel, “Scrambling for Dollars: International</x:v>
      </x:c>
      <x:c r="I22" s="25" t="str">
        <x:v>missing_year; title_not_isolated</x:v>
      </x:c>
      <x:c r="J22" s="28" t="str">
        <x:v>fragmentada</x:v>
      </x:c>
      <x:c r="K22" s="28" t="str">
        <x:v>no_aplica</x:v>
      </x:c>
      <x:c r="L22" s="28" t="str">
        <x:v>no_aplica</x:v>
      </x:c>
      <x:c r="M22" s="28" t="str">
        <x:v>no_aplica</x:v>
      </x:c>
      <x:c r="N22" s="29" t="str">
        <x:v>Unir con la fila contigua de la referencia original.</x:v>
      </x:c>
      <x:c r="O22" s="29" t="str">
        <x:v>La fila contiene solo una parte de una referencia bibliográfica. Página PDF 13.</x:v>
      </x:c>
      <x:c r="P22" s="28" t="str">
        <x:v>Codex</x:v>
      </x:c>
      <x:c r="Q22" s="30" t="n">
        <x:v>46280.708333333336</x:v>
      </x:c>
    </x:row>
    <x:row r="23">
      <x:c r="A23" s="24" t="str">
        <x:v>Muestra dirigida: missing_year</x:v>
      </x:c>
      <x:c r="B23" s="24" t="str">
        <x:v>V01</x:v>
      </x:c>
      <x:c r="C23" s="24" t="str">
        <x:v>saki_research/research_vision/research_vision.pdf</x:v>
      </x:c>
      <x:c r="D23" s="24" t="n">
        <x:v>19</x:v>
      </x:c>
      <x:c r="E23" s="24" t="str">
        <x:v>Bigio</x:v>
      </x:c>
      <x:c r="F23" s="26" t="str"/>
      <x:c r="G23" s="25" t="str">
        <x:v>Endogenous Liquidity and the Business Cycle,</x:v>
      </x:c>
      <x:c r="H23" s="25" t="str">
        <x:v>Bigio, Saki, “Endogenous Liquidity and the Business Cycle,”American Economic</x:v>
      </x:c>
      <x:c r="I23" s="25" t="str">
        <x:v>missing_year</x:v>
      </x:c>
      <x:c r="J23" s="28" t="str">
        <x:v>fragmentada</x:v>
      </x:c>
      <x:c r="K23" s="28" t="str">
        <x:v>no_aplica</x:v>
      </x:c>
      <x:c r="L23" s="28" t="str">
        <x:v>no_aplica</x:v>
      </x:c>
      <x:c r="M23" s="28" t="str">
        <x:v>no_aplica</x:v>
      </x:c>
      <x:c r="N23" s="29" t="str">
        <x:v>Unir con la fila contigua de la referencia original.</x:v>
      </x:c>
      <x:c r="O23" s="29" t="str">
        <x:v>La fila contiene solo una parte de una referencia bibliográfica. Página PDF 21.</x:v>
      </x:c>
      <x:c r="P23" s="28" t="str">
        <x:v>Codex</x:v>
      </x:c>
      <x:c r="Q23" s="30" t="n">
        <x:v>46280.708333333336</x:v>
      </x:c>
    </x:row>
    <x:row r="24">
      <x:c r="A24" s="24" t="str">
        <x:v>Muestra dirigida: missing_year</x:v>
      </x:c>
      <x:c r="B24" s="24" t="str">
        <x:v>W08</x:v>
      </x:c>
      <x:c r="C24" s="24" t="str">
        <x:v>saki_research/working_papers/bigio_mendez_patten_theory_payments_chain_crises.pdf</x:v>
      </x:c>
      <x:c r="D24" s="24" t="n">
        <x:v>2</x:v>
      </x:c>
      <x:c r="E24" s="24" t="str">
        <x:v>David</x:v>
      </x:c>
      <x:c r="F24" s="26" t="str"/>
      <x:c r="G24" s="25" t="str"/>
      <x:c r="H24" s="25" t="str">
        <x:v>David, Esteban M ´endez, and Diana Van Patten , “Cross-Border Product Adoption: Individual</x:v>
      </x:c>
      <x:c r="I24" s="25" t="str">
        <x:v>missing_year; title_not_isolated</x:v>
      </x:c>
      <x:c r="J24" s="28" t="str">
        <x:v>fragmentada</x:v>
      </x:c>
      <x:c r="K24" s="28" t="str">
        <x:v>no_aplica</x:v>
      </x:c>
      <x:c r="L24" s="28" t="str">
        <x:v>no_aplica</x:v>
      </x:c>
      <x:c r="M24" s="28" t="str">
        <x:v>no_aplica</x:v>
      </x:c>
      <x:c r="N24" s="29" t="str">
        <x:v>Unir con la fila contigua de la referencia original.</x:v>
      </x:c>
      <x:c r="O24" s="29" t="str">
        <x:v>La fila contiene solo una parte de una referencia bibliográfica. Página PDF 51.</x:v>
      </x:c>
      <x:c r="P24" s="28" t="str">
        <x:v>Codex</x:v>
      </x:c>
      <x:c r="Q24" s="30" t="n">
        <x:v>46280.708333333336</x:v>
      </x:c>
    </x:row>
    <x:row r="25">
      <x:c r="A25" s="24" t="str">
        <x:v>Muestra dirigida: missing_year</x:v>
      </x:c>
      <x:c r="B25" s="24" t="str">
        <x:v>E01</x:v>
      </x:c>
      <x:c r="C25" s="24" t="str">
        <x:v>saki_research/pre_phd_papers/bigio_ramirez_corrupcion_indicadores_desarrollo_pery_mundo_revision_empirica.pdf</x:v>
      </x:c>
      <x:c r="D25" s="24" t="n">
        <x:v>36</x:v>
      </x:c>
      <x:c r="E25" s="24" t="str">
        <x:v>Mauro</x:v>
      </x:c>
      <x:c r="F25" s="26" t="str"/>
      <x:c r="G25" s="25" t="str">
        <x:v>Corruption: Causes, consequences and agenda for further research.</x:v>
      </x:c>
      <x:c r="H25" s="25" t="str">
        <x:v>Mauro, P. (1 998b): “Corruption: Causes, consequences and agenda for further research.” Finance &amp; Development, 35(1), pp.11-14.</x:v>
      </x:c>
      <x:c r="I25" s="25" t="str">
        <x:v>missing_year</x:v>
      </x:c>
      <x:c r="J25" s="28" t="str">
        <x:v>referencia_correcta</x:v>
      </x:c>
      <x:c r="K25" s="28" t="str">
        <x:v>sí</x:v>
      </x:c>
      <x:c r="L25" s="28" t="str">
        <x:v>no</x:v>
      </x:c>
      <x:c r="M25" s="28" t="str">
        <x:v>sí</x:v>
      </x:c>
      <x:c r="N25" s="29" t="str">
        <x:v>Año: 1998b.</x:v>
      </x:c>
      <x:c r="O25" s="29" t="str">
        <x:v>El PDF imprime “1 998b”; el extractor no normalizó el espacio interno.</x:v>
      </x:c>
      <x:c r="P25" s="28" t="str">
        <x:v>Codex</x:v>
      </x:c>
      <x:c r="Q25" s="30" t="n">
        <x:v>46280.708333333336</x:v>
      </x:c>
    </x:row>
    <x:row r="26">
      <x:c r="A26" s="24" t="str">
        <x:v>Muestra dirigida: missing_year</x:v>
      </x:c>
      <x:c r="B26" s="24" t="str">
        <x:v>P03</x:v>
      </x:c>
      <x:c r="C26" s="24" t="str">
        <x:v>saki_research/published_papers/bigio_endogenous_liquidity_business_cycle.pdf</x:v>
      </x:c>
      <x:c r="D26" s="24" t="n">
        <x:v>24</x:v>
      </x:c>
      <x:c r="E26" s="24" t="str">
        <x:v>Lorenzoni</x:v>
      </x:c>
      <x:c r="F26" s="26" t="str"/>
      <x:c r="G26" s="25" t="str"/>
      <x:c r="H26" s="25" t="str">
        <x:v>Lorenzoni, Guido and Karl Walentin , “Financial</x:v>
      </x:c>
      <x:c r="I26" s="25" t="str">
        <x:v>missing_year; title_not_isolated</x:v>
      </x:c>
      <x:c r="J26" s="28" t="str">
        <x:v>fragmentada</x:v>
      </x:c>
      <x:c r="K26" s="28" t="str">
        <x:v>no_aplica</x:v>
      </x:c>
      <x:c r="L26" s="28" t="str">
        <x:v>no_aplica</x:v>
      </x:c>
      <x:c r="M26" s="28" t="str">
        <x:v>no_aplica</x:v>
      </x:c>
      <x:c r="N26" s="29" t="str">
        <x:v>Unir con la fila contigua de la referencia original.</x:v>
      </x:c>
      <x:c r="O26" s="29" t="str">
        <x:v>La fila contiene solo una parte de una referencia bibliográfica. Página PDF 43.</x:v>
      </x:c>
      <x:c r="P26" s="28" t="str">
        <x:v>Codex</x:v>
      </x:c>
      <x:c r="Q26" s="30" t="n">
        <x:v>46280.708333333336</x:v>
      </x:c>
    </x:row>
    <x:row r="27">
      <x:c r="A27" s="24" t="str">
        <x:v>Muestra dirigida: missing_year</x:v>
      </x:c>
      <x:c r="B27" s="24" t="str">
        <x:v>P13</x:v>
      </x:c>
      <x:c r="C27" s="24" t="str">
        <x:v>saki_research/published_papers/bigio_kanzig_sanchez_walsh_carbon_pricing_inequality_normative_pespective.pdf</x:v>
      </x:c>
      <x:c r="D27" s="24" t="n">
        <x:v>9</x:v>
      </x:c>
      <x:c r="E27" s="24" t="str">
        <x:v>Macro</x:v>
      </x:c>
      <x:c r="F27" s="26" t="str"/>
      <x:c r="G27" s="25" t="str"/>
      <x:c r="H27" s="25" t="str">
        <x:v>Macro, Regional and Sectoral Data”.European Economic Review, p. 104983.</x:v>
      </x:c>
      <x:c r="I27" s="25" t="str">
        <x:v>missing_year; title_not_isolated</x:v>
      </x:c>
      <x:c r="J27" s="28" t="str">
        <x:v>fragmentada</x:v>
      </x:c>
      <x:c r="K27" s="28" t="str">
        <x:v>no_aplica</x:v>
      </x:c>
      <x:c r="L27" s="28" t="str">
        <x:v>no_aplica</x:v>
      </x:c>
      <x:c r="M27" s="28" t="str">
        <x:v>no_aplica</x:v>
      </x:c>
      <x:c r="N27" s="29" t="str">
        <x:v>Unir con la fila contigua de la referencia original.</x:v>
      </x:c>
      <x:c r="O27" s="29" t="str">
        <x:v>La fila contiene solo una parte de una referencia bibliográfica. Página PDF 27.</x:v>
      </x:c>
      <x:c r="P27" s="28" t="str">
        <x:v>Codex</x:v>
      </x:c>
      <x:c r="Q27" s="30" t="n">
        <x:v>46280.708333333336</x:v>
      </x:c>
    </x:row>
    <x:row r="28">
      <x:c r="A28" s="24" t="str">
        <x:v>Muestra dirigida: missing_year</x:v>
      </x:c>
      <x:c r="B28" s="24" t="str">
        <x:v>P12</x:v>
      </x:c>
      <x:c r="C28" s="24" t="str">
        <x:v>saki_research/published_papers/bianchi_bigio_portfolio_choice_settlement_frictions_theory_endogenous_convenience_yields.pdf</x:v>
      </x:c>
      <x:c r="D28" s="24" t="n">
        <x:v>2</x:v>
      </x:c>
      <x:c r="E28" s="24" t="str">
        <x:v>János</x:v>
      </x:c>
      <x:c r="F28" s="26" t="str"/>
      <x:c r="G28" s="25" t="str"/>
      <x:c r="H28" s="25" t="str">
        <x:v>János, Functional Equations in Several</x:v>
      </x:c>
      <x:c r="I28" s="25" t="str">
        <x:v>missing_year; title_not_isolated</x:v>
      </x:c>
      <x:c r="J28" s="28" t="str">
        <x:v>fragmentada</x:v>
      </x:c>
      <x:c r="K28" s="28" t="str">
        <x:v>no_aplica</x:v>
      </x:c>
      <x:c r="L28" s="28" t="str">
        <x:v>no_aplica</x:v>
      </x:c>
      <x:c r="M28" s="28" t="str">
        <x:v>no_aplica</x:v>
      </x:c>
      <x:c r="N28" s="29" t="str">
        <x:v>Unir con la fila contigua de la referencia original.</x:v>
      </x:c>
      <x:c r="O28" s="29" t="str">
        <x:v>La fila contiene solo una parte de una referencia bibliográfica. Página PDF 9.</x:v>
      </x:c>
      <x:c r="P28" s="28" t="str">
        <x:v>Codex</x:v>
      </x:c>
      <x:c r="Q28" s="30" t="n">
        <x:v>46280.708333333336</x:v>
      </x:c>
    </x:row>
    <x:row r="29">
      <x:c r="A29" s="24" t="str">
        <x:v>Muestra dirigida: title_not_isolated</x:v>
      </x:c>
      <x:c r="B29" s="24" t="str">
        <x:v>P06</x:v>
      </x:c>
      <x:c r="C29" s="24" t="str">
        <x:v>saki_research/published_papers/bigio_d_anvernas_financial_risk_capacity.pdf</x:v>
      </x:c>
      <x:c r="D29" s="24" t="n">
        <x:v>18</x:v>
      </x:c>
      <x:c r="E29" s="24" t="str">
        <x:v>Rostagno</x:v>
      </x:c>
      <x:c r="F29" s="26" t="n">
        <x:v>2014</x:v>
      </x:c>
      <x:c r="G29" s="25" t="str"/>
      <x:c r="H29" s="25" t="str">
        <x:v>Rostagno, Massimo. Risk shocks. American Economic Review, 104(1):27–65, 2014.</x:v>
      </x:c>
      <x:c r="I29" s="25" t="str">
        <x:v>title_not_isolated</x:v>
      </x:c>
      <x:c r="J29" s="28" t="str">
        <x:v>referencia_correcta</x:v>
      </x:c>
      <x:c r="K29" s="28" t="str">
        <x:v>sí</x:v>
      </x:c>
      <x:c r="L29" s="28" t="str">
        <x:v>sí</x:v>
      </x:c>
      <x:c r="M29" s="28" t="str">
        <x:v>no</x:v>
      </x:c>
      <x:c r="N29" s="29" t="str"/>
      <x:c r="O29" s="29" t="str">
        <x:v>La fila corresponde a una referencia completa, pero el título no quedó aislado por el extractor. Página PDF 40.</x:v>
      </x:c>
      <x:c r="P29" s="28" t="str">
        <x:v>Codex</x:v>
      </x:c>
      <x:c r="Q29" s="30" t="n">
        <x:v>46280.708333333336</x:v>
      </x:c>
    </x:row>
    <x:row r="30">
      <x:c r="A30" s="24" t="str">
        <x:v>Muestra dirigida: title_not_isolated</x:v>
      </x:c>
      <x:c r="B30" s="24" t="str">
        <x:v>P09</x:v>
      </x:c>
      <x:c r="C30" s="24" t="str">
        <x:v>saki_research/published_papers/bigio_shi_repurchase_options_market_lemons.pdf</x:v>
      </x:c>
      <x:c r="D30" s="24" t="n">
        <x:v>4</x:v>
      </x:c>
      <x:c r="E30" s="24" t="str">
        <x:v>Information</x:v>
      </x:c>
      <x:c r="F30" s="26" t="n">
        <x:v>2011</x:v>
      </x:c>
      <x:c r="G30" s="25" t="str"/>
      <x:c r="H30" s="25" t="str">
        <x:v>Information, Adverse Selection, and the Pricing of CMBS,”Journal of Financial Economics, 2011,100 (2), 304–325.</x:v>
      </x:c>
      <x:c r="I30" s="25" t="str">
        <x:v>title_not_isolated</x:v>
      </x:c>
      <x:c r="J30" s="28" t="str">
        <x:v>fragmentada</x:v>
      </x:c>
      <x:c r="K30" s="28" t="str">
        <x:v>no_aplica</x:v>
      </x:c>
      <x:c r="L30" s="28" t="str">
        <x:v>no_aplica</x:v>
      </x:c>
      <x:c r="M30" s="28" t="str">
        <x:v>no_aplica</x:v>
      </x:c>
      <x:c r="N30" s="29" t="str">
        <x:v>Unir con la fila contigua de la referencia original.</x:v>
      </x:c>
      <x:c r="O30" s="29" t="str">
        <x:v>La fila contiene solo una parte de una referencia bibliográfica. Página PDF 35.</x:v>
      </x:c>
      <x:c r="P30" s="28" t="str">
        <x:v>Codex</x:v>
      </x:c>
      <x:c r="Q30" s="30" t="n">
        <x:v>46280.708333333336</x:v>
      </x:c>
    </x:row>
    <x:row r="31">
      <x:c r="A31" s="24" t="str">
        <x:v>Muestra dirigida: title_not_isolated</x:v>
      </x:c>
      <x:c r="B31" s="24" t="str">
        <x:v>W02</x:v>
      </x:c>
      <x:c r="C31" s="24" t="str">
        <x:v>saki_research/working_papers/bigio_sannikov_model_credit_money_interest_prices.pdf</x:v>
      </x:c>
      <x:c r="D31" s="24" t="n">
        <x:v>59</x:v>
      </x:c>
      <x:c r="E31" s="24" t="str">
        <x:v>Illinois</x:v>
      </x:c>
      <x:c r="F31" s="26" t="str"/>
      <x:c r="G31" s="25" t="str"/>
      <x:c r="H31" s="25" t="str">
        <x:v>Illinois, Urbana-Champaign working paper.</x:v>
      </x:c>
      <x:c r="I31" s="25" t="str">
        <x:v>missing_year; title_not_isolated</x:v>
      </x:c>
      <x:c r="J31" s="28" t="str">
        <x:v>fragmentada</x:v>
      </x:c>
      <x:c r="K31" s="28" t="str">
        <x:v>no_aplica</x:v>
      </x:c>
      <x:c r="L31" s="28" t="str">
        <x:v>no_aplica</x:v>
      </x:c>
      <x:c r="M31" s="28" t="str">
        <x:v>no_aplica</x:v>
      </x:c>
      <x:c r="N31" s="29" t="str">
        <x:v>Unir con la fila contigua de la referencia original.</x:v>
      </x:c>
      <x:c r="O31" s="29" t="str">
        <x:v>La fila contiene solo una parte de una referencia bibliográfica. Página PDF 45.</x:v>
      </x:c>
      <x:c r="P31" s="28" t="str">
        <x:v>Codex</x:v>
      </x:c>
      <x:c r="Q31" s="30" t="n">
        <x:v>46280.708333333336</x:v>
      </x:c>
    </x:row>
    <x:row r="32">
      <x:c r="A32" s="24" t="str">
        <x:v>Muestra dirigida: title_not_isolated</x:v>
      </x:c>
      <x:c r="B32" s="24" t="str">
        <x:v>E02</x:v>
      </x:c>
      <x:c r="C32" s="24" t="str">
        <x:v>saki_research/pre_phd_papers/bigio_salas_non_linear_effects_monetary_policy_real_exchange_rate_shocks_partially_dollarized_economies_empirical_study_peru.pdf</x:v>
      </x:c>
      <x:c r="D32" s="24" t="n">
        <x:v>23</x:v>
      </x:c>
      <x:c r="E32" s="24" t="str">
        <x:v>Devaluations</x:v>
      </x:c>
      <x:c r="F32" s="26" t="str"/>
      <x:c r="G32" s="25" t="str"/>
      <x:c r="H32" s="25" t="str">
        <x:v>Devaluations, Banco Central de Chile (Working Paper, no 318).</x:v>
      </x:c>
      <x:c r="I32" s="25" t="str">
        <x:v>missing_year; title_not_isolated</x:v>
      </x:c>
      <x:c r="J32" s="28" t="str">
        <x:v>fragmentada</x:v>
      </x:c>
      <x:c r="K32" s="28" t="str">
        <x:v>no_aplica</x:v>
      </x:c>
      <x:c r="L32" s="28" t="str">
        <x:v>no_aplica</x:v>
      </x:c>
      <x:c r="M32" s="28" t="str">
        <x:v>no_aplica</x:v>
      </x:c>
      <x:c r="N32" s="29" t="str">
        <x:v>Unir con la fila contigua de la referencia original.</x:v>
      </x:c>
      <x:c r="O32" s="29" t="str">
        <x:v>La fila contiene solo una parte de una referencia bibliográfica. Página PDF 29.</x:v>
      </x:c>
      <x:c r="P32" s="28" t="str">
        <x:v>Codex</x:v>
      </x:c>
      <x:c r="Q32" s="30" t="n">
        <x:v>46280.708333333336</x:v>
      </x:c>
    </x:row>
    <x:row r="33">
      <x:c r="A33" s="24" t="str">
        <x:v>Muestra dirigida: title_not_isolated</x:v>
      </x:c>
      <x:c r="B33" s="24" t="str">
        <x:v>S01</x:v>
      </x:c>
      <x:c r="C33" s="24" t="str">
        <x:v>bigio_politica_monetaria_nueva_perspectiva.pdf</x:v>
      </x:c>
      <x:c r="D33" s="24" t="n">
        <x:v>2</x:v>
      </x:c>
      <x:c r="E33" s="24" t="str">
        <x:v>Rossini</x:v>
      </x:c>
      <x:c r="F33" s="26" t="n">
        <x:v>2016</x:v>
      </x:c>
      <x:c r="G33" s="25" t="str"/>
      <x:c r="H33" s="25" t="str">
        <x:v>Rossini, R. (2016). La política monetaria del Banco Central de Reserva del Perú en los últimos 25 años. En G. Yamada &amp; D. Winkelried (Eds.), Política y estabilidad monetaria en el Perú (p. 23-35). Lima: Fondo Editorial de la Universidad del Pacíﬁco.</x:v>
      </x:c>
      <x:c r="I33" s="25" t="str">
        <x:v>title_not_isolated</x:v>
      </x:c>
      <x:c r="J33" s="28" t="str">
        <x:v>referencia_correcta</x:v>
      </x:c>
      <x:c r="K33" s="28" t="str">
        <x:v>sí</x:v>
      </x:c>
      <x:c r="L33" s="28" t="str">
        <x:v>sí</x:v>
      </x:c>
      <x:c r="M33" s="28" t="str">
        <x:v>no</x:v>
      </x:c>
      <x:c r="N33" s="29" t="str"/>
      <x:c r="O33" s="29" t="str">
        <x:v>La fila corresponde a una referencia completa, pero el título no quedó aislado por el extractor. Página PDF 12.</x:v>
      </x:c>
      <x:c r="P33" s="28" t="str">
        <x:v>Codex</x:v>
      </x:c>
      <x:c r="Q33" s="30" t="n">
        <x:v>46280.708333333336</x:v>
      </x:c>
    </x:row>
    <x:row r="34">
      <x:c r="A34" s="24" t="str">
        <x:v>Muestra dirigida: title_not_isolated</x:v>
      </x:c>
      <x:c r="B34" s="24" t="str">
        <x:v>W03</x:v>
      </x:c>
      <x:c r="C34" s="24" t="str">
        <x:v>saki_research/working_papers/bianchi_bigio_engel_scrambling_dollars_international_liquidity_banks_exchange_rate.pdf</x:v>
      </x:c>
      <x:c r="D34" s="24" t="n">
        <x:v>3</x:v>
      </x:c>
      <x:c r="E34" s="24" t="str">
        <x:v>Assets</x:v>
      </x:c>
      <x:c r="F34" s="26" t="n">
        <x:v>2020</x:v>
      </x:c>
      <x:c r="G34" s="25" t="str"/>
      <x:c r="H34" s="25" t="str">
        <x:v>Assets, International Monetary Fund, 2020.</x:v>
      </x:c>
      <x:c r="I34" s="25" t="str">
        <x:v>title_not_isolated</x:v>
      </x:c>
      <x:c r="J34" s="28" t="str">
        <x:v>fragmentada</x:v>
      </x:c>
      <x:c r="K34" s="28" t="str">
        <x:v>no_aplica</x:v>
      </x:c>
      <x:c r="L34" s="28" t="str">
        <x:v>no_aplica</x:v>
      </x:c>
      <x:c r="M34" s="28" t="str">
        <x:v>no_aplica</x:v>
      </x:c>
      <x:c r="N34" s="29" t="str">
        <x:v>Unir con la fila contigua de la referencia original.</x:v>
      </x:c>
      <x:c r="O34" s="29" t="str">
        <x:v>La fila contiene solo una parte de una referencia bibliográfica. Página PDF 2.</x:v>
      </x:c>
      <x:c r="P34" s="28" t="str">
        <x:v>Codex</x:v>
      </x:c>
      <x:c r="Q34" s="30" t="n">
        <x:v>46280.708333333336</x:v>
      </x:c>
    </x:row>
    <x:row r="35">
      <x:c r="A35" s="24" t="str">
        <x:v>Muestra dirigida: title_not_isolated</x:v>
      </x:c>
      <x:c r="B35" s="24" t="str">
        <x:v>E01</x:v>
      </x:c>
      <x:c r="C35" s="24" t="str">
        <x:v>saki_research/pre_phd_papers/bigio_ramirez_corrupcion_indicadores_desarrollo_pery_mundo_revision_empirica.pdf</x:v>
      </x:c>
      <x:c r="D35" s="24" t="n">
        <x:v>47</x:v>
      </x:c>
      <x:c r="E35" s="24" t="str">
        <x:v>Jain</x:v>
      </x:c>
      <x:c r="F35" s="26" t="str"/>
      <x:c r="G35" s="25" t="str"/>
      <x:c r="H35" s="25" t="str">
        <x:v>Jain, A. (ed.). New York: Springer, pp. 111-28.</x:v>
      </x:c>
      <x:c r="I35" s="25" t="str">
        <x:v>missing_year; title_not_isolated</x:v>
      </x:c>
      <x:c r="J35" s="28" t="str">
        <x:v>fragmentada</x:v>
      </x:c>
      <x:c r="K35" s="28" t="str">
        <x:v>no_aplica</x:v>
      </x:c>
      <x:c r="L35" s="28" t="str">
        <x:v>no_aplica</x:v>
      </x:c>
      <x:c r="M35" s="28" t="str">
        <x:v>no_aplica</x:v>
      </x:c>
      <x:c r="N35" s="29" t="str">
        <x:v>Unir con la fila contigua de la referencia original.</x:v>
      </x:c>
      <x:c r="O35" s="29" t="str">
        <x:v>La fila contiene solo una parte de una referencia bibliográfica. Página PDF 22.</x:v>
      </x:c>
      <x:c r="P35" s="28" t="str">
        <x:v>Codex</x:v>
      </x:c>
      <x:c r="Q35" s="30" t="n">
        <x:v>46280.708333333336</x:v>
      </x:c>
    </x:row>
    <x:row r="36">
      <x:c r="A36" s="24" t="str">
        <x:v>Muestra dirigida: title_not_isolated</x:v>
      </x:c>
      <x:c r="B36" s="24" t="str">
        <x:v>E02</x:v>
      </x:c>
      <x:c r="C36" s="24" t="str">
        <x:v>saki_research/pre_phd_papers/bigio_salas_non_linear_effects_monetary_policy_real_exchange_rate_shocks_partially_dollarized_economies_empirical_study_peru.pdf</x:v>
      </x:c>
      <x:c r="D36" s="24" t="n">
        <x:v>37</x:v>
      </x:c>
      <x:c r="E36" s="24" t="str">
        <x:v>Lahiri</x:v>
      </x:c>
      <x:c r="F36" s="26" t="n">
        <x:v>2001</x:v>
      </x:c>
      <x:c r="G36" s="25" t="str"/>
      <x:c r="H36" s="25" t="str">
        <x:v>Lahiri, Amartya and Carlos Végh (2001), Living with the Fear of Floating: An Optimal Policy</x:v>
      </x:c>
      <x:c r="I36" s="25" t="str">
        <x:v>title_not_isolated</x:v>
      </x:c>
      <x:c r="J36" s="28" t="str">
        <x:v>fragmentada</x:v>
      </x:c>
      <x:c r="K36" s="28" t="str">
        <x:v>no_aplica</x:v>
      </x:c>
      <x:c r="L36" s="28" t="str">
        <x:v>no_aplica</x:v>
      </x:c>
      <x:c r="M36" s="28" t="str">
        <x:v>no_aplica</x:v>
      </x:c>
      <x:c r="N36" s="29" t="str">
        <x:v>Unir con la fila contigua de la referencia original.</x:v>
      </x:c>
      <x:c r="O36" s="29" t="str">
        <x:v>La fila contiene solo una parte de una referencia bibliográfica. Página PDF 30.</x:v>
      </x:c>
      <x:c r="P36" s="28" t="str">
        <x:v>Codex</x:v>
      </x:c>
      <x:c r="Q36" s="30" t="n">
        <x:v>46280.708333333336</x:v>
      </x:c>
    </x:row>
    <x:row r="37">
      <x:c r="A37" s="24" t="str">
        <x:v>Muestra dirigida: title_not_isolated</x:v>
      </x:c>
      <x:c r="B37" s="24" t="str">
        <x:v>P06</x:v>
      </x:c>
      <x:c r="C37" s="24" t="str">
        <x:v>saki_research/published_papers/bigio_d_anvernas_financial_risk_capacity.pdf</x:v>
      </x:c>
      <x:c r="D37" s="24" t="n">
        <x:v>32</x:v>
      </x:c>
      <x:c r="E37" s="24" t="str">
        <x:v>Ordonez</x:v>
      </x:c>
      <x:c r="F37" s="26" t="n">
        <x:v>2014</x:v>
      </x:c>
      <x:c r="G37" s="25" t="str"/>
      <x:c r="H37" s="25" t="str">
        <x:v>Ordonez, Guillermo. Collateral crises. American Economic Review, 104(2):343–78, 2014.</x:v>
      </x:c>
      <x:c r="I37" s="25" t="str">
        <x:v>title_not_isolated</x:v>
      </x:c>
      <x:c r="J37" s="28" t="str">
        <x:v>referencia_correcta</x:v>
      </x:c>
      <x:c r="K37" s="28" t="str">
        <x:v>sí</x:v>
      </x:c>
      <x:c r="L37" s="28" t="str">
        <x:v>sí</x:v>
      </x:c>
      <x:c r="M37" s="28" t="str">
        <x:v>no</x:v>
      </x:c>
      <x:c r="N37" s="29" t="str"/>
      <x:c r="O37" s="29" t="str">
        <x:v>La fila corresponde a una referencia completa, pero el título no quedó aislado por el extractor. Página PDF 41.</x:v>
      </x:c>
      <x:c r="P37" s="28" t="str">
        <x:v>Codex</x:v>
      </x:c>
      <x:c r="Q37" s="30" t="n">
        <x:v>46280.708333333336</x:v>
      </x:c>
    </x:row>
    <x:row r="38">
      <x:c r="A38" s="24" t="str">
        <x:v>Muestra dirigida: title_not_isolated</x:v>
      </x:c>
      <x:c r="B38" s="24" t="str">
        <x:v>E02</x:v>
      </x:c>
      <x:c r="C38" s="24" t="str">
        <x:v>saki_research/pre_phd_papers/bigio_salas_non_linear_effects_monetary_policy_real_exchange_rate_shocks_partially_dollarized_economies_empirical_study_peru.pdf</x:v>
      </x:c>
      <x:c r="D38" s="24" t="n">
        <x:v>22</x:v>
      </x:c>
      <x:c r="E38" s="24" t="str">
        <x:v>Céspedes</x:v>
      </x:c>
      <x:c r="F38" s="26" t="n">
        <x:v>2005</x:v>
      </x:c>
      <x:c r="G38" s="25" t="str"/>
      <x:c r="H38" s="25" t="str">
        <x:v>Céspedes, Luis F. (2005), Financial Frictions and Real</x:v>
      </x:c>
      <x:c r="I38" s="25" t="str">
        <x:v>title_not_isolated</x:v>
      </x:c>
      <x:c r="J38" s="28" t="str">
        <x:v>fragmentada</x:v>
      </x:c>
      <x:c r="K38" s="28" t="str">
        <x:v>no_aplica</x:v>
      </x:c>
      <x:c r="L38" s="28" t="str">
        <x:v>no_aplica</x:v>
      </x:c>
      <x:c r="M38" s="28" t="str">
        <x:v>no_aplica</x:v>
      </x:c>
      <x:c r="N38" s="29" t="str">
        <x:v>Unir con la fila contigua de la referencia original.</x:v>
      </x:c>
      <x:c r="O38" s="29" t="str">
        <x:v>La fila contiene solo una parte de una referencia bibliográfica. Página PDF 29.</x:v>
      </x:c>
      <x:c r="P38" s="28" t="str">
        <x:v>Codex</x:v>
      </x:c>
      <x:c r="Q38" s="30" t="n">
        <x:v>46280.708333333336</x:v>
      </x:c>
    </x:row>
    <x:row r="39">
      <x:c r="A39" s="24" t="str">
        <x:v>Muestra dirigida: title_not_isolated</x:v>
      </x:c>
      <x:c r="B39" s="24" t="str">
        <x:v>P01</x:v>
      </x:c>
      <x:c r="C39" s="24" t="str">
        <x:v>saki_research/published_papers/bigio_learning_under_fear_floating.pdf</x:v>
      </x:c>
      <x:c r="D39" s="24" t="n">
        <x:v>5</x:v>
      </x:c>
      <x:c r="E39" s="24" t="str">
        <x:v>Ball</x:v>
      </x:c>
      <x:c r="F39" s="26" t="n">
        <x:v>1999</x:v>
      </x:c>
      <x:c r="G39" s="25" t="str"/>
      <x:c r="H39" s="25" t="str">
        <x:v>Ball, L., 1999. Policy Rules for Open</x:v>
      </x:c>
      <x:c r="I39" s="25" t="str">
        <x:v>title_not_isolated</x:v>
      </x:c>
      <x:c r="J39" s="28" t="str">
        <x:v>fragmentada</x:v>
      </x:c>
      <x:c r="K39" s="28" t="str">
        <x:v>no_aplica</x:v>
      </x:c>
      <x:c r="L39" s="28" t="str">
        <x:v>no_aplica</x:v>
      </x:c>
      <x:c r="M39" s="28" t="str">
        <x:v>no_aplica</x:v>
      </x:c>
      <x:c r="N39" s="29" t="str">
        <x:v>Unir con la fila contigua de la referencia original.</x:v>
      </x:c>
      <x:c r="O39" s="29" t="str">
        <x:v>La fila contiene solo una parte de una referencia bibliográfica. Página PDF 7.</x:v>
      </x:c>
      <x:c r="P39" s="28" t="str">
        <x:v>Codex</x:v>
      </x:c>
      <x:c r="Q39" s="30" t="n">
        <x:v>46280.708333333336</x:v>
      </x:c>
    </x:row>
    <x:row r="40">
      <x:c r="A40" s="24" t="str">
        <x:v>Muestra dirigida: title_not_isolated</x:v>
      </x:c>
      <x:c r="B40" s="24" t="str">
        <x:v>P02</x:v>
      </x:c>
      <x:c r="C40" s="24" t="str">
        <x:v>saki_research/published_papers/bigio_zilberman_optimal_self_employment_income_tax_enforcement.pdf</x:v>
      </x:c>
      <x:c r="D40" s="24" t="n">
        <x:v>6</x:v>
      </x:c>
      <x:c r="E40" s="24" t="str">
        <x:v>Kleven</x:v>
      </x:c>
      <x:c r="F40" s="26" t="n">
        <x:v>2009</x:v>
      </x:c>
      <x:c r="G40" s="25" t="str"/>
      <x:c r="H40" s="25" t="str">
        <x:v>Kleven, C. T. Kreiner, and E. Saez. Why can modern governments tax so much? an agency model of ﬁrms as ﬁscal intermediaries. NBER Working Paper 15218, 2009. 9 H. J.</x:v>
      </x:c>
      <x:c r="I40" s="25" t="str">
        <x:v>title_not_isolated</x:v>
      </x:c>
      <x:c r="J40" s="28" t="str">
        <x:v>fusionada</x:v>
      </x:c>
      <x:c r="K40" s="28" t="str">
        <x:v>no_aplica</x:v>
      </x:c>
      <x:c r="L40" s="28" t="str">
        <x:v>no_aplica</x:v>
      </x:c>
      <x:c r="M40" s="28" t="str">
        <x:v>no_aplica</x:v>
      </x:c>
      <x:c r="N40" s="29" t="str">
        <x:v>Separar las referencias contenidas en esta fila.</x:v>
      </x:c>
      <x:c r="O40" s="29" t="str">
        <x:v>La fila reúne material de dos o más referencias consecutivas. Página PDF 40.</x:v>
      </x:c>
      <x:c r="P40" s="28" t="str">
        <x:v>Codex</x:v>
      </x:c>
      <x:c r="Q40" s="30" t="n">
        <x:v>46280.708333333336</x:v>
      </x:c>
    </x:row>
    <x:row r="41">
      <x:c r="A41" s="24" t="str">
        <x:v>Muestra dirigida: title_not_isolated</x:v>
      </x:c>
      <x:c r="B41" s="24" t="str">
        <x:v>P09</x:v>
      </x:c>
      <x:c r="C41" s="24" t="str">
        <x:v>saki_research/published_papers/bigio_shi_repurchase_options_market_lemons.pdf</x:v>
      </x:c>
      <x:c r="D41" s="24" t="n">
        <x:v>3</x:v>
      </x:c>
      <x:c r="E41" s="24" t="str">
        <x:v>Xudong</x:v>
      </x:c>
      <x:c r="F41" s="26" t="str"/>
      <x:c r="G41" s="25" t="str"/>
      <x:c r="H41" s="25" t="str">
        <x:v>Xudong, Yongheng Deng, and Stuart A. Gabriel, “Asymmetric</x:v>
      </x:c>
      <x:c r="I41" s="25" t="str">
        <x:v>missing_year; title_not_isolated</x:v>
      </x:c>
      <x:c r="J41" s="28" t="str">
        <x:v>fragmentada</x:v>
      </x:c>
      <x:c r="K41" s="28" t="str">
        <x:v>no_aplica</x:v>
      </x:c>
      <x:c r="L41" s="28" t="str">
        <x:v>no_aplica</x:v>
      </x:c>
      <x:c r="M41" s="28" t="str">
        <x:v>no_aplica</x:v>
      </x:c>
      <x:c r="N41" s="29" t="str">
        <x:v>Unir con la fila contigua de la referencia original.</x:v>
      </x:c>
      <x:c r="O41" s="29" t="str">
        <x:v>La fila contiene solo una parte de una referencia bibliográfica. Página PDF 35.</x:v>
      </x:c>
      <x:c r="P41" s="28" t="str">
        <x:v>Codex</x:v>
      </x:c>
      <x:c r="Q41" s="30" t="n">
        <x:v>46280.708333333336</x:v>
      </x:c>
    </x:row>
    <x:row r="42">
      <x:c r="A42" s="24" t="str">
        <x:v>Muestra dirigida: title_not_isolated</x:v>
      </x:c>
      <x:c r="B42" s="24" t="str">
        <x:v>P06</x:v>
      </x:c>
      <x:c r="C42" s="24" t="str">
        <x:v>saki_research/published_papers/bigio_d_anvernas_financial_risk_capacity.pdf</x:v>
      </x:c>
      <x:c r="D42" s="24" t="n">
        <x:v>24</x:v>
      </x:c>
      <x:c r="E42" s="24" t="str">
        <x:v>Eisfeldt</x:v>
      </x:c>
      <x:c r="F42" s="26" t="n">
        <x:v>2004</x:v>
      </x:c>
      <x:c r="G42" s="25" t="str"/>
      <x:c r="H42" s="25" t="str">
        <x:v>Eisfeldt, Andrea L. Endogenous liquidity in asset markets. The Journal of Finance , 59(1):1–30, 2004. 40</x:v>
      </x:c>
      <x:c r="I42" s="25" t="str">
        <x:v>title_not_isolated</x:v>
      </x:c>
      <x:c r="J42" s="28" t="str">
        <x:v>referencia_correcta</x:v>
      </x:c>
      <x:c r="K42" s="28" t="str">
        <x:v>sí</x:v>
      </x:c>
      <x:c r="L42" s="28" t="str">
        <x:v>sí</x:v>
      </x:c>
      <x:c r="M42" s="28" t="str">
        <x:v>no</x:v>
      </x:c>
      <x:c r="N42" s="29" t="str"/>
      <x:c r="O42" s="29" t="str">
        <x:v>La fila corresponde a una referencia completa, pero el título no quedó aislado por el extractor. Página PDF 40.</x:v>
      </x:c>
      <x:c r="P42" s="28" t="str">
        <x:v>Codex</x:v>
      </x:c>
      <x:c r="Q42" s="30" t="n">
        <x:v>46280.708333333336</x:v>
      </x:c>
    </x:row>
    <x:row r="43">
      <x:c r="A43" s="24" t="str">
        <x:v>Muestra dirigida: title_not_isolated</x:v>
      </x:c>
      <x:c r="B43" s="24" t="str">
        <x:v>W09</x:v>
      </x:c>
      <x:c r="C43" s="24" t="str">
        <x:v>saki_research/working_papers/abad_bigio_garcia_villegas_marbet_nuno_heterogeneous_bank_lending_channel_monetary_policy.pdf</x:v>
      </x:c>
      <x:c r="D43" s="24" t="n">
        <x:v>22</x:v>
      </x:c>
      <x:c r="E43" s="24" t="str">
        <x:v>Hedlund</x:v>
      </x:c>
      <x:c r="F43" s="26" t="n">
        <x:v>2020</x:v>
      </x:c>
      <x:c r="G43" s="25" t="str"/>
      <x:c r="H43" s="25" t="str">
        <x:v>Hedlund, A. (2020). Mortgage debt, consumption, and illiquid housing markets in the great recession. American Economic Review, 110(6):1603–34.</x:v>
      </x:c>
      <x:c r="I43" s="25" t="str">
        <x:v>title_not_isolated</x:v>
      </x:c>
      <x:c r="J43" s="28" t="str">
        <x:v>referencia_correcta</x:v>
      </x:c>
      <x:c r="K43" s="28" t="str">
        <x:v>sí</x:v>
      </x:c>
      <x:c r="L43" s="28" t="str">
        <x:v>sí</x:v>
      </x:c>
      <x:c r="M43" s="28" t="str">
        <x:v>no</x:v>
      </x:c>
      <x:c r="N43" s="29" t="str"/>
      <x:c r="O43" s="29" t="str">
        <x:v>La fila corresponde a una referencia completa, pero el título no quedó aislado por el extractor. Página PDF 37.</x:v>
      </x:c>
      <x:c r="P43" s="28" t="str">
        <x:v>Codex</x:v>
      </x:c>
      <x:c r="Q43" s="30" t="n">
        <x:v>46280.708333333336</x:v>
      </x:c>
    </x:row>
    <x:row r="44">
      <x:c r="A44" s="24" t="str">
        <x:v>Muestra dirigida: title_not_isolated</x:v>
      </x:c>
      <x:c r="B44" s="24" t="str">
        <x:v>P08</x:v>
      </x:c>
      <x:c r="C44" s="24" t="str">
        <x:v>saki_research/published_papers/bigio_nuno_passadore_debt_maturity_management_liquidity_costs.pdf</x:v>
      </x:c>
      <x:c r="D44" s="24" t="n">
        <x:v>26</x:v>
      </x:c>
      <x:c r="E44" s="24" t="str">
        <x:v>Debt</x:v>
      </x:c>
      <x:c r="F44" s="26" t="n">
        <x:v>2015</x:v>
      </x:c>
      <x:c r="G44" s="25" t="str"/>
      <x:c r="H44" s="25" t="str">
        <x:v>Debt, Brookings Institution Press, 2015, chapter 1, pp. 1–41.</x:v>
      </x:c>
      <x:c r="I44" s="25" t="str">
        <x:v>title_not_isolated</x:v>
      </x:c>
      <x:c r="J44" s="28" t="str">
        <x:v>fragmentada</x:v>
      </x:c>
      <x:c r="K44" s="28" t="str">
        <x:v>no_aplica</x:v>
      </x:c>
      <x:c r="L44" s="28" t="str">
        <x:v>no_aplica</x:v>
      </x:c>
      <x:c r="M44" s="28" t="str">
        <x:v>no_aplica</x:v>
      </x:c>
      <x:c r="N44" s="29" t="str">
        <x:v>Unir con la fila contigua de la referencia original.</x:v>
      </x:c>
      <x:c r="O44" s="29" t="str">
        <x:v>La fila contiene solo una parte de una referencia bibliográfica. Página PDF 44.</x:v>
      </x:c>
      <x:c r="P44" s="28" t="str">
        <x:v>Codex</x:v>
      </x:c>
      <x:c r="Q44" s="30" t="n">
        <x:v>46280.708333333336</x:v>
      </x:c>
    </x:row>
    <x:row r="45">
      <x:c r="A45" s="24" t="str">
        <x:v>Muestra dirigida: title_not_isolated</x:v>
      </x:c>
      <x:c r="B45" s="24" t="str">
        <x:v>W09</x:v>
      </x:c>
      <x:c r="C45" s="24" t="str">
        <x:v>saki_research/working_papers/abad_bigio_garcia_villegas_marbet_nuno_heterogeneous_bank_lending_channel_monetary_policy.pdf</x:v>
      </x:c>
      <x:c r="D45" s="24" t="n">
        <x:v>24</x:v>
      </x:c>
      <x:c r="E45" s="24" t="str">
        <x:v>Kiyotaki</x:v>
      </x:c>
      <x:c r="F45" s="26" t="n">
        <x:v>2010</x:v>
      </x:c>
      <x:c r="G45" s="25" t="str"/>
      <x:c r="H45" s="25" t="str">
        <x:v>Kiyotaki, N. (2010). Chapter 11 - financial intermediation and credit policy in business cycle analysis. In</x:v>
      </x:c>
      <x:c r="I45" s="25" t="str">
        <x:v>title_not_isolated</x:v>
      </x:c>
      <x:c r="J45" s="28" t="str">
        <x:v>fragmentada</x:v>
      </x:c>
      <x:c r="K45" s="28" t="str">
        <x:v>no_aplica</x:v>
      </x:c>
      <x:c r="L45" s="28" t="str">
        <x:v>no_aplica</x:v>
      </x:c>
      <x:c r="M45" s="28" t="str">
        <x:v>no_aplica</x:v>
      </x:c>
      <x:c r="N45" s="29" t="str">
        <x:v>Unir con la fila contigua de la referencia original.</x:v>
      </x:c>
      <x:c r="O45" s="29" t="str">
        <x:v>La fila contiene solo una parte de una referencia bibliográfica. Página PDF 38.</x:v>
      </x:c>
      <x:c r="P45" s="28" t="str">
        <x:v>Codex</x:v>
      </x:c>
      <x:c r="Q45" s="30" t="n">
        <x:v>46280.708333333336</x:v>
      </x:c>
    </x:row>
    <x:row r="46">
      <x:c r="A46" s="24" t="str">
        <x:v>Muestra dirigida: title_not_isolated</x:v>
      </x:c>
      <x:c r="B46" s="24" t="str">
        <x:v>C02</x:v>
      </x:c>
      <x:c r="C46" s="24" t="str">
        <x:v>saki_research/published_comments/bigio_discussion_business_cycle_asymmetry_input_output_structure_role_firm_networks_miranda_pinto_silva_young.pdf</x:v>
      </x:c>
      <x:c r="D46" s="24" t="n">
        <x:v>3</x:v>
      </x:c>
      <x:c r="E46" s="24" t="str">
        <x:v>Paul</x:v>
      </x:c>
      <x:c r="F46" s="26" t="n">
        <x:v>2001</x:v>
      </x:c>
      <x:c r="G46" s="25" t="str"/>
      <x:c r="H46" s="25" t="str">
        <x:v>Paul, Claudia Kluppelberg, and Thomas Mikosch , Modelling Extremal Events: for Insurance and Finance (Stochastic Modelling and Applied Probability (33)) Corrected Editionby , Springer, 2001. Miranda-Pinto, Jorge, Alvaro Silva, and Eric Y oung , Business Cycle Asymmetry and InputOutputStructure: The Role of Firm-to-Firm Networks, Journal of Monetary Economics , forthcoming. 9</x:v>
      </x:c>
      <x:c r="I46" s="25" t="str">
        <x:v>title_not_isolated</x:v>
      </x:c>
      <x:c r="J46" s="28" t="str">
        <x:v>fusionada</x:v>
      </x:c>
      <x:c r="K46" s="28" t="str">
        <x:v>no_aplica</x:v>
      </x:c>
      <x:c r="L46" s="28" t="str">
        <x:v>no_aplica</x:v>
      </x:c>
      <x:c r="M46" s="28" t="str">
        <x:v>no_aplica</x:v>
      </x:c>
      <x:c r="N46" s="29" t="str">
        <x:v>Separar las referencias contenidas en esta fila.</x:v>
      </x:c>
      <x:c r="O46" s="29" t="str">
        <x:v>La fila reúne material de dos o más referencias consecutivas. Página PDF 9.</x:v>
      </x:c>
      <x:c r="P46" s="28" t="str">
        <x:v>Codex</x:v>
      </x:c>
      <x:c r="Q46" s="30" t="n">
        <x:v>46280.708333333336</x:v>
      </x:c>
    </x:row>
    <x:row r="47">
      <x:c r="A47" s="24" t="str">
        <x:v>Muestra dirigida: title_not_isolated</x:v>
      </x:c>
      <x:c r="B47" s="24" t="str">
        <x:v>P06</x:v>
      </x:c>
      <x:c r="C47" s="24" t="str">
        <x:v>saki_research/published_papers/bigio_d_anvernas_financial_risk_capacity.pdf</x:v>
      </x:c>
      <x:c r="D47" s="24" t="n">
        <x:v>37</x:v>
      </x:c>
      <x:c r="E47" s="24" t="str">
        <x:v>Wright</x:v>
      </x:c>
      <x:c r="F47" s="26" t="n">
        <x:v>1823</x:v>
      </x:c>
      <x:c r="G47" s="25" t="str"/>
      <x:c r="H47" s="25" t="str">
        <x:v>Wright, Randall. Adverse selection in competitive search equilibrium. Econometrica, 78(6):1823–1862, 2010.</x:v>
      </x:c>
      <x:c r="I47" s="25" t="str">
        <x:v>title_not_isolated</x:v>
      </x:c>
      <x:c r="J47" s="28" t="str">
        <x:v>referencia_correcta</x:v>
      </x:c>
      <x:c r="K47" s="28" t="str">
        <x:v>sí</x:v>
      </x:c>
      <x:c r="L47" s="28" t="str">
        <x:v>sí</x:v>
      </x:c>
      <x:c r="M47" s="28" t="str">
        <x:v>no</x:v>
      </x:c>
      <x:c r="N47" s="29" t="str"/>
      <x:c r="O47" s="29" t="str">
        <x:v>La fila corresponde a una referencia completa, pero el título no quedó aislado por el extractor. Página PDF 42.</x:v>
      </x:c>
      <x:c r="P47" s="28" t="str">
        <x:v>Codex</x:v>
      </x:c>
      <x:c r="Q47" s="30" t="n">
        <x:v>46280.708333333336</x:v>
      </x:c>
    </x:row>
    <x:row r="48">
      <x:c r="A48" s="24" t="str">
        <x:v>Muestra dirigida: title_not_isolated</x:v>
      </x:c>
      <x:c r="B48" s="24" t="str">
        <x:v>C01</x:v>
      </x:c>
      <x:c r="C48" s="24" t="str">
        <x:v>saki_research/published_comments/bigio_discussion_optimal_supply_public_private_liquidity_azzimonti_yared.pdf</x:v>
      </x:c>
      <x:c r="D48" s="24" t="n">
        <x:v>1</x:v>
      </x:c>
      <x:c r="E48" s="24" t="str">
        <x:v>Marcet</x:v>
      </x:c>
      <x:c r="F48" s="26" t="n">
        <x:v>2002</x:v>
      </x:c>
      <x:c r="G48" s="25" t="str"/>
      <x:c r="H48" s="25" t="str">
        <x:v>Marcet, Thomas J Sargent, and Juha Seppälä. Optimal taxation without state-contingent debt. Journal of Political Economy, 110(6):1220–1254, 2002. George-Marios</x:v>
      </x:c>
      <x:c r="I48" s="25" t="str">
        <x:v>title_not_isolated</x:v>
      </x:c>
      <x:c r="J48" s="28" t="str">
        <x:v>fusionada</x:v>
      </x:c>
      <x:c r="K48" s="28" t="str">
        <x:v>no_aplica</x:v>
      </x:c>
      <x:c r="L48" s="28" t="str">
        <x:v>no_aplica</x:v>
      </x:c>
      <x:c r="M48" s="28" t="str">
        <x:v>no_aplica</x:v>
      </x:c>
      <x:c r="N48" s="29" t="str">
        <x:v>Separar las referencias contenidas en esta fila.</x:v>
      </x:c>
      <x:c r="O48" s="29" t="str">
        <x:v>La fila reúne material de dos o más referencias consecutivas. Página PDF 9.</x:v>
      </x:c>
      <x:c r="P48" s="28" t="str">
        <x:v>Codex</x:v>
      </x:c>
      <x:c r="Q48" s="30" t="n">
        <x:v>46280.708333333336</x:v>
      </x:c>
    </x:row>
  </x:sheetData>
  <x:conditionalFormatting sqref="J6:J48">
    <x:cfRule type="containsText" dxfId="4" priority="1" operator="containsText" text="referencia_correcta"/>
    <x:cfRule type="containsText" dxfId="5" priority="2" operator="containsText" text="fragmentada"/>
    <x:cfRule type="containsText" dxfId="6" priority="3" operator="containsText" text="fusionada"/>
    <x:cfRule type="containsText" dxfId="7" priority="4" operator="containsText" text="no_es_referencia"/>
  </x:conditionalFormatting>
  <x:dataValidations count="4">
    <x:dataValidation type="list" sqref="J6:J48">
      <x:formula1>"referencia_correcta,fragmentada,fusionada,no_es_referencia"</x:formula1>
    </x:dataValidation>
    <x:dataValidation type="list" sqref="K6:K48">
      <x:formula1>"sí,no,no_aplica"</x:formula1>
    </x:dataValidation>
    <x:dataValidation type="list" sqref="L6:L48">
      <x:formula1>"sí,no,no_aplica"</x:formula1>
    </x:dataValidation>
    <x:dataValidation type="list" sqref="M6:M48">
      <x:formula1>"sí,no,no_aplica"</x:formula1>
    </x:dataValidation>
  </x:dataValidations>
  <x:pageMargins left="0.7" right="0.7" top="0.75" bottom="0.75" header="0.3" footer="0.3"/>
  <x:tableParts count="1">
    <x:tablePart xmlns:r="http://schemas.openxmlformats.org/officeDocument/2006/relationships" r:id="R1e97cfc3750146c1"/>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48" hidden="0" customWidth="1"/>
    <x:col min="3" max="3" width="10" hidden="0" customWidth="1"/>
    <x:col min="4" max="4" width="16" hidden="0" customWidth="1"/>
    <x:col min="5" max="5" width="48" hidden="0" customWidth="1"/>
    <x:col min="6" max="6" width="19" hidden="0" customWidth="1"/>
    <x:col min="7" max="7" width="18" hidden="0" customWidth="1"/>
    <x:col min="8" max="8" width="23" hidden="0" customWidth="1"/>
    <x:col min="9" max="9" width="12" hidden="0" customWidth="1"/>
    <x:col min="10" max="10" width="27" hidden="0" customWidth="1"/>
    <x:col min="11" max="11" width="13" hidden="0" customWidth="1"/>
    <x:col min="12" max="12" width="50" hidden="0" customWidth="1"/>
  </x:cols>
  <x:sheetData>
    <x:row r="1" ht="25" customHeight="1">
      <x:c r="A1" s="1" t="str">
        <x:v>Auditoría de cobertura</x:v>
      </x:c>
      <x:c r="B1" s="1"/>
      <x:c r="C1" s="1"/>
      <x:c r="D1" s="1"/>
      <x:c r="E1" s="1"/>
      <x:c r="F1" s="1"/>
      <x:c r="G1" s="1"/>
      <x:c r="H1" s="1"/>
      <x:c r="I1" s="1"/>
      <x:c r="J1" s="1"/>
      <x:c r="K1" s="1"/>
      <x:c r="L1" s="1"/>
    </x:row>
    <x:row r="2">
      <x:c r="A2" s="2" t="str">
        <x:v>Cuente las referencias reales del PDF y registre cuántas tienen correspondencia uno a uno con la extracción.</x:v>
      </x:c>
      <x:c r="B2" s="2"/>
      <x:c r="C2" s="2"/>
      <x:c r="D2" s="2"/>
      <x:c r="E2" s="2"/>
      <x:c r="F2" s="2"/>
      <x:c r="G2" s="2"/>
      <x:c r="H2" s="2"/>
      <x:c r="I2" s="2"/>
      <x:c r="J2" s="2"/>
      <x:c r="K2" s="2"/>
      <x:c r="L2" s="2"/>
    </x:row>
    <x:row r="3">
      <x:c r="A3" s="8" t="str">
        <x:v>La selección contiene seis documentos con referencias detectadas y dos sin sección detectada para comprobar posibles omisiones completas.</x:v>
      </x:c>
      <x:c r="B3" s="8"/>
      <x:c r="C3" s="8"/>
      <x:c r="D3" s="8"/>
      <x:c r="E3" s="8"/>
      <x:c r="F3" s="8"/>
      <x:c r="G3" s="8"/>
      <x:c r="H3" s="8"/>
      <x:c r="I3" s="8"/>
      <x:c r="J3" s="8"/>
      <x:c r="K3" s="8"/>
      <x:c r="L3" s="8"/>
    </x:row>
    <x:row r="5" ht="32" customHeight="1">
      <x:c r="A5" s="20" t="str">
        <x:v>document_id</x:v>
      </x:c>
      <x:c r="B5" s="21" t="str">
        <x:v>titulo</x:v>
      </x:c>
      <x:c r="C5" s="21" t="str">
        <x:v>anio</x:v>
      </x:c>
      <x:c r="D5" s="21" t="str">
        <x:v>genero</x:v>
      </x:c>
      <x:c r="E5" s="21" t="str">
        <x:v>source_pdf</x:v>
      </x:c>
      <x:c r="F5" s="21" t="str">
        <x:v>candidatos_extraidos</x:v>
      </x:c>
      <x:c r="G5" s="21" t="str">
        <x:v>referencias_reales</x:v>
      </x:c>
      <x:c r="H5" s="21" t="str">
        <x:v>coincidencias_uno_a_uno</x:v>
      </x:c>
      <x:c r="I5" s="21" t="str">
        <x:v>omitidas</x:v>
      </x:c>
      <x:c r="J5" s="21" t="str">
        <x:v>fragmentadas_o_fusionadas</x:v>
      </x:c>
      <x:c r="K5" s="21" t="str">
        <x:v>cobertura</x:v>
      </x:c>
      <x:c r="L5" s="22" t="str">
        <x:v>observacion</x:v>
      </x:c>
    </x:row>
    <x:row r="6" ht="46" customHeight="1">
      <x:c r="A6" s="23" t="str">
        <x:v>E01</x:v>
      </x:c>
      <x:c r="B6" s="31" t="str">
        <x:v>Corrupcion e indicadores de desarrollo: Peru y el mundo</x:v>
      </x:c>
      <x:c r="C6" s="23" t="n">
        <x:v>2006</x:v>
      </x:c>
      <x:c r="D6" s="23" t="str">
        <x:v>pre_phd</x:v>
      </x:c>
      <x:c r="E6" s="31" t="str">
        <x:v>saki_research/pre_phd_papers/bigio_ramirez_corrupcion_indicadores_desarrollo_pery_mundo_revision_empirica.pdf</x:v>
      </x:c>
      <x:c r="F6" s="23" t="n">
        <x:v>62</x:v>
      </x:c>
      <x:c r="G6" s="32" t="n">
        <x:v>59</x:v>
      </x:c>
      <x:c r="H6" s="32" t="n">
        <x:v>32</x:v>
      </x:c>
      <x:c r="I6" s="23" t="n">
        <x:f>IF(COUNT(G6:H6)&lt;2,"",G6-H6)</x:f>
        <x:v>27</x:v>
      </x:c>
      <x:c r="J6" s="32" t="n">
        <x:v>30</x:v>
      </x:c>
      <x:c r="K6" s="33" t="n">
        <x:f>IF(OR(COUNT(G6:H6)&lt;2,G6=0),"",H6/G6)</x:f>
        <x:v>0.5423728813559322</x:v>
      </x:c>
      <x:c r="L6" s="37" t="str">
        <x:v>Conteo manual de la bibliografía (pp. PDF 20–22). Hay cortes en saltos de línea, fusiones y una referencia omitida por completo.</x:v>
      </x:c>
    </x:row>
    <x:row r="7" ht="46" customHeight="1">
      <x:c r="A7" s="23" t="str">
        <x:v>C03</x:v>
      </x:c>
      <x:c r="B7" s="31" t="str">
        <x:v>Comment on 'The Monetary and Fiscal History of Peru, 1960-2017' (Martinelli-Vega)</x:v>
      </x:c>
      <x:c r="C7" s="23" t="n">
        <x:v>2019</x:v>
      </x:c>
      <x:c r="D7" s="23" t="str">
        <x:v>comment</x:v>
      </x:c>
      <x:c r="E7" s="31" t="str">
        <x:v>saki_research/published_comments/bigio_monetary_fiscal_history_peru_1960_2017_martinelli_vega.pdf</x:v>
      </x:c>
      <x:c r="F7" s="23" t="n">
        <x:v>3</x:v>
      </x:c>
      <x:c r="G7" s="32" t="n">
        <x:v>4</x:v>
      </x:c>
      <x:c r="H7" s="32" t="n">
        <x:v>0</x:v>
      </x:c>
      <x:c r="I7" s="23" t="n">
        <x:f>IF(COUNT(G7:H7)&lt;2,"",G7-H7)</x:f>
        <x:v>4</x:v>
      </x:c>
      <x:c r="J7" s="32" t="n">
        <x:v>3</x:v>
      </x:c>
      <x:c r="K7" s="33" t="n">
        <x:f>IF(OR(COUNT(G7:H7)&lt;2,G7=0),"",H7/G7)</x:f>
        <x:v>0</x:v>
      </x:c>
      <x:c r="L7" s="37" t="str">
        <x:v>Las cuatro referencias reales quedaron repartidas entre tres filas; ninguna fila es una referencia completa uno-a-uno.</x:v>
      </x:c>
    </x:row>
    <x:row r="8" ht="46" customHeight="1">
      <x:c r="A8" s="23" t="str">
        <x:v>P08</x:v>
      </x:c>
      <x:c r="B8" s="31" t="str">
        <x:v>Debt-Maturity Management with Liquidity Costs</x:v>
      </x:c>
      <x:c r="C8" s="23" t="n">
        <x:v>2023</x:v>
      </x:c>
      <x:c r="D8" s="23" t="str">
        <x:v>published</x:v>
      </x:c>
      <x:c r="E8" s="31" t="str">
        <x:v>saki_research/published_papers/bigio_nuno_passadore_debt_maturity_management_liquidity_costs.pdf</x:v>
      </x:c>
      <x:c r="F8" s="23" t="n">
        <x:v>52</x:v>
      </x:c>
      <x:c r="G8" s="32" t="n">
        <x:v>66</x:v>
      </x:c>
      <x:c r="H8" s="32" t="n">
        <x:v>24</x:v>
      </x:c>
      <x:c r="I8" s="23" t="n">
        <x:f>IF(COUNT(G8:H8)&lt;2,"",G8-H8)</x:f>
        <x:v>42</x:v>
      </x:c>
      <x:c r="J8" s="32" t="n">
        <x:v>28</x:v>
      </x:c>
      <x:c r="K8" s="33" t="n">
        <x:f>IF(OR(COUNT(G8:H8)&lt;2,G8=0),"",H8/G8)</x:f>
        <x:v>0.36363636363636365</x:v>
      </x:c>
      <x:c r="L8" s="37" t="str">
        <x:v>Conteo manual de la sección References. Se observaron numerosas fusiones y fragmentos, además de referencias sin fila completa.</x:v>
      </x:c>
    </x:row>
    <x:row r="9" ht="46" customHeight="1">
      <x:c r="A9" s="23" t="str">
        <x:v>W06</x:v>
      </x:c>
      <x:c r="B9" s="31" t="str">
        <x:v>Transfers vs. Credit Policy</x:v>
      </x:c>
      <x:c r="C9" s="23" t="n">
        <x:v>2025</x:v>
      </x:c>
      <x:c r="D9" s="23" t="str">
        <x:v>wp</x:v>
      </x:c>
      <x:c r="E9" s="31" t="str">
        <x:v>saki_research/working_papers/bigio_zhang_zilberman_transfers_credit_policy_macroeconomic_policy_trade_offs_during_covid_19.pdf</x:v>
      </x:c>
      <x:c r="F9" s="23" t="n">
        <x:v>20</x:v>
      </x:c>
      <x:c r="G9" s="32" t="n">
        <x:v>21</x:v>
      </x:c>
      <x:c r="H9" s="32" t="n">
        <x:v>8</x:v>
      </x:c>
      <x:c r="I9" s="23" t="n">
        <x:f>IF(COUNT(G9:H9)&lt;2,"",G9-H9)</x:f>
        <x:v>13</x:v>
      </x:c>
      <x:c r="J9" s="32" t="n">
        <x:v>12</x:v>
      </x:c>
      <x:c r="K9" s="33" t="n">
        <x:f>IF(OR(COUNT(G9:H9)&lt;2,G9=0),"",H9/G9)</x:f>
        <x:v>0.38095238095238093</x:v>
      </x:c>
      <x:c r="L9" s="37" t="str">
        <x:v>Conteo manual de las pp. PDF 25–26. Una referencia (Jones et al.) fue omitida y varias quedaron partidas o fusionadas.</x:v>
      </x:c>
    </x:row>
    <x:row r="10" ht="46" customHeight="1">
      <x:c r="A10" s="23" t="str">
        <x:v>P10</x:v>
      </x:c>
      <x:c r="B10" s="31" t="str">
        <x:v>A Q-Theory of Banks</x:v>
      </x:c>
      <x:c r="C10" s="23" t="n">
        <x:v>2026</x:v>
      </x:c>
      <x:c r="D10" s="23" t="str">
        <x:v>published</x:v>
      </x:c>
      <x:c r="E10" s="31" t="str">
        <x:v>saki_research/published_papers/begenau_bigio_majerovitz_vieyra_q_theory_banks.pdf</x:v>
      </x:c>
      <x:c r="F10" s="23" t="n">
        <x:v>67</x:v>
      </x:c>
      <x:c r="G10" s="32" t="n">
        <x:v>85</x:v>
      </x:c>
      <x:c r="H10" s="32" t="n">
        <x:v>25</x:v>
      </x:c>
      <x:c r="I10" s="23" t="n">
        <x:f>IF(COUNT(G10:H10)&lt;2,"",G10-H10)</x:f>
        <x:v>60</x:v>
      </x:c>
      <x:c r="J10" s="32" t="n">
        <x:v>42</x:v>
      </x:c>
      <x:c r="K10" s="33" t="n">
        <x:f>IF(OR(COUNT(G10:H10)&lt;2,G10=0),"",H10/G10)</x:f>
        <x:v>0.29411764705882354</x:v>
      </x:c>
      <x:c r="L10" s="37" t="str">
        <x:v>Conteo manual de las pp. PDF 43–48. El extractor perdió grupos completos y fusionó varias entradas con autores repetidos.</x:v>
      </x:c>
    </x:row>
    <x:row r="11" ht="46" customHeight="1">
      <x:c r="A11" s="23" t="str">
        <x:v>W11</x:v>
      </x:c>
      <x:c r="B11" s="31" t="str">
        <x:v>Dollar Liquidity Flows in a Small-Open Economy</x:v>
      </x:c>
      <x:c r="C11" s="23" t="n">
        <x:v>2026</x:v>
      </x:c>
      <x:c r="D11" s="23" t="str">
        <x:v>wp</x:v>
      </x:c>
      <x:c r="E11" s="31" t="str">
        <x:v>saki_research/working_papers/bigio_castillo_han_dollar_liquidity_flows_soe.pdf</x:v>
      </x:c>
      <x:c r="F11" s="23" t="n">
        <x:v>35</x:v>
      </x:c>
      <x:c r="G11" s="32" t="n">
        <x:v>37</x:v>
      </x:c>
      <x:c r="H11" s="32" t="n">
        <x:v>20</x:v>
      </x:c>
      <x:c r="I11" s="23" t="n">
        <x:f>IF(COUNT(G11:H11)&lt;2,"",G11-H11)</x:f>
        <x:v>17</x:v>
      </x:c>
      <x:c r="J11" s="32" t="n">
        <x:v>15</x:v>
      </x:c>
      <x:c r="K11" s="33" t="n">
        <x:f>IF(OR(COUNT(G11:H11)&lt;2,G11=0),"",H11/G11)</x:f>
        <x:v>0.5405405405405406</x:v>
      </x:c>
      <x:c r="L11" s="37" t="str">
        <x:v>Conteo manual de las pp. PDF 54–56. Tres referencias finales no fueron extraídas y otras quedaron fragmentadas o fusionadas.</x:v>
      </x:c>
    </x:row>
    <x:row r="12" ht="46" customHeight="1">
      <x:c r="A12" s="23" t="str">
        <x:v>P04</x:v>
      </x:c>
      <x:c r="B12" s="31" t="str">
        <x:v>Liquidity Shocks, Business Cycles and Asset Prices</x:v>
      </x:c>
      <x:c r="C12" s="23" t="n">
        <x:v>2017</x:v>
      </x:c>
      <x:c r="D12" s="23" t="str">
        <x:v>published</x:v>
      </x:c>
      <x:c r="E12" s="31" t="str">
        <x:v>saki_research/published_papers/bigio_schneider_liquidity_shocks_business_cycles_asset_prices.pdf</x:v>
      </x:c>
      <x:c r="F12" s="23" t="n">
        <x:v>0</x:v>
      </x:c>
      <x:c r="G12" s="32" t="n">
        <x:v>19</x:v>
      </x:c>
      <x:c r="H12" s="32" t="n">
        <x:v>0</x:v>
      </x:c>
      <x:c r="I12" s="23" t="n">
        <x:f>IF(COUNT(G12:H12)&lt;2,"",G12-H12)</x:f>
        <x:v>19</x:v>
      </x:c>
      <x:c r="J12" s="32" t="n">
        <x:v>0</x:v>
      </x:c>
      <x:c r="K12" s="33" t="n">
        <x:f>IF(OR(COUNT(G12:H12)&lt;2,G12=0),"",H12/G12)</x:f>
        <x:v>0</x:v>
      </x:c>
      <x:c r="L12" s="37" t="str">
        <x:v>La bibliografía ocupa las pp. PDF 37–38 y contiene 19 referencias, pero el extractor candidato devolvió cero.</x:v>
      </x:c>
    </x:row>
    <x:row r="13" ht="46" customHeight="1">
      <x:c r="A13" s="23" t="str">
        <x:v>D15</x:v>
      </x:c>
      <x:c r="B13" s="31" t="str">
        <x:v>Discussion: Safety Traps (Caballero-Farhi)</x:v>
      </x:c>
      <x:c r="C13" s="23" t="n">
        <x:v>2016</x:v>
      </x:c>
      <x:c r="D13" s="23" t="str">
        <x:v>discussion</x:v>
      </x:c>
      <x:c r="E13" s="31" t="str">
        <x:v>saki_research/discussions/bigio_safety_traps_caballero_farhi.pdf</x:v>
      </x:c>
      <x:c r="F13" s="23" t="n">
        <x:v>0</x:v>
      </x:c>
      <x:c r="G13" s="32" t="n">
        <x:v>0</x:v>
      </x:c>
      <x:c r="H13" s="32" t="n">
        <x:v>0</x:v>
      </x:c>
      <x:c r="I13" s="23" t="n">
        <x:f>IF(COUNT(G13:H13)&lt;2,"",G13-H13)</x:f>
        <x:v>0</x:v>
      </x:c>
      <x:c r="J13" s="32" t="n">
        <x:v>0</x:v>
      </x:c>
      <x:c r="K13" s="33" t="str">
        <x:f>IF(OR(COUNT(G13:H13)&lt;2,G13=0),"",H13/G13)</x:f>
      </x:c>
      <x:c r="L13" s="37" t="str">
        <x:v>Revisión completa del PDF: no contiene una sección bibliográfica ni una lista de referencias; la extracción cero es correcta.</x:v>
      </x:c>
    </x:row>
  </x:sheetData>
  <x:dataValidations count="3">
    <x:dataValidation type="whole" operator="between" sqref="G6:G13">
      <x:formula1>0</x:formula1>
      <x:formula2>10000</x:formula2>
    </x:dataValidation>
    <x:dataValidation type="whole" operator="between" sqref="H6:H13">
      <x:formula1>0</x:formula1>
      <x:formula2>10000</x:formula2>
    </x:dataValidation>
    <x:dataValidation type="whole" operator="between" sqref="J6:J13">
      <x:formula1>0</x:formula1>
      <x:formula2>10000</x:formula2>
    </x:dataValidation>
  </x:dataValidations>
  <x:pageMargins left="0.7" right="0.7" top="0.75" bottom="0.75" header="0.3" footer="0.3"/>
  <x:tableParts count="1">
    <x:tablePart xmlns:r="http://schemas.openxmlformats.org/officeDocument/2006/relationships" r:id="Rd0e20cf8c426486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105" hidden="0" customWidth="1"/>
  </x:cols>
  <x:sheetData>
    <x:row r="1" ht="25" customHeight="1">
      <x:c r="A1" s="1" t="str">
        <x:v>Cómo completar la auditoría</x:v>
      </x:c>
      <x:c r="B1" s="1"/>
      <x:c r="C1" s="1"/>
      <x:c r="D1" s="1"/>
      <x:c r="E1" s="1"/>
      <x:c r="F1" s="1"/>
      <x:c r="G1" s="1"/>
      <x:c r="H1" s="1"/>
    </x:row>
    <x:row r="3">
      <x:c r="A3" s="35" t="str">
        <x:v>Fuente</x:v>
      </x:c>
      <x:c r="B3" s="36" t="str">
        <x:v>data/referencias_parseadas_candidate.json</x:v>
      </x:c>
    </x:row>
    <x:row r="4">
      <x:c r="A4" s="35" t="str">
        <x:v>Semilla de la muestra</x:v>
      </x:c>
      <x:c r="B4" s="36" t="str">
        <x:v>20260915</x:v>
      </x:c>
    </x:row>
    <x:row r="5">
      <x:c r="A5" s="35" t="str">
        <x:v>Muestra principal</x:v>
      </x:c>
      <x:c r="B5" s="36" t="str">
        <x:v>150 candidatos seleccionados aleatoriamente entre los 1,242</x:v>
      </x:c>
    </x:row>
    <x:row r="6">
      <x:c r="A6" s="35" t="str">
        <x:v>1</x:v>
      </x:c>
      <x:c r="B6" s="36" t="str">
        <x:v>Abra el PDF indicado en source_pdf y busque el autor, el año o una frase del título.</x:v>
      </x:c>
    </x:row>
    <x:row r="7">
      <x:c r="A7" s="35" t="str">
        <x:v>2</x:v>
      </x:c>
      <x:c r="B7" s="36" t="str">
        <x:v>Marque referencia_correcta cuando la fila represente una sola referencia bibliográfica completa.</x:v>
      </x:c>
    </x:row>
    <x:row r="8">
      <x:c r="A8" s="35" t="str">
        <x:v>3</x:v>
      </x:c>
      <x:c r="B8" s="36" t="str">
        <x:v>Use fragmentada si una referencia quedó partida; fusionada si hay dos o más referencias en una fila; no_es_referencia si la fila no corresponde a una referencia.</x:v>
      </x:c>
    </x:row>
    <x:row r="9">
      <x:c r="A9" s="35" t="str">
        <x:v>4</x:v>
      </x:c>
      <x:c r="B9" s="36" t="str">
        <x:v>Revise surname, year y title por separado. Use no_aplica solo cuando el campo no pueda evaluarse.</x:v>
      </x:c>
    </x:row>
    <x:row r="10">
      <x:c r="A10" s="35" t="str">
        <x:v>5</x:v>
      </x:c>
      <x:c r="B10" s="36" t="str">
        <x:v>Escriba la referencia corregida cuando encuentre un error y explique brevemente el problema.</x:v>
      </x:c>
    </x:row>
    <x:row r="11">
      <x:c r="A11" s="35" t="str">
        <x:v>6</x:v>
      </x:c>
      <x:c r="B11" s="36" t="str">
        <x:v>La precisión de la muestra principal se calcula automáticamente en Auditoría aleatoria.</x:v>
      </x:c>
    </x:row>
    <x:row r="12">
      <x:c r="A12" s="35" t="str">
        <x:v>7</x:v>
      </x:c>
      <x:c r="B12" s="36" t="str">
        <x:v>No incorpore los Casos dirigidos al porcentaje general. Esa hoja sirve para diagnosticar fallas.</x:v>
      </x:c>
    </x:row>
    <x:row r="13">
      <x:c r="A13" s="35" t="str">
        <x:v>8</x:v>
      </x:c>
      <x:c r="B13" s="36" t="str">
        <x:v>En Cobertura, cuente las referencias reales de cada PDF y las coincidencias uno a uno.</x:v>
      </x:c>
    </x:row>
    <x:row r="14">
      <x:c r="A14" s="35" t="str">
        <x:v>Criterio recomendado</x:v>
      </x:c>
      <x:c r="B14" s="36" t="str">
        <x:v>95% o más: apto para agregados; 90% a 94%: usar con correcciones y advertencia; menos de 90%: corregir y repetir.</x:v>
      </x:c>
    </x:row>
    <x:row r="16">
      <x:c r="A16" s="42" t="str">
        <x:v>Auditoría ejecutada</x:v>
      </x:c>
      <x:c r="B16" s="36" t="str">
        <x:v>2026-09-15 — Codex</x:v>
      </x:c>
    </x:row>
    <x:row r="17">
      <x:c r="A17" s="42" t="str">
        <x:v>Método</x:v>
      </x:c>
      <x:c r="B17" s="36" t="str">
        <x:v>Contraste manual independiente de cada fila muestreada contra la sección de referencias de su PDF; conteo total en ocho documentos de cobertura.</x:v>
      </x:c>
    </x:row>
    <x:row r="18">
      <x:c r="A18" s="42" t="str">
        <x:v>Alcance</x:v>
      </x:c>
      <x:c r="B18" s="36" t="str">
        <x:v>150 casos aleatorios para la tasa general y 43 casos dirigidos solo para diagnóstico.</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2" topLeftCell="A13" activePane="bottomLeft" state="frozen"/>
    </x:sheetView>
  </x:sheetViews>
  <x:sheetFormatPr defaultRowHeight="15"/>
  <x:cols>
    <x:col min="1" max="1" width="13" hidden="0" customWidth="1"/>
    <x:col min="2" max="2" width="12" hidden="0" customWidth="1"/>
    <x:col min="3" max="3" width="9" hidden="0" customWidth="1"/>
    <x:col min="4" max="4" width="12" hidden="0" customWidth="1"/>
    <x:col min="5" max="5" width="18" hidden="0" customWidth="1"/>
    <x:col min="6" max="6" width="15" hidden="0" customWidth="1"/>
    <x:col min="7" max="7" width="15" hidden="0" customWidth="1"/>
    <x:col min="8" max="8" width="15" hidden="0" customWidth="1"/>
    <x:col min="9" max="9" width="24" hidden="0" customWidth="1"/>
    <x:col min="10" max="10" width="22" hidden="0" customWidth="1"/>
    <x:col min="11" max="11" width="12" hidden="0" customWidth="1"/>
    <x:col min="12" max="12" width="65" hidden="0" customWidth="1"/>
    <x:col min="13" max="13" width="95" hidden="0" customWidth="1"/>
    <x:col min="14" max="14" width="130" hidden="0" customWidth="1"/>
    <x:col min="15" max="15" width="110" hidden="0" customWidth="1"/>
    <x:col min="16" max="16" width="145" hidden="0" customWidth="1"/>
  </x:cols>
  <x:sheetData>
    <x:row r="1">
      <x:c r="A1" s="43" t="str">
        <x:v>Control del extractor corregido</x:v>
      </x:c>
      <x:c r="B1" s="23"/>
      <x:c r="C1" s="23"/>
      <x:c r="D1" s="23"/>
      <x:c r="E1" s="23"/>
      <x:c r="F1" s="23"/>
      <x:c r="G1" s="23"/>
      <x:c r="H1" s="23"/>
      <x:c r="I1" s="23"/>
      <x:c r="J1" s="23"/>
      <x:c r="K1" s="23"/>
      <x:c r="L1" s="23"/>
      <x:c r="M1" s="23"/>
      <x:c r="N1" s="23"/>
      <x:c r="O1" s="23"/>
      <x:c r="P1" s="23"/>
    </x:row>
    <x:row r="2">
      <x:c r="A2" s="23" t="str">
        <x:v>100 filas aleatorias. Revisión por Codex contra los PDF. Semilla 20260917.</x:v>
      </x:c>
      <x:c r="B2" s="23"/>
      <x:c r="C2" s="23"/>
      <x:c r="D2" s="23"/>
      <x:c r="E2" s="23"/>
      <x:c r="F2" s="23"/>
      <x:c r="G2" s="23"/>
      <x:c r="H2" s="23"/>
      <x:c r="I2" s="23"/>
      <x:c r="J2" s="23"/>
      <x:c r="K2" s="23"/>
      <x:c r="L2" s="23"/>
      <x:c r="M2" s="23"/>
      <x:c r="N2" s="23"/>
      <x:c r="O2" s="23"/>
      <x:c r="P2" s="23"/>
    </x:row>
    <x:row r="3">
      <x:c r="A3" s="23" t="str">
        <x:v>La muestra evalúa extracción; no acredita la identidad de las obras ni la cobertura total del corpus.</x:v>
      </x:c>
      <x:c r="B3" s="23"/>
      <x:c r="C3" s="23"/>
      <x:c r="D3" s="23"/>
      <x:c r="E3" s="23"/>
      <x:c r="F3" s="23"/>
      <x:c r="G3" s="23"/>
      <x:c r="H3" s="23"/>
      <x:c r="I3" s="23"/>
      <x:c r="J3" s="23"/>
      <x:c r="K3" s="23"/>
      <x:c r="L3" s="23"/>
      <x:c r="M3" s="23"/>
      <x:c r="N3" s="23"/>
      <x:c r="O3" s="23"/>
      <x:c r="P3" s="23"/>
    </x:row>
    <x:row r="4">
      <x:c r="A4" s="23"/>
      <x:c r="B4" s="23"/>
      <x:c r="C4" s="23"/>
      <x:c r="D4" s="23"/>
      <x:c r="E4" s="23"/>
      <x:c r="F4" s="23"/>
      <x:c r="G4" s="23"/>
      <x:c r="H4" s="23"/>
      <x:c r="I4" s="23"/>
      <x:c r="J4" s="23"/>
      <x:c r="K4" s="23"/>
      <x:c r="L4" s="23"/>
      <x:c r="M4" s="23"/>
      <x:c r="N4" s="23"/>
      <x:c r="O4" s="23"/>
      <x:c r="P4" s="23"/>
    </x:row>
    <x:row r="5">
      <x:c r="A5" s="23" t="str">
        <x:v>Referencias completas</x:v>
      </x:c>
      <x:c r="B5" s="23"/>
      <x:c r="C5" s="23"/>
      <x:c r="D5" s="23" t="n">
        <x:f>COUNTIF(E13:E112,"correcta")</x:f>
        <x:v>98</x:v>
      </x:c>
      <x:c r="E5" s="33" t="n">
        <x:f>D5/COUNTA(A13:A112)</x:f>
        <x:v>0.98</x:v>
      </x:c>
      <x:c r="F5" s="23"/>
      <x:c r="G5" s="23" t="str">
        <x:v>Umbral de uso</x:v>
      </x:c>
      <x:c r="H5" s="23"/>
      <x:c r="I5" s="44" t="n">
        <x:v>0.95</x:v>
      </x:c>
      <x:c r="J5" s="23"/>
      <x:c r="K5" s="23"/>
      <x:c r="L5" s="23"/>
      <x:c r="M5" s="23"/>
      <x:c r="N5" s="23"/>
      <x:c r="O5" s="23"/>
      <x:c r="P5" s="23"/>
    </x:row>
    <x:row r="6">
      <x:c r="A6" s="23" t="str">
        <x:v>Apellido y año correctos</x:v>
      </x:c>
      <x:c r="B6" s="23"/>
      <x:c r="C6" s="23"/>
      <x:c r="D6" s="23" t="n">
        <x:f>COUNTIFS(E13:E112,"correcta",F13:F112,"sí",G13:G112,"sí")</x:f>
        <x:v>95</x:v>
      </x:c>
      <x:c r="E6" s="33" t="n">
        <x:f>D6/COUNTA(A13:A112)</x:f>
        <x:v>0.95</x:v>
      </x:c>
      <x:c r="F6" s="23"/>
      <x:c r="G6" s="23"/>
      <x:c r="H6" s="23"/>
      <x:c r="I6" s="23"/>
      <x:c r="J6" s="23"/>
      <x:c r="K6" s="23"/>
      <x:c r="L6" s="23"/>
      <x:c r="M6" s="23"/>
      <x:c r="N6" s="23"/>
      <x:c r="O6" s="23"/>
      <x:c r="P6" s="23"/>
    </x:row>
    <x:row r="7">
      <x:c r="A7" s="23" t="str">
        <x:v>También título utilizable</x:v>
      </x:c>
      <x:c r="B7" s="23"/>
      <x:c r="C7" s="23"/>
      <x:c r="D7" s="23" t="n">
        <x:f>COUNTIF(I13:I112,"sí")</x:f>
        <x:v>77</x:v>
      </x:c>
      <x:c r="E7" s="33" t="n">
        <x:f>D7/COUNTA(A13:A112)</x:f>
        <x:v>0.77</x:v>
      </x:c>
      <x:c r="F7" s="23"/>
      <x:c r="G7" s="23" t="str">
        <x:v>Calidad de campos</x:v>
      </x:c>
      <x:c r="H7" s="23"/>
      <x:c r="I7" s="23" t="str">
        <x:f>IF(E7&gt;=I5,"Umbral alcanzado","Umbral pendiente")</x:f>
        <x:v>Umbral pendiente</x:v>
      </x:c>
      <x:c r="J7" s="23"/>
      <x:c r="K7" s="23"/>
      <x:c r="L7" s="23"/>
      <x:c r="M7" s="23"/>
      <x:c r="N7" s="23"/>
      <x:c r="O7" s="23"/>
      <x:c r="P7" s="23"/>
    </x:row>
    <x:row r="8">
      <x:c r="A8" s="23"/>
      <x:c r="B8" s="23"/>
      <x:c r="C8" s="23"/>
      <x:c r="D8" s="23"/>
      <x:c r="E8" s="23"/>
      <x:c r="F8" s="23"/>
      <x:c r="G8" s="23"/>
      <x:c r="H8" s="23"/>
      <x:c r="I8" s="23"/>
      <x:c r="J8" s="23"/>
      <x:c r="K8" s="23"/>
      <x:c r="L8" s="23"/>
      <x:c r="M8" s="23"/>
      <x:c r="N8" s="23"/>
      <x:c r="O8" s="23"/>
      <x:c r="P8" s="23"/>
    </x:row>
    <x:row r="9">
      <x:c r="A9" s="23" t="str">
        <x:v>15 títulos faltantes; 4 títulos mal aislados; 2 apellidos erróneos; 1 año erróneo. Los defectos pueden coincidir.</x:v>
      </x:c>
      <x:c r="B9" s="23"/>
      <x:c r="C9" s="23"/>
      <x:c r="D9" s="23"/>
      <x:c r="E9" s="23"/>
      <x:c r="F9" s="23"/>
      <x:c r="G9" s="23"/>
      <x:c r="H9" s="23"/>
      <x:c r="I9" s="23"/>
      <x:c r="J9" s="23"/>
      <x:c r="K9" s="23"/>
      <x:c r="L9" s="23"/>
      <x:c r="M9" s="23"/>
      <x:c r="N9" s="23"/>
      <x:c r="O9" s="23"/>
      <x:c r="P9" s="23"/>
    </x:row>
    <x:row r="10">
      <x:c r="A10" s="23" t="str">
        <x:v>Además: 1 encabezado agregado y 1 fila que fusiona tres referencias. Red de obras pendiente de resolución de identidades.</x:v>
      </x:c>
      <x:c r="B10" s="23"/>
      <x:c r="C10" s="23"/>
      <x:c r="D10" s="23"/>
      <x:c r="E10" s="23"/>
      <x:c r="F10" s="23"/>
      <x:c r="G10" s="23"/>
      <x:c r="H10" s="23"/>
      <x:c r="I10" s="23"/>
      <x:c r="J10" s="23"/>
      <x:c r="K10" s="23"/>
      <x:c r="L10" s="23"/>
      <x:c r="M10" s="23"/>
      <x:c r="N10" s="23"/>
      <x:c r="O10" s="23"/>
      <x:c r="P10" s="23"/>
    </x:row>
    <x:row r="11">
      <x:c r="A11" s="23"/>
      <x:c r="B11" s="23"/>
      <x:c r="C11" s="23"/>
      <x:c r="D11" s="23"/>
      <x:c r="E11" s="23"/>
      <x:c r="F11" s="23"/>
      <x:c r="G11" s="23"/>
      <x:c r="H11" s="23"/>
      <x:c r="I11" s="23"/>
      <x:c r="J11" s="23"/>
      <x:c r="K11" s="23"/>
      <x:c r="L11" s="23"/>
      <x:c r="M11" s="23"/>
      <x:c r="N11" s="23"/>
      <x:c r="O11" s="23"/>
      <x:c r="P11" s="23"/>
    </x:row>
    <x:row r="12" ht="32" customHeight="1">
      <x:c r="A12" s="48" t="str">
        <x:v>Caso</x:v>
      </x:c>
      <x:c r="B12" s="48" t="str">
        <x:v>Documento</x:v>
      </x:c>
      <x:c r="C12" s="48" t="str">
        <x:v>Índice</x:v>
      </x:c>
      <x:c r="D12" s="48" t="str">
        <x:v>Página PDF</x:v>
      </x:c>
      <x:c r="E12" s="48" t="str">
        <x:v>Segmentación</x:v>
      </x:c>
      <x:c r="F12" s="48" t="str">
        <x:v>Apellido correcto</x:v>
      </x:c>
      <x:c r="G12" s="48" t="str">
        <x:v>Año correcto</x:v>
      </x:c>
      <x:c r="H12" s="48" t="str">
        <x:v>Título correcto</x:v>
      </x:c>
      <x:c r="I12" s="48" t="str">
        <x:v>Ficha utilizable</x:v>
      </x:c>
      <x:c r="J12" s="48" t="str">
        <x:v>Apellido extraído</x:v>
      </x:c>
      <x:c r="K12" s="48" t="str">
        <x:v>Año extraído</x:v>
      </x:c>
      <x:c r="L12" s="48" t="str">
        <x:v>Título extraído</x:v>
      </x:c>
      <x:c r="M12" s="48" t="str">
        <x:v>Dictamen y corrección</x:v>
      </x:c>
      <x:c r="N12" s="48" t="str">
        <x:v>Referencia extraída</x:v>
      </x:c>
      <x:c r="O12" s="48" t="str">
        <x:v>PDF fuente</x:v>
      </x:c>
      <x:c r="P12" s="48" t="str">
        <x:v>Contexto del PDF</x:v>
      </x:c>
    </x:row>
    <x:row r="13" ht="72" customHeight="1">
      <x:c r="A13" s="24" t="str">
        <x:v>C-001</x:v>
      </x:c>
      <x:c r="B13" s="24" t="str">
        <x:v>C01</x:v>
      </x:c>
      <x:c r="C13" s="24" t="n">
        <x:v>3</x:v>
      </x:c>
      <x:c r="D13" s="24" t="str">
        <x:v>9</x:v>
      </x:c>
      <x:c r="E13" s="24" t="str">
        <x:v>correcta</x:v>
      </x:c>
      <x:c r="F13" s="24" t="str">
        <x:v>sí</x:v>
      </x:c>
      <x:c r="G13" s="24" t="str">
        <x:v>sí</x:v>
      </x:c>
      <x:c r="H13" s="24" t="str">
        <x:v>no</x:v>
      </x:c>
      <x:c r="I13" s="24" t="str">
        <x:f>IF(AND(E13="correcta",F13="sí",G13="sí",H13="sí"),"sí","no")</x:f>
        <x:v>no</x:v>
      </x:c>
      <x:c r="J13" s="25" t="str">
        <x:v>Azzimonti</x:v>
      </x:c>
      <x:c r="K13" s="49" t="n">
        <x:v>2018</x:v>
      </x:c>
      <x:c r="L13" s="25"/>
      <x:c r="M13" s="25" t="str">
        <x:v>La referencia está conservada en entry, pero el campo title está vacío.</x:v>
      </x:c>
      <x:c r="N13" s="25" t="str">
        <x:v>Marina Azzimonti and Pierre Yared. Optimal supply of public and private liquidity. Unpublished Manuscript, 2018.</x:v>
      </x:c>
      <x:c r="O13" s="25" t="str">
        <x:v>saki_research/published_comments/bigio_discussion_optimal_supply_public_private_liquidity_azzimonti_yared.pdf</x:v>
      </x:c>
      <x:c r="P13" s="25" t="str">
        <x:v>Página PDF 9:
PoliticalEconomy,110(6):1220–1254,2002.
George-Marios Angeletos, Fabrice Collard, and Harris Dellas. Public debt as private liquidity: Optimal policy. Unpublished
Manuscript,2018.
MarinaAzzimontiandPierreYared. Optimalsupplyofpublicandprivateliquidity. UnpublishedManuscript,2018.
RobertJBarro. Thericardianapproachtobudgetdeficits. JournalofEconomicperspectives,3(2):37–54,1989.
Truman Bewley. A difficulty with the optimum quantity of money. Econometrica, 51(5):1485–1504, 1983. ISSN 00129682,
14680262. URLhttp://www.jstor.org/stable/1912286.
SakiBigio. Endogenousliquidityandthebusinesscycle. AmericanEconomicReview,105(6):1883–1927,2015. doi: 10.1257/aer.
20110035. URLhttp://www.aeaweb.org/articles.php?doi=10.1257/aer.20110035.</x:v>
      </x:c>
    </x:row>
    <x:row r="14" ht="72" customHeight="1">
      <x:c r="A14" s="24" t="str">
        <x:v>C-002</x:v>
      </x:c>
      <x:c r="B14" s="24" t="str">
        <x:v>C01</x:v>
      </x:c>
      <x:c r="C14" s="24" t="n">
        <x:v>10</x:v>
      </x:c>
      <x:c r="D14" s="24" t="str">
        <x:v>9</x:v>
      </x:c>
      <x:c r="E14" s="24" t="str">
        <x:v>correcta</x:v>
      </x:c>
      <x:c r="F14" s="24" t="str">
        <x:v>sí</x:v>
      </x:c>
      <x:c r="G14" s="24" t="str">
        <x:v>sí</x:v>
      </x:c>
      <x:c r="H14" s="24" t="str">
        <x:v>no</x:v>
      </x:c>
      <x:c r="I14" s="24" t="str">
        <x:f>IF(AND(E14="correcta",F14="sí",G14="sí",H14="sí"),"sí","no")</x:f>
        <x:v>no</x:v>
      </x:c>
      <x:c r="J14" s="25" t="str">
        <x:v>Lucas</x:v>
      </x:c>
      <x:c r="K14" s="49" t="n">
        <x:v>1983</x:v>
      </x:c>
      <x:c r="L14" s="25"/>
      <x:c r="M14" s="25" t="str">
        <x:v>La referencia está conservada en entry, pero el campo title está vacío.</x:v>
      </x:c>
      <x:c r="N14" s="25" t="str">
        <x:v>Robert E Lucas and Nancy L Stokey. Optimal fiscal and monetary policy in an economy without capital. Journal of monetary Economics, 12(1):55–93, 1983.</x:v>
      </x:c>
      <x:c r="O14" s="25" t="str">
        <x:v>saki_research/published_comments/bigio_discussion_optimal_supply_public_private_liquidity_azzimonti_yared.pdf</x:v>
      </x:c>
      <x:c r="P14" s="25" t="str">
        <x:v>Página PDF 9:
~kiyotaki/papers/ChiKM6-1.pdf.
RobertE.Lucas. Equilibriuminapurecurrencyeconomy. EconomicInquiry,18(2):203–220,1980. ISSN1465-7295. doi: 10.1111/
j.1465-7295.1980.tb00570.x. URLhttp://dx.doi.org/10.1111/j.1465-7295.1980.tb00570.x.
Robert E Lucas and Nancy L Stokey. Optimal fiscal and monetary policy in an economy without capital. Journal of monetary
Economics,12(1):55–93,1983.
MichaelWoodford. Publicdebtasprivateliquidity. TheAmericanEconomicReview,80(2):382–388,1990. ISSN00028282. URL
http://www.jstor.org/stable/2006605.
9</x:v>
      </x:c>
    </x:row>
    <x:row r="15" ht="72" customHeight="1">
      <x:c r="A15" s="24" t="str">
        <x:v>C-003</x:v>
      </x:c>
      <x:c r="B15" s="24" t="str">
        <x:v>C01</x:v>
      </x:c>
      <x:c r="C15" s="24" t="n">
        <x:v>11</x:v>
      </x:c>
      <x:c r="D15" s="24" t="str">
        <x:v>9</x:v>
      </x:c>
      <x:c r="E15" s="24" t="str">
        <x:v>correcta</x:v>
      </x:c>
      <x:c r="F15" s="24" t="str">
        <x:v>sí</x:v>
      </x:c>
      <x:c r="G15" s="24" t="str">
        <x:v>sí</x:v>
      </x:c>
      <x:c r="H15" s="24" t="str">
        <x:v>no</x:v>
      </x:c>
      <x:c r="I15" s="24" t="str">
        <x:f>IF(AND(E15="correcta",F15="sí",G15="sí",H15="sí"),"sí","no")</x:f>
        <x:v>no</x:v>
      </x:c>
      <x:c r="J15" s="25" t="str">
        <x:v>Woodford</x:v>
      </x:c>
      <x:c r="K15" s="49" t="n">
        <x:v>1990</x:v>
      </x:c>
      <x:c r="L15" s="25"/>
      <x:c r="M15" s="25" t="str">
        <x:v>La referencia está conservada en entry, pero el campo title está vacío.</x:v>
      </x:c>
      <x:c r="N15" s="25" t="str">
        <x:v>Michael Woodford. Public debt as private liquidity. The American Economic Review, 80(2):382–388, 1990. ISSN 00028282. URL http://www.jstor.org/stable/2006605 .</x:v>
      </x:c>
      <x:c r="O15" s="25" t="str">
        <x:v>saki_research/published_comments/bigio_discussion_optimal_supply_public_private_liquidity_azzimonti_yared.pdf</x:v>
      </x:c>
      <x:c r="P15" s="25" t="str">
        <x:v>Página PDF 9:
j.1465-7295.1980.tb00570.x. URLhttp://dx.doi.org/10.1111/j.1465-7295.1980.tb00570.x.
Robert E Lucas and Nancy L Stokey. Optimal fiscal and monetary policy in an economy without capital. Journal of monetary
Economics,12(1):55–93,1983.
MichaelWoodford. Publicdebtasprivateliquidity. TheAmericanEconomicReview,80(2):382–388,1990. ISSN00028282. URL
http://www.jstor.org/stable/2006605.
9</x:v>
      </x:c>
    </x:row>
    <x:row r="16" ht="72" customHeight="1">
      <x:c r="A16" s="24" t="str">
        <x:v>C-004</x:v>
      </x:c>
      <x:c r="B16" s="24" t="str">
        <x:v>E01</x:v>
      </x:c>
      <x:c r="C16" s="24" t="n">
        <x:v>22</x:v>
      </x:c>
      <x:c r="D16" s="24" t="str">
        <x:v>21</x:v>
      </x:c>
      <x:c r="E16" s="24" t="str">
        <x:v>correcta</x:v>
      </x:c>
      <x:c r="F16" s="24" t="str">
        <x:v>sí</x:v>
      </x:c>
      <x:c r="G16" s="24" t="str">
        <x:v>sí</x:v>
      </x:c>
      <x:c r="H16" s="24" t="str">
        <x:v>sí</x:v>
      </x:c>
      <x:c r="I16" s="24" t="str">
        <x:f>IF(AND(E16="correcta",F16="sí",G16="sí",H16="sí"),"sí","no")</x:f>
        <x:v>sí</x:v>
      </x:c>
      <x:c r="J16" s="25" t="str">
        <x:v>Kaufmann</x:v>
      </x:c>
      <x:c r="K16" s="49" t="n">
        <x:v>2005</x:v>
      </x:c>
      <x:c r="L16" s="25" t="str">
        <x:v>Governance Matters IV: Governance Indicators for 1996-2004</x:v>
      </x:c>
      <x:c r="M16" s="25" t="str">
        <x:v>Una referencia completa; apellido inicial, año y título concuerdan con el PDF, admitiendo diferencias de espacios y tipografía.</x:v>
      </x:c>
      <x:c r="N16" s="25" t="str">
        <x:v>Kaufmann, D., A. Kraay y M. Mastruzzi (2005): Governance Matters IV: Governance Indicators for 1996-2004. Washington, D.C.: The World Bank.</x:v>
      </x:c>
      <x:c r="O16" s="25" t="str">
        <x:v>saki_research/pre_phd_papers/bigio_ramirez_corrupcion_indicadores_desarrollo_pery_mundo_revision_empirica.pdf</x:v>
      </x:c>
      <x:c r="P16" s="25" t="str">
        <x:v>Página PDF 21:
Policy Research Working Paper 2764. Washington, D.C.: World Bank.
Jain, A. (2001). “Corruption: A Review.” Journal of Economic Surveys, 15(1), pp. 71-
121.
Kaufmann, D., A. Kraay y M. Mastruzzi (2005): Governance Matters IV: Governance
Indicators for 1996-2004. Washington, D.C.: The World Bank.
Kaufmann, D. y S.-J. Wei (2000): “Does ‘Grease Money’ Speed Up the Wheels of
Commerce?” IMF Working Paper 00/64. Washington, D.C.: International Monetary
Fund (IMF).
La Porta, R.; F. Lopez de Silanes; A. Shleifer y R. Vishny (1999): “The Quality of</x:v>
      </x:c>
    </x:row>
    <x:row r="17" ht="72" customHeight="1">
      <x:c r="A17" s="24" t="str">
        <x:v>C-005</x:v>
      </x:c>
      <x:c r="B17" s="24" t="str">
        <x:v>E01</x:v>
      </x:c>
      <x:c r="C17" s="24" t="n">
        <x:v>30</x:v>
      </x:c>
      <x:c r="D17" s="24" t="str">
        <x:v>21</x:v>
      </x:c>
      <x:c r="E17" s="24" t="str">
        <x:v>correcta</x:v>
      </x:c>
      <x:c r="F17" s="24" t="str">
        <x:v>sí</x:v>
      </x:c>
      <x:c r="G17" s="24" t="str">
        <x:v>sí</x:v>
      </x:c>
      <x:c r="H17" s="24" t="str">
        <x:v>sí</x:v>
      </x:c>
      <x:c r="I17" s="24" t="str">
        <x:f>IF(AND(E17="correcta",F17="sí",G17="sí",H17="sí"),"sí","no")</x:f>
        <x:v>sí</x:v>
      </x:c>
      <x:c r="J17" s="25" t="str">
        <x:v>Mauro</x:v>
      </x:c>
      <x:c r="K17" s="49" t="n">
        <x:v>1995</x:v>
      </x:c>
      <x:c r="L17" s="25" t="str">
        <x:v>Corruption and Growth</x:v>
      </x:c>
      <x:c r="M17" s="25" t="str">
        <x:v>Una referencia completa; apellido inicial, año y título concuerdan con el PDF, admitiendo diferencias de espacios y tipografía.</x:v>
      </x:c>
      <x:c r="N17" s="25" t="str">
        <x:v>Mauro, P. (1995): “Corruption and Growth.” Quarterly Journal of Economics, 110(3), pp. 681-712.</x:v>
      </x:c>
      <x:c r="O17" s="25" t="str">
        <x:v>saki_research/pre_phd_papers/bigio_ramirez_corrupcion_indicadores_desarrollo_pery_mundo_revision_empirica.pdf</x:v>
      </x:c>
      <x:c r="P17" s="25" t="str">
        <x:v>Página PDF 21:
Loayza, N.; Fajnzylber, P. y Calderón, C. (2005): “Economic Growth in Latin America
and the Caribbean. Stylized Facts, Explanations and Forecasts.” Washington: World
Bank Publications.
Mauro, P. (1995): “Corruption and Growth.” Quarterly Journal of Economics, 110(3),
pp. 681-712.
Mauro, P. (1996): “The Effects of Corruption on Growth, Investment, and Government
Expenditure.” IMF Working Papers 1996/98. Washington, D.C.: International
Monetary Fund (IMF).
Mauro, P. (1998a): “Corruption and the Composition of Government Expenditure.”</x:v>
      </x:c>
    </x:row>
    <x:row r="18" ht="72" customHeight="1">
      <x:c r="A18" s="24" t="str">
        <x:v>C-006</x:v>
      </x:c>
      <x:c r="B18" s="24" t="str">
        <x:v>E01</x:v>
      </x:c>
      <x:c r="C18" s="24" t="n">
        <x:v>41</x:v>
      </x:c>
      <x:c r="D18" s="24" t="str">
        <x:v>21</x:v>
      </x:c>
      <x:c r="E18" s="24" t="str">
        <x:v>correcta</x:v>
      </x:c>
      <x:c r="F18" s="24" t="str">
        <x:v>sí</x:v>
      </x:c>
      <x:c r="G18" s="24" t="str">
        <x:v>sí</x:v>
      </x:c>
      <x:c r="H18" s="24" t="str">
        <x:v>sí</x:v>
      </x:c>
      <x:c r="I18" s="24" t="str">
        <x:f>IF(AND(E18="correcta",F18="sí",G18="sí",H18="sí"),"sí","no")</x:f>
        <x:v>sí</x:v>
      </x:c>
      <x:c r="J18" s="25" t="str">
        <x:v>Svensson</x:v>
      </x:c>
      <x:c r="K18" s="49" t="n">
        <x:v>2003</x:v>
      </x:c>
      <x:c r="L18" s="25" t="str">
        <x:v>Who must pay bribes and how much? Evidence from a Cross Section of Firms</x:v>
      </x:c>
      <x:c r="M18" s="25" t="str">
        <x:v>Una referencia completa; apellido inicial, año y título concuerdan con el PDF, admitiendo diferencias de espacios y tipografía.</x:v>
      </x:c>
      <x:c r="N18" s="25" t="str">
        <x:v>Svensson, J. (2003): “Who must pay bribes and how much? Evidence from a Cross Section of Firms.” Quarterly Journal of Economics, 118(1), pp. 207-230.</x:v>
      </x:c>
      <x:c r="O18" s="25" t="str">
        <x:v>saki_research/pre_phd_papers/bigio_ramirez_corrupcion_indicadores_desarrollo_pery_mundo_revision_empirica.pdf</x:v>
      </x:c>
      <x:c r="P18" s="25" t="str">
        <x:v>Página PDF 21:
An Illustration from Nigeria.” Journal of African Economies, 4(1), pp. 570-615.
Shleifer, A. y R. Vishny (1993): “Corruption.” Quarterly Journal of Economics, 108(3),
pp. 599-617.
Svensson, J. (2003): “Who must pay bribes and how much? Evidence from a Cross
Section of Firms.” Quarterly Journal of Economics, 118(1), pp. 207-230.
20</x:v>
      </x:c>
    </x:row>
    <x:row r="19" ht="72" customHeight="1">
      <x:c r="A19" s="24" t="str">
        <x:v>C-007</x:v>
      </x:c>
      <x:c r="B19" s="24" t="str">
        <x:v>E01</x:v>
      </x:c>
      <x:c r="C19" s="24" t="n">
        <x:v>58</x:v>
      </x:c>
      <x:c r="D19" s="24" t="str">
        <x:v>22</x:v>
      </x:c>
      <x:c r="E19" s="24" t="str">
        <x:v>correcta</x:v>
      </x:c>
      <x:c r="F19" s="24" t="str">
        <x:v>sí</x:v>
      </x:c>
      <x:c r="G19" s="24" t="str">
        <x:v>sí</x:v>
      </x:c>
      <x:c r="H19" s="24" t="str">
        <x:v>sí</x:v>
      </x:c>
      <x:c r="I19" s="24" t="str">
        <x:f>IF(AND(E19="correcta",F19="sí",G19="sí",H19="sí"),"sí","no")</x:f>
        <x:v>sí</x:v>
      </x:c>
      <x:c r="J19" s="25" t="str">
        <x:v>Wei</x:v>
      </x:c>
      <x:c r="K19" s="49" t="n">
        <x:v>2001</x:v>
      </x:c>
      <x:c r="L19" s="25" t="str">
        <x:v>Negative Alchemy? Corruption, Composition of Capital Flows and Currency Crises</x:v>
      </x:c>
      <x:c r="M19" s="25" t="str">
        <x:v>Una referencia completa; apellido inicial, año y título concuerdan con el PDF, admitiendo diferencias de espacios y tipografía.</x:v>
      </x:c>
      <x:c r="N19" s="25" t="str">
        <x:v>Wei, S.-J. e Y. Wu (2001): “Negative Alchemy? Corruption, Composition of Capital Flows and Currency Crises.” NBER Working Paper 8187.</x:v>
      </x:c>
      <x:c r="O19" s="25" t="str">
        <x:v>saki_research/pre_phd_papers/bigio_ramirez_corrupcion_indicadores_desarrollo_pery_mundo_revision_empirica.pdf</x:v>
      </x:c>
      <x:c r="P19" s="25" t="str">
        <x:v>Página PDF 22:
7765.
Wei, S.-J y A. Schleifer (2000): “Local Corruption and Global Capital Flows.”
Brookings Papers on Economic Activity, 2000(2), pp. 303-354.
Wei, S.-J. e Y. Wu (2001): “Negative Alchemy? Corruption, Composition of Capital
Flows and Currency Crises.” NBER Working Paper 8187.
World Bank (2017): World Development Indicators 2017. Washington, DC: The World
Bank.
21</x:v>
      </x:c>
    </x:row>
    <x:row r="20" ht="72" customHeight="1">
      <x:c r="A20" s="24" t="str">
        <x:v>C-008</x:v>
      </x:c>
      <x:c r="B20" s="24" t="str">
        <x:v>E02</x:v>
      </x:c>
      <x:c r="C20" s="24" t="n">
        <x:v>6</x:v>
      </x:c>
      <x:c r="D20" s="24" t="str">
        <x:v>28</x:v>
      </x:c>
      <x:c r="E20" s="24" t="str">
        <x:v>correcta</x:v>
      </x:c>
      <x:c r="F20" s="24" t="str">
        <x:v>sí</x:v>
      </x:c>
      <x:c r="G20" s="24" t="str">
        <x:v>sí</x:v>
      </x:c>
      <x:c r="H20" s="24" t="str">
        <x:v>no</x:v>
      </x:c>
      <x:c r="I20" s="24" t="str">
        <x:f>IF(AND(E20="correcta",F20="sí",G20="sí",H20="sí"),"sí","no")</x:f>
        <x:v>no</x:v>
      </x:c>
      <x:c r="J20" s="25" t="str">
        <x:v>Caballero</x:v>
      </x:c>
      <x:c r="K20" s="49" t="n">
        <x:v>1992</x:v>
      </x:c>
      <x:c r="L20" s="25" t="str">
        <x:v>Price Rigidities, Asymmetries, and Output Fluctuations, National Bureau of Economic Research (Working Paper, no 4091)</x:v>
      </x:c>
      <x:c r="M20" s="25" t="str">
        <x:v>El título extraído incluye la institución y el número de working paper.</x:v>
      </x:c>
      <x:c r="N20" s="25" t="str">
        <x:v>Caballero, Ricardo, and Eduardo Engel (1992), Price Rigidities, Asymmetries, and Output Fluctuations, National Bureau of Economic Research (Working Paper, no 4091).</x:v>
      </x:c>
      <x:c r="O20" s="25" t="str">
        <x:v>saki_research/pre_phd_papers/bigio_salas_non_linear_effects_monetary_policy_real_exchange_rate_shocks_partially_dollarized_economies_empirical_study_peru.pdf</x:v>
      </x:c>
      <x:c r="P20" s="25" t="str">
        <x:v>Página PDF 28:
Bravo, Héctor, and Carlos García (2002), Una Revisión de la Trans-
misión Monetaria y el Pass-Through en Chile, Banco Central de
Chile (Working Paper, no 149).
Caballero, Ricardo, and Eduardo Engel (1992), Price Rigidities,
Asymmetries, and Output Fluctuations, National Bureau of Eco-
nomic Research (Working Paper, no 4091).
Calvo, Guillermo, and Carmen Reinhart (2000), “Fear of Float-
ing”, Quartely Journal of Economics, vol. CXVII, no 2, pp. 379-
408.</x:v>
      </x:c>
    </x:row>
    <x:row r="21" ht="72" customHeight="1">
      <x:c r="A21" s="24" t="str">
        <x:v>C-009</x:v>
      </x:c>
      <x:c r="B21" s="24" t="str">
        <x:v>E02</x:v>
      </x:c>
      <x:c r="C21" s="24" t="n">
        <x:v>7</x:v>
      </x:c>
      <x:c r="D21" s="24" t="str">
        <x:v>28</x:v>
      </x:c>
      <x:c r="E21" s="24" t="str">
        <x:v>correcta</x:v>
      </x:c>
      <x:c r="F21" s="24" t="str">
        <x:v>sí</x:v>
      </x:c>
      <x:c r="G21" s="24" t="str">
        <x:v>sí</x:v>
      </x:c>
      <x:c r="H21" s="24" t="str">
        <x:v>sí</x:v>
      </x:c>
      <x:c r="I21" s="24" t="str">
        <x:f>IF(AND(E21="correcta",F21="sí",G21="sí",H21="sí"),"sí","no")</x:f>
        <x:v>sí</x:v>
      </x:c>
      <x:c r="J21" s="25" t="str">
        <x:v>Calvo</x:v>
      </x:c>
      <x:c r="K21" s="49" t="n">
        <x:v>2000</x:v>
      </x:c>
      <x:c r="L21" s="25" t="str">
        <x:v>Fear of Floating</x:v>
      </x:c>
      <x:c r="M21" s="25" t="str">
        <x:v>Una referencia completa; apellido inicial, año y título concuerdan con el PDF, admitiendo diferencias de espacios y tipografía.</x:v>
      </x:c>
      <x:c r="N21" s="25" t="str">
        <x:v>Calvo, Guillermo, and Carmen Reinhart (2000), “Fear of Floating”, Quartely Journal of Economics, vol. CXVII, no 2, pp. 379- 408.</x:v>
      </x:c>
      <x:c r="O21" s="25" t="str">
        <x:v>saki_research/pre_phd_papers/bigio_salas_non_linear_effects_monetary_policy_real_exchange_rate_shocks_partially_dollarized_economies_empirical_study_peru.pdf</x:v>
      </x:c>
      <x:c r="P21" s="25" t="str">
        <x:v>Página PDF 28:
Caballero, Ricardo, and Eduardo Engel (1992), Price Rigidities,
Asymmetries, and Output Fluctuations, National Bureau of Eco-
nomic Research (Working Paper, no 4091).
Calvo, Guillermo, and Carmen Reinhart (2000), “Fear of Float-
ing”, Quartely Journal of Economics, vol. CXVII, no 2, pp. 379-
408.
Carranza, Luis J., Juan M. Cayo and José Galdón-Sánchez (2003),
“Exchange rate volatility and economic performance in Peru: a
firm level analysis”, Emerging Markets Review, vol. 4, no 4, pp.</x:v>
      </x:c>
    </x:row>
    <x:row r="22" ht="72" customHeight="1">
      <x:c r="A22" s="24" t="str">
        <x:v>C-010</x:v>
      </x:c>
      <x:c r="B22" s="24" t="str">
        <x:v>E02</x:v>
      </x:c>
      <x:c r="C22" s="24" t="n">
        <x:v>13</x:v>
      </x:c>
      <x:c r="D22" s="24" t="str">
        <x:v>29</x:v>
      </x:c>
      <x:c r="E22" s="24" t="str">
        <x:v>correcta</x:v>
      </x:c>
      <x:c r="F22" s="24" t="str">
        <x:v>sí</x:v>
      </x:c>
      <x:c r="G22" s="24" t="str">
        <x:v>sí</x:v>
      </x:c>
      <x:c r="H22" s="24" t="str">
        <x:v>no</x:v>
      </x:c>
      <x:c r="I22" s="24" t="str">
        <x:f>IF(AND(E22="correcta",F22="sí",G22="sí",H22="sí"),"sí","no")</x:f>
        <x:v>no</x:v>
      </x:c>
      <x:c r="J22" s="25" t="str">
        <x:v>Céspedes</x:v>
      </x:c>
      <x:c r="K22" s="49" t="n">
        <x:v>2005</x:v>
      </x:c>
      <x:c r="L22" s="25" t="str">
        <x:v>Financial Frictions and Real Devaluations, Banco Central de Chile (Working Paper, no 318)</x:v>
      </x:c>
      <x:c r="M22" s="25" t="str">
        <x:v>El título extraído incluye la institución y el número de working paper.</x:v>
      </x:c>
      <x:c r="N22" s="25" t="str">
        <x:v>Céspedes, Luis F. (2005), Financial Frictions and Real Devaluations, Banco Central de Chile (Working Paper, no 318).</x:v>
      </x:c>
      <x:c r="O22" s="25" t="str">
        <x:v>saki_research/pre_phd_papers/bigio_salas_non_linear_effects_monetary_policy_real_exchange_rate_shocks_partially_dollarized_economies_empirical_study_peru.pdf</x:v>
      </x:c>
      <x:c r="P22" s="25" t="str">
        <x:v>Página PDF 29:
Economías Dolarizadas, Un Aporte Analítico, Centro de Investiga-
ción de la Universidad del Pacífico and Consorcio de Investiga-
ción Económica y Social.
Céspedes, Luis F. (2005), Financial Frictions and Real Devaluations,
Banco Central de Chile (Working Paper, no 318).
Céspedes, Luis F., Roberto Chang and Andrés Velasco (2004),
“Balance Sheets and Exchange Rate Policy”, American Economic
Review, vol. 94, no 4, pp. 1183-93.
Christiano, Lawrence J., Martin Eichenbaum and Charles L. Ev-</x:v>
      </x:c>
    </x:row>
    <x:row r="23" ht="72" customHeight="1">
      <x:c r="A23" s="24" t="str">
        <x:v>C-011</x:v>
      </x:c>
      <x:c r="B23" s="24" t="str">
        <x:v>E02</x:v>
      </x:c>
      <x:c r="C23" s="24" t="n">
        <x:v>27</x:v>
      </x:c>
      <x:c r="D23" s="24" t="str">
        <x:v>30</x:v>
      </x:c>
      <x:c r="E23" s="24" t="str">
        <x:v>correcta</x:v>
      </x:c>
      <x:c r="F23" s="24" t="str">
        <x:v>sí</x:v>
      </x:c>
      <x:c r="G23" s="24" t="str">
        <x:v>sí</x:v>
      </x:c>
      <x:c r="H23" s="24" t="str">
        <x:v>sí</x:v>
      </x:c>
      <x:c r="I23" s="24" t="str">
        <x:f>IF(AND(E23="correcta",F23="sí",G23="sí",H23="sí"),"sí","no")</x:f>
        <x:v>sí</x:v>
      </x:c>
      <x:c r="J23" s="25" t="str">
        <x:v>Loveday</x:v>
      </x:c>
      <x:c r="K23" s="49" t="n">
        <x:v>2004</x:v>
      </x:c>
      <x:c r="L23" s="25" t="str">
        <x:v>Mecanismos de Transmisión de la Política Monetaria y el Impacto de una Devaluación en el Nivel de Firmas</x:v>
      </x:c>
      <x:c r="M23" s="25" t="str">
        <x:v>Una referencia completa; apellido inicial, año y título concuerdan con el PDF, admitiendo diferencias de espacios y tipografía.</x:v>
      </x:c>
      <x:c r="N23" s="25" t="str">
        <x:v>Loveday, James, Oswaldo Molina and Roddy Rivas-Llosa (2004), “Mecanismos de Transmisión de la Política Monetaria y el Impacto de una Devaluación en el Nivel de Firmas”, Estudios Económicos, no 12, Banco Central de Reserva del Perú.</x:v>
      </x:c>
      <x:c r="O23" s="25" t="str">
        <x:v>saki_research/pre_phd_papers/bigio_salas_non_linear_effects_monetary_policy_real_exchange_rate_shocks_partially_dollarized_economies_empirical_study_peru.pdf</x:v>
      </x:c>
      <x:c r="P23" s="25" t="str">
        <x:v>Página PDF 30:
Leybourne, Stephen, Paul Newbold and Dimitrios Vougas (1998),
“Unit Roots and Smooth Transitions”, Journal of Time Series
Analysis, vol. 19, pp. 83-97.
Loveday, James, Oswaldo Molina and Roddy Rivas-Llosa (2004),
“Mecanismos de Transmisión de la Política Monetaria y el Im-
pacto de una Devaluación en el Nivel de Firmas”, Estudios Eco-
nómicos, no 12, Banco Central de Reserva del Perú.
Lukkonen, R., P. Saikkonen, and T. Terasvirta (1988), “Testing
Linearity against Smooth transition Autoregressive Models”,</x:v>
      </x:c>
    </x:row>
    <x:row r="24" ht="72" customHeight="1">
      <x:c r="A24" s="24" t="str">
        <x:v>C-012</x:v>
      </x:c>
      <x:c r="B24" s="24" t="str">
        <x:v>P01</x:v>
      </x:c>
      <x:c r="C24" s="24" t="n">
        <x:v>1</x:v>
      </x:c>
      <x:c r="D24" s="24" t="str">
        <x:v>28</x:v>
      </x:c>
      <x:c r="E24" s="24" t="str">
        <x:v>correcta</x:v>
      </x:c>
      <x:c r="F24" s="24" t="str">
        <x:v>sí</x:v>
      </x:c>
      <x:c r="G24" s="24" t="str">
        <x:v>sí</x:v>
      </x:c>
      <x:c r="H24" s="24" t="str">
        <x:v>no</x:v>
      </x:c>
      <x:c r="I24" s="24" t="str">
        <x:f>IF(AND(E24="correcta",F24="sí",G24="sí",H24="sí"),"sí","no")</x:f>
        <x:v>no</x:v>
      </x:c>
      <x:c r="J24" s="25" t="str">
        <x:v>Adam</x:v>
      </x:c>
      <x:c r="K24" s="49" t="n">
        <x:v>2004</x:v>
      </x:c>
      <x:c r="L24" s="25"/>
      <x:c r="M24" s="25" t="str">
        <x:v>La referencia está conservada en entry, pero el campo title está vacío.</x:v>
      </x:c>
      <x:c r="N24" s="25" t="str">
        <x:v>Adam, K., 2004. On the relation between robust and Bayesian decision making. Journal of Economic Dynamics and Control 28, 2050–2117.</x:v>
      </x:c>
      <x:c r="O24" s="25" t="str">
        <x:v>saki_research/published_papers/bigio_learning_under_fear_floating.pdf</x:v>
      </x:c>
      <x:c r="P24" s="25" t="str">
        <x:v>Página PDF 28:
isobtainedbyfactoringthelikelihoodfunctions.
t(cid:3)1
References
Adam,K.,2004.OntherelationbetweenrobustandBayesiandecisionmaking.JournalofEconomicDynamicsandControl28,2050–2117.
Aghion,P.,Bacchetta,P.,Banerjee,A.,2000.Asimplemodelofmonetarypolicyandcurrencycrises.EuropeanEconomicReview44,728–738.
Aghion,P.,Bacchetta,P.,Banerjee,A.,2001.Currencycrisesandmonetarypolicyinaneconomywithcreditconstraints.EuropeanEconomicReview45,
1121–1150.
Aumann,R.,1979.Agreeingtodisagree.AnnalsofStatistics4,1236–1239.
Ball,L.,1999.PolicyRulesforOpenEconomies,MonetaryPolicyRules.UniversityofChicagoPress,Chicago.</x:v>
      </x:c>
    </x:row>
    <x:row r="25" ht="72" customHeight="1">
      <x:c r="A25" s="24" t="str">
        <x:v>C-013</x:v>
      </x:c>
      <x:c r="B25" s="24" t="str">
        <x:v>P01</x:v>
      </x:c>
      <x:c r="C25" s="24" t="n">
        <x:v>16</x:v>
      </x:c>
      <x:c r="D25" s="24" t="str">
        <x:v>28</x:v>
      </x:c>
      <x:c r="E25" s="24" t="str">
        <x:v>correcta</x:v>
      </x:c>
      <x:c r="F25" s="24" t="str">
        <x:v>sí</x:v>
      </x:c>
      <x:c r="G25" s="24" t="str">
        <x:v>sí</x:v>
      </x:c>
      <x:c r="H25" s="24" t="str">
        <x:v>no</x:v>
      </x:c>
      <x:c r="I25" s="24" t="str">
        <x:f>IF(AND(E25="correcta",F25="sí",G25="sí",H25="sí"),"sí","no")</x:f>
        <x:v>no</x:v>
      </x:c>
      <x:c r="J25" s="25" t="str">
        <x:v>Cho</x:v>
      </x:c>
      <x:c r="K25" s="49" t="n">
        <x:v>2002</x:v>
      </x:c>
      <x:c r="L25" s="25"/>
      <x:c r="M25" s="25" t="str">
        <x:v>La referencia está conservada en entry, pero el campo title está vacío.</x:v>
      </x:c>
      <x:c r="N25" s="25" t="str">
        <x:v>Cho, I.-K., Williams, N., Sargent, T.J., 2002. Escaping Nash inflation. Review of Economic Studies 69, 1–40.</x:v>
      </x:c>
      <x:c r="O25" s="25" t="str">
        <x:v>saki_research/published_papers/bigio_learning_under_fear_floating.pdf</x:v>
      </x:c>
      <x:c r="P25" s="25" t="str">
        <x:v>Página PDF 28:
Chari,V.V.,Kehoe,P.J.,McGrattan,E.R.,2002.Canstickypricemodelsgeneratevolatileandpersistentrealexchangerates?ReviewofEconomicStudies69,533–
563
Cho,I.-K.,Kasa,K.,2008.Learningdynamicsandendogenouscurrencycrises.MacroeconomicDynamics12,257–285.
Cho,I.-K.,Williams,N.,Sargent,T.J.,2002.EscapingNashinflation.ReviewofEconomicStudies69,1–40.
Clarida,R.,Gali,J.,Gertler,M.,2001.Optimalmonetarypolicyinopenversusclosedeconomies:anintegratedapproach.AmericanEconomicReview
PapersandProceedings91,248–252.
Clarida,R.,Gali,J.,Gertler,M.,2002.Asimpleframeworkforinternationalmonetarypolicyanalysis.JournalofMonetaryEconomics49,879–904.
Cogley,T.,Colacito,R.,Sargent,T.,2007.BenefitsfromU.S.monetarypolicyexperimentationinthedaysofSamuelsonandSolowandLucas.Journalof
Money,CreditandBanking39,67–99.</x:v>
      </x:c>
    </x:row>
    <x:row r="26" ht="72" customHeight="1">
      <x:c r="A26" s="24" t="str">
        <x:v>C-014</x:v>
      </x:c>
      <x:c r="B26" s="24" t="str">
        <x:v>P01</x:v>
      </x:c>
      <x:c r="C26" s="24" t="n">
        <x:v>39</x:v>
      </x:c>
      <x:c r="D26" s="24" t="str">
        <x:v>28</x:v>
      </x:c>
      <x:c r="E26" s="24" t="str">
        <x:v>correcta</x:v>
      </x:c>
      <x:c r="F26" s="24" t="str">
        <x:v>sí</x:v>
      </x:c>
      <x:c r="G26" s="24" t="str">
        <x:v>sí</x:v>
      </x:c>
      <x:c r="H26" s="24" t="str">
        <x:v>no</x:v>
      </x:c>
      <x:c r="I26" s="24" t="str">
        <x:f>IF(AND(E26="correcta",F26="sí",G26="sí",H26="sí"),"sí","no")</x:f>
        <x:v>no</x:v>
      </x:c>
      <x:c r="J26" s="25" t="str">
        <x:v>Monacelli</x:v>
      </x:c>
      <x:c r="K26" s="49" t="n">
        <x:v>2005</x:v>
      </x:c>
      <x:c r="L26" s="25"/>
      <x:c r="M26" s="25" t="str">
        <x:v>La referencia está conservada en entry, pero el campo title está vacío.</x:v>
      </x:c>
      <x:c r="N26" s="25" t="str">
        <x:v>Monacelli, T., 2005. Monetary policy in a low pass-through environment. Journal of Money, Credit and Banking 37, 1047–1066.</x:v>
      </x:c>
      <x:c r="O26" s="25" t="str">
        <x:v>saki_research/published_papers/bigio_learning_under_fear_floating.pdf</x:v>
      </x:c>
      <x:c r="P26" s="25" t="str">
        <x:v>Página PDF 28:
Levy-Yeyati,E.,Sturzenegger,F.,2003b.Classifyingexchangerateregimes:deedsvs.words.EuropeanEconomicReview49,1603–1635.
Lubik,T.A.,Schorfheide,F.,2007.JournalofMonetaryEconomics54,1069–1087.
Mailath,G.J.,Samuelson,L.,2006.RepeatedGamesandReputation.OxfordUniversityPress,NewYork,NewYork.
Monacelli,T.,2005.Monetarypolicyinalowpass-throughenvironment.JournalofMoney,CreditandBanking37,1047–1066.
Murchison,S.,Rennison,A.,2006.ToTEM:theBankofCanada’snewquarterlyprojectionmodel.BankofCanadaTechnicalReportNo.97.
Sargent,T.J.,1999.TheConquestofAmericanInflation.PrincetonUniversityPress,Princeton,NJ.
Sargent,T.J.,Williams,N.,2005.ImpactsofpriorsonconvergenceandescapesfromNashinflation.ReviewofEconomicDynamics8,360–391.
Schneider,M.,Tornell,A.,2004.Balancesheeteffects,bailoutguaranteesandfinancialcrises.ReviewofEconomicStudies71,883–913.
Wieland,V.,2000a.Learningbydoingandthevalueofoptimalexperimentation.JournalofEconomicDynamicsandControl24,501–534.</x:v>
      </x:c>
    </x:row>
    <x:row r="27" ht="72" customHeight="1">
      <x:c r="A27" s="24" t="str">
        <x:v>C-015</x:v>
      </x:c>
      <x:c r="B27" s="24" t="str">
        <x:v>P02</x:v>
      </x:c>
      <x:c r="C27" s="24" t="n">
        <x:v>34</x:v>
      </x:c>
      <x:c r="D27" s="24" t="str">
        <x:v>40</x:v>
      </x:c>
      <x:c r="E27" s="24" t="str">
        <x:v>correcta</x:v>
      </x:c>
      <x:c r="F27" s="24" t="str">
        <x:v>sí</x:v>
      </x:c>
      <x:c r="G27" s="24" t="str">
        <x:v>sí</x:v>
      </x:c>
      <x:c r="H27" s="24" t="str">
        <x:v>no</x:v>
      </x:c>
      <x:c r="I27" s="24" t="str">
        <x:f>IF(AND(E27="correcta",F27="sí",G27="sí",H27="sí"),"sí","no")</x:f>
        <x:v>no</x:v>
      </x:c>
      <x:c r="J27" s="25" t="str">
        <x:v>Migdal</x:v>
      </x:c>
      <x:c r="K27" s="49" t="n">
        <x:v>1988</x:v>
      </x:c>
      <x:c r="L27" s="25"/>
      <x:c r="M27" s="25" t="str">
        <x:v>La referencia está conservada en entry, pero el campo title está vacío.</x:v>
      </x:c>
      <x:c r="N27" s="25" t="str">
        <x:v>J.S.Migdal. Strong Societies and Weak States: State-Society Relations and State Capabilities in the Third World. Princeton University Press, 1988.31</x:v>
      </x:c>
      <x:c r="O27" s="25" t="str">
        <x:v>saki_research/published_papers/bigio_zilberman_optimal_self_employment_income_tax_enforcement.pdf</x:v>
      </x:c>
      <x:c r="P27" s="25" t="str">
        <x:v>Página PDF 40:
February 2002. 4, 12, 20
G. Maggi and A. Rodr´ıguez-Clare. On countervailing incentives. Journal of Economic
Theory, 66(1):238–263, June 1995. 28, 29, 34
J.S.Migdal. Strong Societies and Weak States: State-Society Relations and State Capabilities
in the Third World. Princeton University Press, 1988. 31
D. Mookherjee and I. Png. Optimal auditing, insurance, and redistribution. Quarterly
Journal of Economics, 104(2):399–415, May 1989. 2
S. C. Parker. Entrepreneurial growth and dynamic tax evasion incentives. Working Paper,
2010. 2</x:v>
      </x:c>
    </x:row>
    <x:row r="28" ht="72" customHeight="1">
      <x:c r="A28" s="24" t="str">
        <x:v>C-016</x:v>
      </x:c>
      <x:c r="B28" s="24" t="str">
        <x:v>P02</x:v>
      </x:c>
      <x:c r="C28" s="24" t="n">
        <x:v>40</x:v>
      </x:c>
      <x:c r="D28" s="24" t="str">
        <x:v>41</x:v>
      </x:c>
      <x:c r="E28" s="24" t="str">
        <x:v>correcta</x:v>
      </x:c>
      <x:c r="F28" s="24" t="str">
        <x:v>sí</x:v>
      </x:c>
      <x:c r="G28" s="24" t="str">
        <x:v>sí</x:v>
      </x:c>
      <x:c r="H28" s="24" t="str">
        <x:v>no</x:v>
      </x:c>
      <x:c r="I28" s="24" t="str">
        <x:f>IF(AND(E28="correcta",F28="sí",G28="sí",H28="sí"),"sí","no")</x:f>
        <x:v>no</x:v>
      </x:c>
      <x:c r="J28" s="25" t="str">
        <x:v>Robinson</x:v>
      </x:c>
      <x:c r="K28" s="49" t="n">
        <x:v>1998</x:v>
      </x:c>
      <x:c r="L28" s="25" t="str">
        <x:v>bad policy</x:v>
      </x:c>
      <x:c r="M28" s="25" t="str">
        <x:v>Solo se aisló la frase entrecomillada dentro del título.</x:v>
      </x:c>
      <x:c r="N28" s="25" t="str">
        <x:v>J. A. Robinson. Theories of “bad policy”. Journal of Economic Policy Reform, 2(1):1–46, February 1998.32</x:v>
      </x:c>
      <x:c r="O28" s="25" t="str">
        <x:v>saki_research/published_papers/bigio_zilberman_optimal_self_employment_income_tax_enforcement.pdf</x:v>
      </x:c>
      <x:c r="P28" s="25" t="str">
        <x:v>Página PDF 41:
(1):33–48, January 1991. 4, 21
J. F. Reinganum and L. L. Wilde. Income tax compliance in a principal-agent framework.
Journal of Public Economics, 26(1):1–18, February 1985. 2
J. A. Robinson. Theories of “bad policy”. Journal of Economic Policy Reform, 2(1):1–46,
February 1998. 32
H. S. Rosen. Public Finance. McGraw-Hill, 2005. 12
I. Sa´nchez and J. Sobel. Hierarchical design and enforcement income tax policies. Journal
of Public Economics, 50(3):345–369, March 1993. 2, 3, 12, 14, 15
A. Sandmo. The theory of tax evasion: A retrospective view. National Tax Journal, 58(4):</x:v>
      </x:c>
    </x:row>
    <x:row r="29" ht="72" customHeight="1">
      <x:c r="A29" s="24" t="str">
        <x:v>C-017</x:v>
      </x:c>
      <x:c r="B29" s="24" t="str">
        <x:v>P02</x:v>
      </x:c>
      <x:c r="C29" s="24" t="n">
        <x:v>42</x:v>
      </x:c>
      <x:c r="D29" s="24" t="str">
        <x:v>41</x:v>
      </x:c>
      <x:c r="E29" s="24" t="str">
        <x:v>correcta</x:v>
      </x:c>
      <x:c r="F29" s="24" t="str">
        <x:v>sí</x:v>
      </x:c>
      <x:c r="G29" s="24" t="str">
        <x:v>sí</x:v>
      </x:c>
      <x:c r="H29" s="24" t="str">
        <x:v>no</x:v>
      </x:c>
      <x:c r="I29" s="24" t="str">
        <x:f>IF(AND(E29="correcta",F29="sí",G29="sí",H29="sí"),"sí","no")</x:f>
        <x:v>no</x:v>
      </x:c>
      <x:c r="J29" s="25" t="str">
        <x:v>Sandmo</x:v>
      </x:c>
      <x:c r="K29" s="49" t="n">
        <x:v>2005</x:v>
      </x:c>
      <x:c r="L29" s="25"/>
      <x:c r="M29" s="25" t="str">
        <x:v>La referencia está conservada en entry, pero el campo title está vacío.</x:v>
      </x:c>
      <x:c r="N29" s="25" t="str">
        <x:v>A. Sandmo. The theory of tax evasion: A retrospective view. National Tax Journal, 58(4): 643–663, December 2005.2</x:v>
      </x:c>
      <x:c r="O29" s="25" t="str">
        <x:v>saki_research/published_papers/bigio_zilberman_optimal_self_employment_income_tax_enforcement.pdf</x:v>
      </x:c>
      <x:c r="P29" s="25" t="str">
        <x:v>Página PDF 41:
H. S. Rosen. Public Finance. McGraw-Hill, 2005. 12
I. Sa´nchez and J. Sobel. Hierarchical design and enforcement income tax policies. Journal
of Public Economics, 50(3):345–369, March 1993. 2, 3, 12, 14, 15
A. Sandmo. The theory of tax evasion: A retrospective view. National Tax Journal, 58(4):
643–663, December 2005. 2
A. Santoro. Taxpayer’s choices under studi di settore: What do we know and how we can
interpret it? Giornale degli Economisti e Annali di Economia, 67(2):161–184, July 2008.
24
F. Schneider and D. H. Enste. Shadow economies: Sizes, causes and consequences. Journal</x:v>
      </x:c>
    </x:row>
    <x:row r="30" ht="72" customHeight="1">
      <x:c r="A30" s="24" t="str">
        <x:v>C-018</x:v>
      </x:c>
      <x:c r="B30" s="24" t="str">
        <x:v>P02</x:v>
      </x:c>
      <x:c r="C30" s="24" t="n">
        <x:v>54</x:v>
      </x:c>
      <x:c r="D30" s="24" t="str">
        <x:v>42</x:v>
      </x:c>
      <x:c r="E30" s="24" t="str">
        <x:v>correcta</x:v>
      </x:c>
      <x:c r="F30" s="24" t="str">
        <x:v>sí</x:v>
      </x:c>
      <x:c r="G30" s="24" t="str">
        <x:v>no</x:v>
      </x:c>
      <x:c r="H30" s="24" t="str">
        <x:v>no</x:v>
      </x:c>
      <x:c r="I30" s="24" t="str">
        <x:f>IF(AND(E30="correcta",F30="sí",G30="sí",H30="sí"),"sí","no")</x:f>
        <x:v>no</x:v>
      </x:c>
      <x:c r="J30" s="25" t="str">
        <x:v>Wallis</x:v>
      </x:c>
      <x:c r="K30" s="49" t="n">
        <x:v>1990</x:v>
      </x:c>
      <x:c r="L30" s="25"/>
      <x:c r="M30" s="25" t="str">
        <x:v>1990 pertenece al título; el año bibliográfico impreso es Winter 2000. La referencia está conservada en entry, pero el campo title está vacío.</x:v>
      </x:c>
      <x:c r="N30" s="25" t="str">
        <x:v>J.J.Wallis. Americangovernmentfinaceinthelongrun: 1790to1990. Journal of Economic Perspectives, 14(1):61–82, Winter 2000.10,30</x:v>
      </x:c>
      <x:c r="O30" s="25" t="str">
        <x:v>saki_research/published_papers/bigio_zilberman_optimal_self_employment_income_tax_enforcement.pdf</x:v>
      </x:c>
      <x:c r="P30" s="25" t="str">
        <x:v>Página PDF 42:
Journal of Economic Theory, 21(2):265–293, October 1979. 2
J. R. Tybout. Manufacturing firms in developing countries: How well do they do and why?
Journal of Economic Literature, 38(1):11–44, March 2000. 3, 20
J. J. Wallis. American government finace in the long run: 1790 to 1990. Journal of Economic
Perspectives, 14(1):61–82, Winter 2000. 10, 30
H. C. Wilkenfeld. Taxes and People in Israel. Harvard University Press, 1973. 24
S. Yitzhaki. Cost-benefit analysis of presumptive taxation. FinanzArchiv: Public Finance
Analysis, 63(3):311–326, September 2007. 24
42</x:v>
      </x:c>
    </x:row>
    <x:row r="31" ht="72" customHeight="1">
      <x:c r="A31" s="24" t="str">
        <x:v>C-019</x:v>
      </x:c>
      <x:c r="B31" s="24" t="str">
        <x:v>P03</x:v>
      </x:c>
      <x:c r="C31" s="24" t="n">
        <x:v>1</x:v>
      </x:c>
      <x:c r="D31" s="24" t="str">
        <x:v>41</x:v>
      </x:c>
      <x:c r="E31" s="24" t="str">
        <x:v>correcta</x:v>
      </x:c>
      <x:c r="F31" s="24" t="str">
        <x:v>sí</x:v>
      </x:c>
      <x:c r="G31" s="24" t="str">
        <x:v>sí</x:v>
      </x:c>
      <x:c r="H31" s="24" t="str">
        <x:v>sí</x:v>
      </x:c>
      <x:c r="I31" s="24" t="str">
        <x:f>IF(AND(E31="correcta",F31="sí",G31="sí",H31="sí"),"sí","no")</x:f>
        <x:v>sí</x:v>
      </x:c>
      <x:c r="J31" s="25" t="str">
        <x:v>Ajello</x:v>
      </x:c>
      <x:c r="K31" s="49" t="n">
        <x:v>2012</x:v>
      </x:c>
      <x:c r="L31" s="25" t="str">
        <x:v>Financial Intermediation, Investment Dynamics and Business Cycle Fluctuations</x:v>
      </x:c>
      <x:c r="M31" s="25" t="str">
        <x:v>Una referencia completa; apellido inicial, año y título concuerdan con el PDF, admitiendo diferencias de espacios y tipografía.</x:v>
      </x:c>
      <x:c r="N31" s="25" t="str">
        <x:v>Ajello, Andrea, “Financial Intermediation, Investment Dynamics and Business Cycle Fluctuations,” 2012. Unpublished.3,29</x:v>
      </x:c>
      <x:c r="O31" s="25" t="str">
        <x:v>saki_research/published_papers/bigio_endogenous_liquidity_business_cycle.pdf</x:v>
      </x:c>
      <x:c r="P31" s="25" t="str">
        <x:v>Página PDF 41:
implied reduction in liquidity requires an excessively high cost to obtain liquidity.
This deficiency is ameliorated using actual wage data.
REFERENCES
Ajello, Andrea, “Financial Intermediation, Investment Dynamics and Business
Cycle Fluctuations,” 2012. Unpublished. 3, 29
Akerlof, George A., “The Market for ‘Lemons’: Quality Uncertainty and the
Market Mechanism,” Quarterly Journal of Economics, 1970, 84 (3), 488–500.
9, 57
Bigio, Saki, “Liquidity Shocks and the Business Cycle,” 2009. Unpublished. 44,</x:v>
      </x:c>
    </x:row>
    <x:row r="32" ht="72" customHeight="1">
      <x:c r="A32" s="24" t="str">
        <x:v>C-020</x:v>
      </x:c>
      <x:c r="B32" s="24" t="str">
        <x:v>P03</x:v>
      </x:c>
      <x:c r="C32" s="24" t="n">
        <x:v>29</x:v>
      </x:c>
      <x:c r="D32" s="24" t="str">
        <x:v>43</x:v>
      </x:c>
      <x:c r="E32" s="24" t="str">
        <x:v>correcta</x:v>
      </x:c>
      <x:c r="F32" s="24" t="str">
        <x:v>sí</x:v>
      </x:c>
      <x:c r="G32" s="24" t="str">
        <x:v>sí</x:v>
      </x:c>
      <x:c r="H32" s="24" t="str">
        <x:v>sí</x:v>
      </x:c>
      <x:c r="I32" s="24" t="str">
        <x:f>IF(AND(E32="correcta",F32="sí",G32="sí",H32="sí"),"sí","no")</x:f>
        <x:v>sí</x:v>
      </x:c>
      <x:c r="J32" s="25" t="str">
        <x:v>Martin</x:v>
      </x:c>
      <x:c r="K32" s="49" t="n">
        <x:v>2007</x:v>
      </x:c>
      <x:c r="L32" s="25" t="str">
        <x:v>On RothschildStiglitz as competitive pooling</x:v>
      </x:c>
      <x:c r="M32" s="25" t="str">
        <x:v>Una referencia completa; apellido inicial, año y título concuerdan con el PDF, admitiendo diferencias de espacios y tipografía.</x:v>
      </x:c>
      <x:c r="N32" s="25" t="str">
        <x:v>Martin, Alberto, “On RothschildStiglitz as competitive pooling,” Economic Theory, 2007, 31 (2), 371–386.38</x:v>
      </x:c>
      <x:c r="O32" s="25" t="str">
        <x:v>saki_research/published_papers/bigio_endogenous_liquidity_business_cycle.pdf</x:v>
      </x:c>
      <x:c r="P32" s="25" t="str">
        <x:v>Página PDF 43:
Lorenzoni, Guido and Karl Walentin, “Financial Frictions, Investment and
Tobin’sq,”2009. NationalBureauofEconomicResearchWorkingPaper13092.
52
Martin, Alberto, “On RothschildStiglitz as competitive pooling,” Economic
Theory, 2007, 31 (2), 371–386. 38
Newey, Whitney K. and Kenneth D. West, “A Simple, Positive Semi-
Definite, Heteroskedasticity and Autocorrelation Consistent Covariance Ma-
trix,” Econometrica, 1987, 55 (3), 703–708. 29
Ohanian, Lee E., “TheEconomicCrisisfromaNeoclassicalPerspective,” Jour-</x:v>
      </x:c>
    </x:row>
    <x:row r="33" ht="72" customHeight="1">
      <x:c r="A33" s="24" t="str">
        <x:v>C-021</x:v>
      </x:c>
      <x:c r="B33" s="24" t="str">
        <x:v>P03</x:v>
      </x:c>
      <x:c r="C33" s="24" t="n">
        <x:v>32</x:v>
      </x:c>
      <x:c r="D33" s="24" t="str">
        <x:v>43</x:v>
      </x:c>
      <x:c r="E33" s="24" t="str">
        <x:v>correcta</x:v>
      </x:c>
      <x:c r="F33" s="24" t="str">
        <x:v>sí</x:v>
      </x:c>
      <x:c r="G33" s="24" t="str">
        <x:v>sí</x:v>
      </x:c>
      <x:c r="H33" s="24" t="str">
        <x:v>sí</x:v>
      </x:c>
      <x:c r="I33" s="24" t="str">
        <x:f>IF(AND(E33="correcta",F33="sí",G33="sí",H33="sí"),"sí","no")</x:f>
        <x:v>sí</x:v>
      </x:c>
      <x:c r="J33" s="25" t="str">
        <x:v>Piketty</x:v>
      </x:c>
      <x:c r="K33" s="49" t="n">
        <x:v>2006</x:v>
      </x:c>
      <x:c r="L33" s="25" t="str">
        <x:v>How Progressive Is the U.S. Federal Tax System? A Historical and International Perspective</x:v>
      </x:c>
      <x:c r="M33" s="25" t="str">
        <x:v>Una referencia completa; apellido inicial, año y título concuerdan con el PDF, admitiendo diferencias de espacios y tipografía.</x:v>
      </x:c>
      <x:c r="N33" s="25" t="str">
        <x:v>Piketty, Thomas and Emmanuel Saez, “How Progressive Is the U.S. Federal Tax System? A Historical and International Perspective,” 2006. National Bureau of Economic Research Working Paper 12404.29</x:v>
      </x:c>
      <x:c r="O33" s="25" t="str">
        <x:v>saki_research/published_papers/bigio_endogenous_liquidity_business_cycle.pdf</x:v>
      </x:c>
      <x:c r="P33" s="25" t="str">
        <x:v>Página PDF 43:
trix,” Econometrica, 1987, 55 (3), 703–708. 29
Ohanian, Lee E., “TheEconomicCrisisfromaNeoclassicalPerspective,” Jour-
nal of Economic Perspectives, 2010, 24 (4), 4566. 2
Piketty, Thomas and Emmanuel Saez, “How Progressive Is the U.S. Federal
Tax System? A Historical and International Perspective,” 2006. National
Bureau of Economic Research Working Paper 12404. 29
Shimer, Robert, “Convergence in Macroeconomics: The Labor Wedge,” Amer-
ican Economic Journal: Macroeconomics, 2009, 1 (1), 280–97. 29</x:v>
      </x:c>
    </x:row>
    <x:row r="34" ht="72" customHeight="1">
      <x:c r="A34" s="24" t="str">
        <x:v>C-022</x:v>
      </x:c>
      <x:c r="B34" s="24" t="str">
        <x:v>P04</x:v>
      </x:c>
      <x:c r="C34" s="24" t="n">
        <x:v>11</x:v>
      </x:c>
      <x:c r="D34" s="24" t="str">
        <x:v>37</x:v>
      </x:c>
      <x:c r="E34" s="24" t="str">
        <x:v>correcta</x:v>
      </x:c>
      <x:c r="F34" s="24" t="str">
        <x:v>sí</x:v>
      </x:c>
      <x:c r="G34" s="24" t="str">
        <x:v>sí</x:v>
      </x:c>
      <x:c r="H34" s="24" t="str">
        <x:v>sí</x:v>
      </x:c>
      <x:c r="I34" s="24" t="str">
        <x:f>IF(AND(E34="correcta",F34="sí",G34="sí",H34="sí"),"sí","no")</x:f>
        <x:v>sí</x:v>
      </x:c>
      <x:c r="J34" s="25" t="str">
        <x:v>Epstein</x:v>
      </x:c>
      <x:c r="K34" s="49" t="n">
        <x:v>1989</x:v>
      </x:c>
      <x:c r="L34" s="25" t="str">
        <x:v>Substitution, Risk Aversion, and the Temporal Behavior of Consumption and Asset Returns: A Theoretical Framework</x:v>
      </x:c>
      <x:c r="M34" s="25" t="str">
        <x:v>Una referencia completa; apellido inicial, año y título concuerdan con el PDF, admitiendo diferencias de espacios y tipografía.</x:v>
      </x:c>
      <x:c r="N34" s="25" t="str">
        <x:v>Epstein, Larry G. and Stanley E. Zin , “Substitution, Risk Aversion, and the Temporal Behavior of Consumption and Asset Returns: A Theoretical Framework,” Econometrica, 1989, 57 (4), 937–969.</x:v>
      </x:c>
      <x:c r="O34" s="25" t="str">
        <x:v>saki_research/published_papers/bigio_schneider_liquidity_shocks_business_cycles_asset_prices.pdf</x:v>
      </x:c>
      <x:c r="P34" s="25" t="str">
        <x:v>Página PDF 37:
E
DelNegro,Marco,GautiEggertsson,AndreaFerrero,andNobuhiroKiyotaki,“TheGreatEscape? AQuantitative
EvaluationoftheFedsLiquTidityFacilities,”WorkingPaper22259,NationalBureauofEconomicResearchMay2016.
Epstein,LarryG.andStPanleyE.Zin,“Substitution,RiskAversion,andtheTemporalBehaviorofConsumptionand
AssetReturns:ATheoreticalFramework,”Econometrica,1989,57(4),937–969.
E
He,ZhiguoandArvindKrishnamurthy,“IntermediaryAssetPricing,”AmericanEconomicReview,2013,103(2),732–
70. C
JermanCn,UrbanJ.,“Assetpricinginproductioneconomies,”JournalofMonetaryEconomics,April1998,41(2),257–</x:v>
      </x:c>
    </x:row>
    <x:row r="35" ht="72" customHeight="1">
      <x:c r="A35" s="24" t="str">
        <x:v>C-023</x:v>
      </x:c>
      <x:c r="B35" s="24" t="str">
        <x:v>P04</x:v>
      </x:c>
      <x:c r="C35" s="24" t="n">
        <x:v>12</x:v>
      </x:c>
      <x:c r="D35" s="24" t="str">
        <x:v>37</x:v>
      </x:c>
      <x:c r="E35" s="24" t="str">
        <x:v>correcta</x:v>
      </x:c>
      <x:c r="F35" s="24" t="str">
        <x:v>sí</x:v>
      </x:c>
      <x:c r="G35" s="24" t="str">
        <x:v>sí</x:v>
      </x:c>
      <x:c r="H35" s="24" t="str">
        <x:v>sí</x:v>
      </x:c>
      <x:c r="I35" s="24" t="str">
        <x:f>IF(AND(E35="correcta",F35="sí",G35="sí",H35="sí"),"sí","no")</x:f>
        <x:v>sí</x:v>
      </x:c>
      <x:c r="J35" s="25" t="str">
        <x:v>He</x:v>
      </x:c>
      <x:c r="K35" s="49" t="n">
        <x:v>2013</x:v>
      </x:c>
      <x:c r="L35" s="25" t="str">
        <x:v>Intermediary Asset Pricing</x:v>
      </x:c>
      <x:c r="M35" s="25" t="str">
        <x:v>Una referencia completa; apellido inicial, año y título concuerdan con el PDF, admitiendo diferencias de espacios y tipografía.</x:v>
      </x:c>
      <x:c r="N35" s="25" t="str">
        <x:v>He, Zhiguo and Arvind Krishnamurthy, “Intermediary Asset Pricing,” American Economic Review, 2013, 103 (2), 732– 70.</x:v>
      </x:c>
      <x:c r="O35" s="25" t="str">
        <x:v>saki_research/published_papers/bigio_schneider_liquidity_shocks_business_cycles_asset_prices.pdf</x:v>
      </x:c>
      <x:c r="P35" s="25" t="str">
        <x:v>Página PDF 37:
Epstein,LarryG.andStPanleyE.Zin,“Substitution,RiskAversion,andtheTemporalBehaviorofConsumptionand
AssetReturns:ATheoreticalFramework,”Econometrica,1989,57(4),937–969.
E
He,ZhiguoandArvindKrishnamurthy,“IntermediaryAssetPricing,”AmericanEconomicReview,2013,103(2),732–
70. C
JermanCn,UrbanJ.,“Assetpricinginproductioneconomies,”JournalofMonetaryEconomics,April1998,41(2),257–
275.
A
Kiyotaki,NobuhiroandJohnMoore,“Liquidity,businesscycles,andmonetarypolicy.,”PrincetonWorkingPaper,</x:v>
      </x:c>
    </x:row>
    <x:row r="36" ht="72" customHeight="1">
      <x:c r="A36" s="24" t="str">
        <x:v>C-024</x:v>
      </x:c>
      <x:c r="B36" s="24" t="str">
        <x:v>P05</x:v>
      </x:c>
      <x:c r="C36" s="24" t="n">
        <x:v>2</x:v>
      </x:c>
      <x:c r="D36" s="24" t="str">
        <x:v>50</x:v>
      </x:c>
      <x:c r="E36" s="24" t="str">
        <x:v>correcta</x:v>
      </x:c>
      <x:c r="F36" s="24" t="str">
        <x:v>sí</x:v>
      </x:c>
      <x:c r="G36" s="24" t="str">
        <x:v>sí</x:v>
      </x:c>
      <x:c r="H36" s="24" t="str">
        <x:v>sí</x:v>
      </x:c>
      <x:c r="I36" s="24" t="str">
        <x:f>IF(AND(E36="correcta",F36="sí",G36="sí",H36="sí"),"sí","no")</x:f>
        <x:v>sí</x:v>
      </x:c>
      <x:c r="J36" s="25" t="str">
        <x:v>Altinoglu</x:v>
      </x:c>
      <x:c r="K36" s="49" t="n">
        <x:v>2020</x:v>
      </x:c>
      <x:c r="L36" s="25" t="str">
        <x:v>The origins of aggregate fluctuations in a credit network economy</x:v>
      </x:c>
      <x:c r="M36" s="25" t="str">
        <x:v>Una referencia completa; apellido inicial, año y título concuerdan con el PDF, admitiendo diferencias de espacios y tipografía.</x:v>
      </x:c>
      <x:c r="N36" s="25" t="str">
        <x:v>Altinoglu, Levent. “The origins of aggregate fluctuations in a credit network economy.” Journal of Monetary Economics, (2020).</x:v>
      </x:c>
      <x:c r="O36" s="25" t="str">
        <x:v>saki_research/published_papers/bigio_lao_distortions_production_networks.pdf</x:v>
      </x:c>
      <x:c r="P36" s="25" t="str">
        <x:v>Página PDF 50:
References
Acemoglu, Daron, Vasco M. Carvalho, Asuman Ozdaglar, and Alireza Tahbaz-Salehi. “The
NetworkOriginsofAggregateFluctuations.” Econometrica,80(2012),1977–2016.
Altinoglu,Levent. “Theoriginsofaggregatefluctuationsinacreditnetworkeconomy.” Journal
ofMonetaryEconomics,(2020).
Antra`s,PolandAlonsodeGortari. “OntheGeographyofGlobalValueChains.”(2017).
Antra`s, Pol, Teresa C. Fort, and Felix Tintelnot. “The Margins of Global Sourcing: Theory and
EvidencefromU.S.Firms.” AmericanEconomicReview,107(2017),2514–64.
Asker, John, Allan Collard-Wexler, and Jan De Loecker. “Dynamic Inputs and Resource</x:v>
      </x:c>
    </x:row>
    <x:row r="37" ht="72" customHeight="1">
      <x:c r="A37" s="24" t="str">
        <x:v>C-025</x:v>
      </x:c>
      <x:c r="B37" s="24" t="str">
        <x:v>P05</x:v>
      </x:c>
      <x:c r="C37" s="24" t="n">
        <x:v>14</x:v>
      </x:c>
      <x:c r="D37" s="24" t="str">
        <x:v>51</x:v>
      </x:c>
      <x:c r="E37" s="24" t="str">
        <x:v>correcta</x:v>
      </x:c>
      <x:c r="F37" s="24" t="str">
        <x:v>sí</x:v>
      </x:c>
      <x:c r="G37" s="24" t="str">
        <x:v>sí</x:v>
      </x:c>
      <x:c r="H37" s="24" t="str">
        <x:v>sí</x:v>
      </x:c>
      <x:c r="I37" s="24" t="str">
        <x:f>IF(AND(E37="correcta",F37="sí",G37="sí",H37="sí"),"sí","no")</x:f>
        <x:v>sí</x:v>
      </x:c>
      <x:c r="J37" s="25" t="str">
        <x:v>Burress</x:v>
      </x:c>
      <x:c r="K37" s="49" t="n">
        <x:v>1994</x:v>
      </x:c>
      <x:c r="L37" s="25" t="str">
        <x:v>HomeomorphismbetweenLeontiefandCobb-Douglasinput-outputmodels</x:v>
      </x:c>
      <x:c r="M37" s="25" t="str">
        <x:v>Una referencia completa; apellido inicial, año y título concuerdan con el PDF, admitiendo diferencias de espacios y tipografía.</x:v>
      </x:c>
      <x:c r="N37" s="25" t="str">
        <x:v>Burress,David. “HomeomorphismbetweenLeontiefandCobb-Douglasinput-outputmodels.” Economics Letters, 44(1994), 49–53.</x:v>
      </x:c>
      <x:c r="O37" s="25" t="str">
        <x:v>saki_research/published_papers/bigio_lao_distortions_production_networks.pdf</x:v>
      </x:c>
      <x:c r="P37" s="25" t="str">
        <x:v>Página PDF 51:
105(2015),1883–1927.
Bigio, Saki and Jennifer La’O. “Replication Data for: ‘Distortions in Production Networks’.”
(2020). HarvardDataverse,doi: 10.7910/DVN/2DQ5KG.
Burress,David. “HomeomorphismbetweenLeontiefandCobb-Douglasinput-outputmodels.”
EconomicsLetters,44(1994),49–53.
Carvalho, Vasco and Xavier Gabaix. “The Great Diversification and Its Undoing.” American
EconomicReview,103(2013),1697–1727.
Carvalho,VascoM. “FromMicrotoMacroviaProductionNetworks.” TheJournalofEconomic
Perspectives,28(2014),23–47.</x:v>
      </x:c>
    </x:row>
    <x:row r="38" ht="72" customHeight="1">
      <x:c r="A38" s="24" t="str">
        <x:v>C-026</x:v>
      </x:c>
      <x:c r="B38" s="24" t="str">
        <x:v>P05</x:v>
      </x:c>
      <x:c r="C38" s="24" t="n">
        <x:v>17</x:v>
      </x:c>
      <x:c r="D38" s="24" t="str">
        <x:v>51</x:v>
      </x:c>
      <x:c r="E38" s="24" t="str">
        <x:v>correcta</x:v>
      </x:c>
      <x:c r="F38" s="24" t="str">
        <x:v>sí</x:v>
      </x:c>
      <x:c r="G38" s="24" t="str">
        <x:v>sí</x:v>
      </x:c>
      <x:c r="H38" s="24" t="str">
        <x:v>sí</x:v>
      </x:c>
      <x:c r="I38" s="24" t="str">
        <x:f>IF(AND(E38="correcta",F38="sí",G38="sí",H38="sí"),"sí","no")</x:f>
        <x:v>sí</x:v>
      </x:c>
      <x:c r="J38" s="25" t="str">
        <x:v>Carvalho</x:v>
      </x:c>
      <x:c r="K38" s="49" t="n">
        <x:v>2019</x:v>
      </x:c>
      <x:c r="L38" s="25" t="str">
        <x:v>ProductionNetworks: APrimer</x:v>
      </x:c>
      <x:c r="M38" s="25" t="str">
        <x:v>Una referencia completa; apellido inicial, año y título concuerdan con el PDF, admitiendo diferencias de espacios y tipografía.</x:v>
      </x:c>
      <x:c r="N38" s="25" t="str">
        <x:v>Carvalho,VascoM.andAlirezaTahbaz-Salehi. “ProductionNetworks: APrimer.” AnnualReview of Economics, 11(2019), 635–663.</x:v>
      </x:c>
      <x:c r="O38" s="25" t="str">
        <x:v>saki_research/published_papers/bigio_lao_distortions_production_networks.pdf</x:v>
      </x:c>
      <x:c r="P38" s="25" t="str">
        <x:v>Página PDF 51:
EconomicReview,103(2013),1697–1727.
Carvalho,VascoM. “FromMicrotoMacroviaProductionNetworks.” TheJournalofEconomic
Perspectives,28(2014),23–47.
Carvalho,VascoM.andAlirezaTahbaz-Salehi.“ProductionNetworks:APrimer.”AnnualReview
ofEconomics,11(2019),635–663.
Chari, V. V., Patrick J. Kehoe, and Ellen R. McGrattan. “Business Cycle Accounting.”
Econometrica,75(2007),781–836.
Ciccone, Antonio. “Input Chains and Industrialization.” The Review of Economic Studies,
69(2002),565–587.</x:v>
      </x:c>
    </x:row>
    <x:row r="39" ht="72" customHeight="1">
      <x:c r="A39" s="24" t="str">
        <x:v>C-027</x:v>
      </x:c>
      <x:c r="B39" s="24" t="str">
        <x:v>P05</x:v>
      </x:c>
      <x:c r="C39" s="24" t="n">
        <x:v>21</x:v>
      </x:c>
      <x:c r="D39" s="24" t="str">
        <x:v>52</x:v>
      </x:c>
      <x:c r="E39" s="24" t="str">
        <x:v>correcta</x:v>
      </x:c>
      <x:c r="F39" s="24" t="str">
        <x:v>no</x:v>
      </x:c>
      <x:c r="G39" s="24" t="str">
        <x:v>sí</x:v>
      </x:c>
      <x:c r="H39" s="24" t="str">
        <x:v>sí</x:v>
      </x:c>
      <x:c r="I39" s="24" t="str">
        <x:f>IF(AND(E39="correcta",F39="sí",G39="sí",H39="sí"),"sí","no")</x:f>
        <x:v>no</x:v>
      </x:c>
      <x:c r="J39" s="25" t="str">
        <x:v>Costello</x:v>
      </x:c>
      <x:c r="K39" s="49" t="n">
        <x:v>2018</x:v>
      </x:c>
      <x:c r="L39" s="25" t="str">
        <x:v>TheMicroOriginsofInternationalBusiness-CycleComovement</x:v>
      </x:c>
      <x:c r="M39" s="25" t="str">
        <x:v>La raya remite a Julian di Giovanni y coautores; se heredó Costello incorrectamente.</x:v>
      </x:c>
      <x:c r="N39" s="25" t="str">
        <x:v>———. “TheMicroOriginsofInternationalBusiness-CycleComovement.” AmericanEconomic Review, 108(2018), 82–108.</x:v>
      </x:c>
      <x:c r="O39" s="25" t="str">
        <x:v>saki_research/published_papers/bigio_lao_distortions_production_networks.pdf</x:v>
      </x:c>
      <x:c r="P39" s="25" t="str">
        <x:v>Página PDF 52:
di Giovanni, Julian, Andrei A. Levchenko, and Isabelle Mejean. “Firms, Destinations, and
AggregateFluctuations.” Econometrica,82(2014),1303–1340.
———. “TheMicroOriginsofInternationalBusiness-CycleComovement.” AmericanEconomic
Review,108(2018),82–108.
Diamond, Peter A. and James A. Mirrlees. “Optimal Taxation and Public Production I:
ProductionEfficiency.” TheAmericanEconomicReview,61(1971),8–27.
Dupor, Bill. “Aggregation and irrelevance in multi-sector models.” Journal of Monetary
Economics,43(1999),391–409.</x:v>
      </x:c>
    </x:row>
    <x:row r="40" ht="72" customHeight="1">
      <x:c r="A40" s="24" t="str">
        <x:v>C-028</x:v>
      </x:c>
      <x:c r="B40" s="24" t="str">
        <x:v>P05</x:v>
      </x:c>
      <x:c r="C40" s="24" t="n">
        <x:v>34</x:v>
      </x:c>
      <x:c r="D40" s="24" t="str">
        <x:v>53</x:v>
      </x:c>
      <x:c r="E40" s="24" t="str">
        <x:v>correcta</x:v>
      </x:c>
      <x:c r="F40" s="24" t="str">
        <x:v>sí</x:v>
      </x:c>
      <x:c r="G40" s="24" t="str">
        <x:v>sí</x:v>
      </x:c>
      <x:c r="H40" s="24" t="str">
        <x:v>sí</x:v>
      </x:c>
      <x:c r="I40" s="24" t="str">
        <x:f>IF(AND(E40="correcta",F40="sí",G40="sí",H40="sí"),"sí","no")</x:f>
        <x:v>sí</x:v>
      </x:c>
      <x:c r="J40" s="25" t="str">
        <x:v>Jones</x:v>
      </x:c>
      <x:c r="K40" s="49" t="n">
        <x:v>2011</x:v>
      </x:c>
      <x:c r="L40" s="25" t="str">
        <x:v>Intermediate Goods and Weak Links in the Theory of Economic Development</x:v>
      </x:c>
      <x:c r="M40" s="25" t="str">
        <x:v>Una referencia completa; apellido inicial, año y título concuerdan con el PDF, admitiendo diferencias de espacios y tipografía.</x:v>
      </x:c>
      <x:c r="N40" s="25" t="str">
        <x:v>Jones, Charles I. “Intermediate Goods and Weak Links in the Theory of Economic Development.” American Economic Journal: Macroeconomics, 3(2011), pp. 1–28.</x:v>
      </x:c>
      <x:c r="O40" s="25" t="str">
        <x:v>saki_research/published_papers/bigio_lao_distortions_production_networks.pdf</x:v>
      </x:c>
      <x:c r="P40" s="25" t="str">
        <x:v>Página PDF 53:
Jones, Charles I. “Intermediate Goods and Weak Links in the Theory of Economic
Development.” AmericanEconomicJournal: Macroeconomics,3(2011),pp.1–28.
———. “Misallocation, Economic Growth, and Input-Output Economies.” In “Advances in
EconomicsandEconometrics,TenthWorldCongress,VolumeII,”CambridgeUniversityPress
(2013).
Karabarbounis, Loukas. “The Labor Wedge: MRS vs. MPN.” Review of Economic Dynamics,
17(2014),206–223.
Kiyotaki, Nobuhiro andJohn Moore. “CreditCycles.” Journal ofPolitical Economy, 105(1997),</x:v>
      </x:c>
    </x:row>
    <x:row r="41" ht="72" customHeight="1">
      <x:c r="A41" s="24" t="str">
        <x:v>C-029</x:v>
      </x:c>
      <x:c r="B41" s="24" t="str">
        <x:v>P06</x:v>
      </x:c>
      <x:c r="C41" s="24" t="n">
        <x:v>5</x:v>
      </x:c>
      <x:c r="D41" s="24" t="str">
        <x:v>39</x:v>
      </x:c>
      <x:c r="E41" s="24" t="str">
        <x:v>correcta</x:v>
      </x:c>
      <x:c r="F41" s="24" t="str">
        <x:v>sí</x:v>
      </x:c>
      <x:c r="G41" s="24" t="str">
        <x:v>sí</x:v>
      </x:c>
      <x:c r="H41" s="24" t="str">
        <x:v>no</x:v>
      </x:c>
      <x:c r="I41" s="24" t="str">
        <x:f>IF(AND(E41="correcta",F41="sí",G41="sí",H41="sí"),"sí","no")</x:f>
        <x:v>no</x:v>
      </x:c>
      <x:c r="J41" s="25" t="str">
        <x:v>Bernanke</x:v>
      </x:c>
      <x:c r="K41" s="49" t="n">
        <x:v>1989</x:v>
      </x:c>
      <x:c r="L41" s="25"/>
      <x:c r="M41" s="25" t="str">
        <x:v>La referencia está conservada en entry, pero el campo title está vacío.</x:v>
      </x:c>
      <x:c r="N41" s="25" t="str">
        <x:v>Bernanke,BenandGertler,Mark. Agencycosts,networthandbusinessfluctuations. The American Economic Review, 79(1):14–31, March 1989.</x:v>
      </x:c>
      <x:c r="O41" s="25" t="str">
        <x:v>saki_research/published_papers/bigio_d_anvernas_financial_risk_capacity.pdf</x:v>
      </x:c>
      <x:c r="P41" s="25" t="str">
        <x:v>Página PDF 39:
King, 1873.
Begenau, Juliane. Capital requirements, risk choice, and liquidity provision in a
business-cycle model. Journal of Financial Economics, 2019.
Bernanke, BenandGertler, Mark. Agencycosts, networthandbusinessfluctuations.
The American Economic Review, 79(1):14–31, March 1989.
Bernanke, Ben, Gertler, Mark, and Gilchrist, Simon. The financial accelerator and
the flight to quality. Technical report, National Bureau of Economic Research, 1994.
Bigio, Saki. Endogenous liquidity and the business cycle. American Economic Re-
view, 105(6):1883–1927, 2015.</x:v>
      </x:c>
    </x:row>
    <x:row r="42" ht="72" customHeight="1">
      <x:c r="A42" s="24" t="str">
        <x:v>C-030</x:v>
      </x:c>
      <x:c r="B42" s="24" t="str">
        <x:v>P06</x:v>
      </x:c>
      <x:c r="C42" s="24" t="n">
        <x:v>11</x:v>
      </x:c>
      <x:c r="D42" s="24" t="str">
        <x:v>39</x:v>
      </x:c>
      <x:c r="E42" s="24" t="str">
        <x:v>correcta</x:v>
      </x:c>
      <x:c r="F42" s="24" t="str">
        <x:v>sí</x:v>
      </x:c>
      <x:c r="G42" s="24" t="str">
        <x:v>sí</x:v>
      </x:c>
      <x:c r="H42" s="24" t="str">
        <x:v>no</x:v>
      </x:c>
      <x:c r="I42" s="24" t="str">
        <x:f>IF(AND(E42="correcta",F42="sí",G42="sí",H42="sí"),"sí","no")</x:f>
        <x:v>no</x:v>
      </x:c>
      <x:c r="J42" s="25" t="str">
        <x:v>Boyd</x:v>
      </x:c>
      <x:c r="K42" s="49" t="n">
        <x:v>1986</x:v>
      </x:c>
      <x:c r="L42" s="25"/>
      <x:c r="M42" s="25" t="str">
        <x:v>La referencia está conservada en entry, pero el campo title está vacío.</x:v>
      </x:c>
      <x:c r="N42" s="25" t="str">
        <x:v>Boyd, John H and Prescott, Edward C. Financial intermediary-coalitions. Journal of Economic theory, 38(2):211–232, 1986.</x:v>
      </x:c>
      <x:c r="O42" s="25" t="str">
        <x:v>saki_research/published_papers/bigio_d_anvernas_financial_risk_capacity.pdf</x:v>
      </x:c>
      <x:c r="P42" s="25" t="str">
        <x:v>Página PDF 39:
report, Working Paper, 2016.
Bloom, Nicholas. The impact of uncertainty shocks. econometrica, 77(3):623–685,
2009.
Boyd, John H and Prescott, Edward C. Financial intermediary-coalitions. Journal
of Economic theory, 38(2):211–232, 1986.
Brunnermeier, Markus K and Pedersen, Lasse Heje. Market liquidity and funding
liquidity. The review of financial studies, 22(6):2201–2238, 2008.
39</x:v>
      </x:c>
    </x:row>
    <x:row r="43" ht="72" customHeight="1">
      <x:c r="A43" s="24" t="str">
        <x:v>C-031</x:v>
      </x:c>
      <x:c r="B43" s="24" t="str">
        <x:v>P06</x:v>
      </x:c>
      <x:c r="C43" s="24" t="n">
        <x:v>44</x:v>
      </x:c>
      <x:c r="D43" s="24" t="str">
        <x:v>42</x:v>
      </x:c>
      <x:c r="E43" s="24" t="str">
        <x:v>correcta</x:v>
      </x:c>
      <x:c r="F43" s="24" t="str">
        <x:v>sí</x:v>
      </x:c>
      <x:c r="G43" s="24" t="str">
        <x:v>sí</x:v>
      </x:c>
      <x:c r="H43" s="24" t="str">
        <x:v>no</x:v>
      </x:c>
      <x:c r="I43" s="24" t="str">
        <x:f>IF(AND(E43="correcta",F43="sí",G43="sí",H43="sí"),"sí","no")</x:f>
        <x:v>no</x:v>
      </x:c>
      <x:c r="J43" s="25" t="str">
        <x:v>Kiyotaki</x:v>
      </x:c>
      <x:c r="K43" s="49" t="n">
        <x:v>2019</x:v>
      </x:c>
      <x:c r="L43" s="25"/>
      <x:c r="M43" s="25" t="str">
        <x:v>La referencia está conservada en entry, pero el campo title está vacío.</x:v>
      </x:c>
      <x:c r="N43" s="25" t="str">
        <x:v>Kiyotaki, Nobuhiro and Moore, John. Liquidity, business cycles, and monetary policy. Journal of Political Economy, 127(6):000–000, 2019.</x:v>
      </x:c>
      <x:c r="O43" s="25" t="str">
        <x:v>saki_research/published_papers/bigio_d_anvernas_financial_risk_capacity.pdf</x:v>
      </x:c>
      <x:c r="P43" s="25" t="str">
        <x:v>Página PDF 42:
Finance, 60(3):1129–1165, 2005.
Holmstrom, Bengt and Tirole, Jean. Financial intermediation, loanable funds, and
the real sector. the Quarterly Journal of economics, 112(3):663–691, 1997.
Kiyotaki, Nobuhiro and Moore, John. Liquidity, business cycles, and monetary
policy. Journal of Political Economy, 127(6):000–000, 2019.
Kurlat, Pablo. Lemons markets and the transmission of aggregate shocks. American
Economic Review, 103(4):1463–89, 2013.
Leland, Hayne E and Pyle, David H. Informational asymmetries, financial structure,
and financial intermediation. The journal of Finance, 32(2):371–387, 1977.</x:v>
      </x:c>
    </x:row>
    <x:row r="44" ht="72" customHeight="1">
      <x:c r="A44" s="24" t="str">
        <x:v>C-032</x:v>
      </x:c>
      <x:c r="B44" s="24" t="str">
        <x:v>P07</x:v>
      </x:c>
      <x:c r="C44" s="24" t="n">
        <x:v>28</x:v>
      </x:c>
      <x:c r="D44" s="24" t="str">
        <x:v>46</x:v>
      </x:c>
      <x:c r="E44" s="24" t="str">
        <x:v>correcta</x:v>
      </x:c>
      <x:c r="F44" s="24" t="str">
        <x:v>sí</x:v>
      </x:c>
      <x:c r="G44" s="24" t="str">
        <x:v>sí</x:v>
      </x:c>
      <x:c r="H44" s="24" t="str">
        <x:v>sí</x:v>
      </x:c>
      <x:c r="I44" s="24" t="str">
        <x:f>IF(AND(E44="correcta",F44="sí",G44="sí",H44="sí"),"sí","no")</x:f>
        <x:v>sí</x:v>
      </x:c>
      <x:c r="J44" s="25" t="str">
        <x:v>Del Negro</x:v>
      </x:c>
      <x:c r="K44" s="49" t="n">
        <x:v>2017</x:v>
      </x:c>
      <x:c r="L44" s="25" t="str">
        <x:v>The Great Escape? A Quantitative Evaluation of the Fed’s Liquidity Facilities</x:v>
      </x:c>
      <x:c r="M44" s="25" t="str">
        <x:v>Una referencia completa; apellido inicial, año y título concuerdan con el PDF, admitiendo diferencias de espacios y tipografía.</x:v>
      </x:c>
      <x:c r="N44" s="25" t="str">
        <x:v>Del Negro, M., G. Eggertsson, A. Ferrero, and N. Kiyotaki (2017): “The Great Escape? A Quantitative Evaluation of the Fed’s Liquidity Facilities,” American Economic Review, 107, 824–857.</x:v>
      </x:c>
      <x:c r="O44" s="25" t="str">
        <x:v>saki_research/published_papers/bianchi_bigio_banks_liquidity_management_monetary_policy.pdf</x:v>
      </x:c>
      <x:c r="P44" s="25" t="str">
        <x:v>Página PDF 46:
(2018): “Money Markets, Collateral and Mone-
tary Policy,” NBER Working Paper 253190.
Del Negro, M., G. Eggertsson, A. Ferrero, and N. Kiyotaki
(2017): “The Great
Escape? A Quantitative Evaluation of the Fed’s Liquidity Facilities,” American Economic
Review, 107, 824–857.
Diamond, D. W. (1984): “Financial Intermediation and Delegated Monitoring,” The Review
of Economic Studies, 51, 393–414.
Diamond, D. W. and P. H. Dybvig</x:v>
      </x:c>
    </x:row>
    <x:row r="45" ht="72" customHeight="1">
      <x:c r="A45" s="24" t="str">
        <x:v>C-033</x:v>
      </x:c>
      <x:c r="B45" s="24" t="str">
        <x:v>P07</x:v>
      </x:c>
      <x:c r="C45" s="24" t="n">
        <x:v>31</x:v>
      </x:c>
      <x:c r="D45" s="24" t="str">
        <x:v>46</x:v>
      </x:c>
      <x:c r="E45" s="24" t="str">
        <x:v>correcta</x:v>
      </x:c>
      <x:c r="F45" s="24" t="str">
        <x:v>sí</x:v>
      </x:c>
      <x:c r="G45" s="24" t="str">
        <x:v>sí</x:v>
      </x:c>
      <x:c r="H45" s="24" t="str">
        <x:v>sí</x:v>
      </x:c>
      <x:c r="I45" s="24" t="str">
        <x:f>IF(AND(E45="correcta",F45="sí",G45="sí",H45="sí"),"sí","no")</x:f>
        <x:v>sí</x:v>
      </x:c>
      <x:c r="J45" s="25" t="str">
        <x:v>Drechsler</x:v>
      </x:c>
      <x:c r="K45" s="49" t="n">
        <x:v>2017</x:v>
      </x:c>
      <x:c r="L45" s="25" t="str">
        <x:v>The Deposits Channel of Monetary Policy</x:v>
      </x:c>
      <x:c r="M45" s="25" t="str">
        <x:v>Una referencia completa; apellido inicial, año y título concuerdan con el PDF, admitiendo diferencias de espacios y tipografía.</x:v>
      </x:c>
      <x:c r="N45" s="25" t="str">
        <x:v>Drechsler, I., A. Savov, and P. Schnabl (2017): “The Deposits Channel of Monetary Policy,” The Quarterly Journal of Economics, 132, 1819–1876.</x:v>
      </x:c>
      <x:c r="O45" s="25" t="str">
        <x:v>saki_research/published_papers/bianchi_bigio_banks_liquidity_management_monetary_policy.pdf</x:v>
      </x:c>
      <x:c r="P45" s="25" t="str">
        <x:v>Página PDF 46:
(1983): “Bank Runs, Deposit Insurance, and Liquidity,”
Journal of Political Economy, 91, 401–419.
Drechsler, I., A. Savov, and P. Schnabl
(2017): “The Deposits Channel of Monetary
Policy,” The Quarterly Journal of Economics, 132, 1819–1876.
Eggertsson, G. B., R. E. Juelsrud, L. H. Summers, and E. G. Wold
(2019): “Negative
Nominal Interest Rates and the Bank Lending Channel,” NBER Working Paper 254160.
Ennis, H. M. (2018): “A simple general equilibrium model of large excess reserves,” Journal of</x:v>
      </x:c>
    </x:row>
    <x:row r="46" ht="72" customHeight="1">
      <x:c r="A46" s="24" t="str">
        <x:v>C-034</x:v>
      </x:c>
      <x:c r="B46" s="24" t="str">
        <x:v>P07</x:v>
      </x:c>
      <x:c r="C46" s="24" t="n">
        <x:v>34</x:v>
      </x:c>
      <x:c r="D46" s="24" t="str">
        <x:v>47</x:v>
      </x:c>
      <x:c r="E46" s="24" t="str">
        <x:v>correcta</x:v>
      </x:c>
      <x:c r="F46" s="24" t="str">
        <x:v>sí</x:v>
      </x:c>
      <x:c r="G46" s="24" t="str">
        <x:v>sí</x:v>
      </x:c>
      <x:c r="H46" s="24" t="str">
        <x:v>sí</x:v>
      </x:c>
      <x:c r="I46" s="24" t="str">
        <x:f>IF(AND(E46="correcta",F46="sí",G46="sí",H46="sí"),"sí","no")</x:f>
        <x:v>sí</x:v>
      </x:c>
      <x:c r="J46" s="25" t="str">
        <x:v>Ennis</x:v>
      </x:c>
      <x:c r="K46" s="49" t="n">
        <x:v>2008</x:v>
      </x:c>
      <x:c r="L46" s="25" t="str">
        <x:v>Understanding monetary policy implementation</x:v>
      </x:c>
      <x:c r="M46" s="25" t="str">
        <x:v>Una referencia completa; apellido inicial, año y título concuerdan con el PDF, admitiendo diferencias de espacios y tipografía.</x:v>
      </x:c>
      <x:c r="N46" s="25" t="str">
        <x:v>Ennis, H. M. and T. Keister (2008): “Understanding monetary policy implementation,” Federal Reserve Bank of Richmond Economic Quarterly, 94, 235–263.</x:v>
      </x:c>
      <x:c r="O46" s="25" t="str">
        <x:v>saki_research/published_papers/bianchi_bigio_banks_liquidity_management_monetary_policy.pdf</x:v>
      </x:c>
      <x:c r="P46" s="25" t="str">
        <x:v>Página PDF 47:
Ennis, H. M. and T. Keister
(2008): “Understanding monetary policy implementation,”
Federal Reserve Bank of Richmond Economic Quarterly, 94, 235–263.
Ennis, H. M. and J. A. Weinberg (2007): “Interest on reserves and daylight credit,” FRB
Richmond Economic Quarterly, 93, 111–142.
Freeman, S. (1996): “The Payments System, Liquidity, and Rediscounting,” The American
Economic Review, 86, 1126–1138.
Friedman, B. M. and K. N. Kuttner</x:v>
      </x:c>
    </x:row>
    <x:row r="47" ht="72" customHeight="1">
      <x:c r="A47" s="24" t="str">
        <x:v>C-035</x:v>
      </x:c>
      <x:c r="B47" s="24" t="str">
        <x:v>P07</x:v>
      </x:c>
      <x:c r="C47" s="24" t="n">
        <x:v>45</x:v>
      </x:c>
      <x:c r="D47" s="24" t="str">
        <x:v>47</x:v>
      </x:c>
      <x:c r="E47" s="24" t="str">
        <x:v>correcta</x:v>
      </x:c>
      <x:c r="F47" s="24" t="str">
        <x:v>sí</x:v>
      </x:c>
      <x:c r="G47" s="24" t="str">
        <x:v>sí</x:v>
      </x:c>
      <x:c r="H47" s="24" t="str">
        <x:v>sí</x:v>
      </x:c>
      <x:c r="I47" s="24" t="str">
        <x:f>IF(AND(E47="correcta",F47="sí",G47="sí",H47="sí"),"sí","no")</x:f>
        <x:v>sí</x:v>
      </x:c>
      <x:c r="J47" s="25" t="str">
        <x:v>Gilchrist</x:v>
      </x:c>
      <x:c r="K47" s="49" t="n">
        <x:v>2009</x:v>
      </x:c>
      <x:c r="L47" s="25" t="str">
        <x:v>CreditMarketShocksandEconomic Fluctuations: Evidence from Corporate Bond and Stock Markets</x:v>
      </x:c>
      <x:c r="M47" s="25" t="str">
        <x:v>Una referencia completa; apellido inicial, año y título concuerdan con el PDF, admitiendo diferencias de espacios y tipografía.</x:v>
      </x:c>
      <x:c r="N47" s="25" t="str">
        <x:v>Gilchrist,S.,V.Yankov,andE.Zakrajsek(2009): “CreditMarketShocksandEconomic Fluctuations: Evidence from Corporate Bond and Stock Markets,” Journal of Monetary Economics, 56, 471 – 493.</x:v>
      </x:c>
      <x:c r="O47" s="25" t="str">
        <x:v>saki_research/published_papers/bianchi_bigio_banks_liquidity_management_monetary_policy.pdf</x:v>
      </x:c>
      <x:c r="P47" s="25" t="str">
        <x:v>Página PDF 47:
Runs in Macroeconomic Modeling of Financial Crises,” in Handbook of Macroeconomics, ed.
by J. B. Taylor and H. Uhlig, Elsevier, vol. 2, 1345–1425.
Gilchrist, S., V. Yankov, and E. Zakrajsek
(2009): “CreditMarketShocksandEconomic
Fluctuations: Evidence from Corporate Bond and Stock Markets,” Journal of Monetary Eco-
nomics, 56, 471 – 493.
Gilchrist, S. and E. Zakrajˇsek
(2012): “Credit Spreads and Business Cycle Fluctuations,”
American Economic Review, 102, 1692–1720.</x:v>
      </x:c>
    </x:row>
    <x:row r="48" ht="72" customHeight="1">
      <x:c r="A48" s="24" t="str">
        <x:v>C-036</x:v>
      </x:c>
      <x:c r="B48" s="24" t="str">
        <x:v>P07</x:v>
      </x:c>
      <x:c r="C48" s="24" t="n">
        <x:v>55</x:v>
      </x:c>
      <x:c r="D48" s="24" t="str">
        <x:v>48</x:v>
      </x:c>
      <x:c r="E48" s="24" t="str">
        <x:v>correcta</x:v>
      </x:c>
      <x:c r="F48" s="24" t="str">
        <x:v>sí</x:v>
      </x:c>
      <x:c r="G48" s="24" t="str">
        <x:v>sí</x:v>
      </x:c>
      <x:c r="H48" s="24" t="str">
        <x:v>sí</x:v>
      </x:c>
      <x:c r="I48" s="24" t="str">
        <x:f>IF(AND(E48="correcta",F48="sí",G48="sí",H48="sí"),"sí","no")</x:f>
        <x:v>sí</x:v>
      </x:c>
      <x:c r="J48" s="25" t="str">
        <x:v>Kiyotaki</x:v>
      </x:c>
      <x:c r="K48" s="49" t="n">
        <x:v>1989</x:v>
      </x:c>
      <x:c r="L48" s="25" t="str">
        <x:v>On Money as a Medium of Exchange</x:v>
      </x:c>
      <x:c r="M48" s="25" t="str">
        <x:v>Una referencia completa; apellido inicial, año y título concuerdan con el PDF, admitiendo diferencias de espacios y tipografía.</x:v>
      </x:c>
      <x:c r="N48" s="25" t="str">
        <x:v>Kiyotaki, N. and R. Wright (1989): “On Money as a Medium of Exchange,” Journal of Political Economy, 97, 927–954.</x:v>
      </x:c>
      <x:c r="O48" s="25" t="str">
        <x:v>saki_research/published_papers/bianchi_bigio_banks_liquidity_management_monetary_policy.pdf</x:v>
      </x:c>
      <x:c r="P48" s="25" t="str">
        <x:v>Página PDF 48:
serves?” Federal Reserve Bank of New York Staff Report no. 380.
Kiyotaki, N. and J. Moore (1997): “Credit Cycles,” Journal of Political Economy, 105,
211–248.
Kiyotaki, N. and R. Wright (1989): “On Money as a Medium of Exchange,” Journal of
Political Economy, 97, 927–954.
Krishnamurthy, A. and A. Vissing-Jørgensen
(2012): “The Aggregate Demand for Trea-
sury Debt,” Journal of Political Economy, 120, 233–267.
Lagos, R., G. Rocheteau, and R. Wright</x:v>
      </x:c>
    </x:row>
    <x:row r="49" ht="72" customHeight="1">
      <x:c r="A49" s="24" t="str">
        <x:v>C-037</x:v>
      </x:c>
      <x:c r="B49" s="24" t="str">
        <x:v>P07</x:v>
      </x:c>
      <x:c r="C49" s="24" t="n">
        <x:v>57</x:v>
      </x:c>
      <x:c r="D49" s="24" t="str">
        <x:v>48</x:v>
      </x:c>
      <x:c r="E49" s="24" t="str">
        <x:v>correcta</x:v>
      </x:c>
      <x:c r="F49" s="24" t="str">
        <x:v>sí</x:v>
      </x:c>
      <x:c r="G49" s="24" t="str">
        <x:v>sí</x:v>
      </x:c>
      <x:c r="H49" s="24" t="str">
        <x:v>sí</x:v>
      </x:c>
      <x:c r="I49" s="24" t="str">
        <x:f>IF(AND(E49="correcta",F49="sí",G49="sí",H49="sí"),"sí","no")</x:f>
        <x:v>sí</x:v>
      </x:c>
      <x:c r="J49" s="25" t="str">
        <x:v>Lagos</x:v>
      </x:c>
      <x:c r="K49" s="49" t="n">
        <x:v>2017</x:v>
      </x:c>
      <x:c r="L49" s="25" t="str">
        <x:v>Liquidity: A New Monetarist Perspective</x:v>
      </x:c>
      <x:c r="M49" s="25" t="str">
        <x:v>Una referencia completa; apellido inicial, año y título concuerdan con el PDF, admitiendo diferencias de espacios y tipografía.</x:v>
      </x:c>
      <x:c r="N49" s="25" t="str">
        <x:v>Lagos, R., G. Rocheteau, and R. Wright (2017): “Liquidity: A New Monetarist Perspective,” Journal of Economic Literature, 55, 371–440.</x:v>
      </x:c>
      <x:c r="O49" s="25" t="str">
        <x:v>saki_research/published_papers/bianchi_bigio_banks_liquidity_management_monetary_policy.pdf</x:v>
      </x:c>
      <x:c r="P49" s="25" t="str">
        <x:v>Página PDF 48:
(2012): “The Aggregate Demand for Trea-
sury Debt,” Journal of Political Economy, 120, 233–267.
Lagos, R., G. Rocheteau, and R. Wright
(2017): “Liquidity: A New Monetarist Per-
spective,” Journal of Economic Literature, 55, 371–440.
Lagos, R. and R. Wright
(2005): “Unified Framework for Monetary Theory and Policy
Analysis,” Journal of Political Economy, 113, 463–484.
Lester, B., A. Postlewaite, and R. Wright</x:v>
      </x:c>
    </x:row>
    <x:row r="50" ht="72" customHeight="1">
      <x:c r="A50" s="24" t="str">
        <x:v>C-038</x:v>
      </x:c>
      <x:c r="B50" s="24" t="str">
        <x:v>P07</x:v>
      </x:c>
      <x:c r="C50" s="24" t="n">
        <x:v>58</x:v>
      </x:c>
      <x:c r="D50" s="24" t="str">
        <x:v>48</x:v>
      </x:c>
      <x:c r="E50" s="24" t="str">
        <x:v>correcta</x:v>
      </x:c>
      <x:c r="F50" s="24" t="str">
        <x:v>sí</x:v>
      </x:c>
      <x:c r="G50" s="24" t="str">
        <x:v>sí</x:v>
      </x:c>
      <x:c r="H50" s="24" t="str">
        <x:v>sí</x:v>
      </x:c>
      <x:c r="I50" s="24" t="str">
        <x:f>IF(AND(E50="correcta",F50="sí",G50="sí",H50="sí"),"sí","no")</x:f>
        <x:v>sí</x:v>
      </x:c>
      <x:c r="J50" s="25" t="str">
        <x:v>Lagos</x:v>
      </x:c>
      <x:c r="K50" s="49" t="n">
        <x:v>2005</x:v>
      </x:c>
      <x:c r="L50" s="25" t="str">
        <x:v>Unified Framework for Monetary Theory and Policy Analysis</x:v>
      </x:c>
      <x:c r="M50" s="25" t="str">
        <x:v>Una referencia completa; apellido inicial, año y título concuerdan con el PDF, admitiendo diferencias de espacios y tipografía.</x:v>
      </x:c>
      <x:c r="N50" s="25" t="str">
        <x:v>Lagos, R. and R. Wright (2005): “Unified Framework for Monetary Theory and Policy Analysis,” Journal of Political Economy, 113, 463–484.</x:v>
      </x:c>
      <x:c r="O50" s="25" t="str">
        <x:v>saki_research/published_papers/bianchi_bigio_banks_liquidity_management_monetary_policy.pdf</x:v>
      </x:c>
      <x:c r="P50" s="25" t="str">
        <x:v>Página PDF 48:
(2017): “Liquidity: A New Monetarist Per-
spective,” Journal of Economic Literature, 55, 371–440.
Lagos, R. and R. Wright
(2005): “Unified Framework for Monetary Theory and Policy
Analysis,” Journal of Political Economy, 113, 463–484.
Lester, B., A. Postlewaite, and R. Wright
(2012): “Information, Liquidity, AssetPrices,
and Monetary Policy,” The Review of Economic Studies, 79, 1209–1238.
Logan, L. K.</x:v>
      </x:c>
    </x:row>
    <x:row r="51" ht="72" customHeight="1">
      <x:c r="A51" s="24" t="str">
        <x:v>C-039</x:v>
      </x:c>
      <x:c r="B51" s="24" t="str">
        <x:v>P07</x:v>
      </x:c>
      <x:c r="C51" s="24" t="n">
        <x:v>68</x:v>
      </x:c>
      <x:c r="D51" s="24" t="str">
        <x:v>49</x:v>
      </x:c>
      <x:c r="E51" s="24" t="str">
        <x:v>correcta</x:v>
      </x:c>
      <x:c r="F51" s="24" t="str">
        <x:v>sí</x:v>
      </x:c>
      <x:c r="G51" s="24" t="str">
        <x:v>sí</x:v>
      </x:c>
      <x:c r="H51" s="24" t="str">
        <x:v>no</x:v>
      </x:c>
      <x:c r="I51" s="24" t="str">
        <x:f>IF(AND(E51="correcta",F51="sí",G51="sí",H51="sí"),"sí","no")</x:f>
        <x:v>no</x:v>
      </x:c>
      <x:c r="J51" s="25" t="str">
        <x:v>Rocheteau</x:v>
      </x:c>
      <x:c r="K51" s="49" t="n">
        <x:v>2017</x:v>
      </x:c>
      <x:c r="L51" s="25" t="str">
        <x:v>Money, Payments, and Liquidity, MIT Press, second edition ed</x:v>
      </x:c>
      <x:c r="M51" s="25" t="str">
        <x:v>El título extraído incluye editorial y edición.</x:v>
      </x:c>
      <x:c r="N51" s="25" t="str">
        <x:v>Rocheteau, G. and E. Nosal (2017): Money, Payments, and Liquidity, MIT Press, second edition ed.</x:v>
      </x:c>
      <x:c r="O51" s="25" t="str">
        <x:v>saki_research/published_papers/bianchi_bigio_banks_liquidity_management_monetary_policy.pdf</x:v>
      </x:c>
      <x:c r="P51" s="25" t="str">
        <x:v>Página PDF 49:
Rocheteau, G. and E. Nosal (2017): Money, Payments, and Liquidity, MIT Press, second
edition ed.
Smith, B. D. (2002): “Monetary policy, banking crises, and the Friedman rule,” American
Economic Review, 92, 128–134.
Stein, J. C. (2012): “Monetary Policy as Financial Stability Regulation,” Quarterly Journal
of Economics, 127, 57–95.
Stigum, M. and A. Crescenzi (2007): Stigum’s Money Market, McGraw-Hill Education,
fourth ed.</x:v>
      </x:c>
    </x:row>
    <x:row r="52" ht="72" customHeight="1">
      <x:c r="A52" s="24" t="str">
        <x:v>C-040</x:v>
      </x:c>
      <x:c r="B52" s="24" t="str">
        <x:v>P08</x:v>
      </x:c>
      <x:c r="C52" s="24" t="n">
        <x:v>21</x:v>
      </x:c>
      <x:c r="D52" s="24" t="str">
        <x:v>44</x:v>
      </x:c>
      <x:c r="E52" s="24" t="str">
        <x:v>correcta</x:v>
      </x:c>
      <x:c r="F52" s="24" t="str">
        <x:v>sí</x:v>
      </x:c>
      <x:c r="G52" s="24" t="str">
        <x:v>sí</x:v>
      </x:c>
      <x:c r="H52" s="24" t="str">
        <x:v>sí</x:v>
      </x:c>
      <x:c r="I52" s="24" t="str">
        <x:f>IF(AND(E52="correcta",F52="sí",G52="sí",H52="sí"),"sí","no")</x:f>
        <x:v>sí</x:v>
      </x:c>
      <x:c r="J52" s="25" t="str">
        <x:v>Calvo</x:v>
      </x:c>
      <x:c r="K52" s="49" t="n">
        <x:v>1988</x:v>
      </x:c>
      <x:c r="L52" s="25" t="str">
        <x:v>Servicingthepublicdebt: Theroleofexpectations</x:v>
      </x:c>
      <x:c r="M52" s="25" t="str">
        <x:v>Una referencia completa; apellido inicial, año y título concuerdan con el PDF, admitiendo diferencias de espacios y tipografía.</x:v>
      </x:c>
      <x:c r="N52" s="25" t="str">
        <x:v>Calvo,GuillermoA,“Servicingthepublicdebt: Theroleofexpectations,” TheAmericanEconomicReview, 1988,pp.647–661.</x:v>
      </x:c>
      <x:c r="O52" s="25" t="str">
        <x:v>saki_research/published_papers/bigio_nuno_passadore_debt_maturity_management_liquidity_costs.pdf</x:v>
      </x:c>
      <x:c r="P52" s="25" t="str">
        <x:v>Página PDF 44:
gentbonds,”JournalofMonetaryEconomics,2004,51(3),531–554.
Bulow,JeremyI.andKennethRogoff,“SovereignDebt: IsToForgiveToForget?,”WorkingPaper2623,
NationalBureauofEconomicResearchJune1988.
Calvo,GuillermoA,“Servicingthepublicdebt: Theroleofexpectations,”TheAmericanEconomicReview,
1988,pp.647–661.
Camacho,MaximoandGabrielPerez-Quiros,“SpainShortTermIndicatorofGrowth,”WorkingPapers
0912,BankofSpainWorkingPapersHomepageJune2009.
Cammack,ElizabethB.,“EvidenceonBiddingStrategiesandtheInformationinTreasuryBillAuctions,”
JournalofPoliticalEconomy,1991,99(1),100–130.</x:v>
      </x:c>
    </x:row>
    <x:row r="53" ht="72" customHeight="1">
      <x:c r="A53" s="24" t="str">
        <x:v>C-041</x:v>
      </x:c>
      <x:c r="B53" s="24" t="str">
        <x:v>P08</x:v>
      </x:c>
      <x:c r="C53" s="24" t="n">
        <x:v>32</x:v>
      </x:c>
      <x:c r="D53" s="24" t="str">
        <x:v>45</x:v>
      </x:c>
      <x:c r="E53" s="24" t="str">
        <x:v>correcta</x:v>
      </x:c>
      <x:c r="F53" s="24" t="str">
        <x:v>sí</x:v>
      </x:c>
      <x:c r="G53" s="24" t="str">
        <x:v>sí</x:v>
      </x:c>
      <x:c r="H53" s="24" t="str">
        <x:v>sí</x:v>
      </x:c>
      <x:c r="I53" s="24" t="str">
        <x:f>IF(AND(E53="correcta",F53="sí",G53="sí",H53="sí"),"sí","no")</x:f>
        <x:v>sí</x:v>
      </x:c>
      <x:c r="J53" s="25" t="str">
        <x:v>Duffie</x:v>
      </x:c>
      <x:c r="K53" s="49" t="n">
        <x:v>2005</x:v>
      </x:c>
      <x:c r="L53" s="25" t="str">
        <x:v>Over-the-Counter Markets</x:v>
      </x:c>
      <x:c r="M53" s="25" t="str">
        <x:v>Una referencia completa; apellido inicial, año y título concuerdan con el PDF, admitiendo diferencias de espacios y tipografía.</x:v>
      </x:c>
      <x:c r="N53" s="25" t="str">
        <x:v>Nicolae Garleanu, and Lasse Heje Pedersen, “Over-the-Counter Markets,” Econometrica, 2005, 73 (6),1815–1847.</x:v>
      </x:c>
      <x:c r="O53" s="25" t="str">
        <x:v>saki_research/published_papers/bigio_nuno_passadore_debt_maturity_management_liquidity_costs.pdf</x:v>
      </x:c>
      <x:c r="P53" s="25" t="str">
        <x:v>Página PDF 45:
2020. HutchinsCenterWorkingPaper62.
and Chi-Fu Huang, “Implementing Arrow-Debreu Equilibria by Continuous Trading of Few Long-
LivedSecurities,”Econometrica,1985,53(6),1337–1356.
, Nicolae Garleanu, and Lasse Heje Pedersen, “Over-the-Counter Markets,” Econometrica, 2005, 73
(6),1815–1847.
Eaton,JonathanandMarkGersovitz,“Debtwithpotentialrepudiation:Theoreticalandempiricalanal-
ysis,”TheReviewofEconomicStudies,1981,48(2),289–309.
Faraglia, Elisa, Albert Marcet, Rigas Oikonomou, and Andrew Scott, “Government Debt Manage-
ment: TheLongandtheShortofIt,”TheReviewofEconomicStudies,102018,86(6),2554–2604.</x:v>
      </x:c>
    </x:row>
    <x:row r="54" ht="72" customHeight="1">
      <x:c r="A54" s="24" t="str">
        <x:v>C-042</x:v>
      </x:c>
      <x:c r="B54" s="24" t="str">
        <x:v>P08</x:v>
      </x:c>
      <x:c r="C54" s="24" t="n">
        <x:v>57</x:v>
      </x:c>
      <x:c r="D54" s="24" t="str">
        <x:v>46</x:v>
      </x:c>
      <x:c r="E54" s="24" t="str">
        <x:v>correcta</x:v>
      </x:c>
      <x:c r="F54" s="24" t="str">
        <x:v>sí</x:v>
      </x:c>
      <x:c r="G54" s="24" t="str">
        <x:v>sí</x:v>
      </x:c>
      <x:c r="H54" s="24" t="str">
        <x:v>no</x:v>
      </x:c>
      <x:c r="I54" s="24" t="str">
        <x:f>IF(AND(E54="correcta",F54="sí",G54="sí",H54="sí"),"sí","no")</x:f>
        <x:v>no</x:v>
      </x:c>
      <x:c r="J54" s="25" t="str">
        <x:v>Reinhart</x:v>
      </x:c>
      <x:c r="K54" s="49" t="n">
        <x:v>2009</x:v>
      </x:c>
      <x:c r="L54" s="25"/>
      <x:c r="M54" s="25" t="str">
        <x:v>La referencia está conservada en entry, pero el campo title está vacío.</x:v>
      </x:c>
      <x:c r="N54" s="25" t="str">
        <x:v>Reinhart,CarmenMandKennethSRogoff, Thistimeisdifferent: Eightcenturiesoffinancialfolly,PrincetonUniversityPress,2009.</x:v>
      </x:c>
      <x:c r="O54" s="25" t="str">
        <x:v>saki_research/published_papers/bigio_nuno_passadore_debt_maturity_management_liquidity_costs.pdf</x:v>
      </x:c>
      <x:c r="P54" s="25" t="str">
        <x:v>Página PDF 46:
Pelizzon,Loriana,MartiGSubrahmanyam,DavideTomio,andJunUno,“Sovereigncreditrisk,liq-
uidity,andEuropeanCentralBankintervention:Deusexmachina?,”JournalofFinancialEconomics,2016,
122(1),86–115.
Reinhart,CarmenMandKennethSRogoff,Thistimeisdifferent:Eightcenturiesoffinancialfolly,Prince-
tonUniversityPress,2009.
44</x:v>
      </x:c>
    </x:row>
    <x:row r="55" ht="72" customHeight="1">
      <x:c r="A55" s="24" t="str">
        <x:v>C-043</x:v>
      </x:c>
      <x:c r="B55" s="24" t="str">
        <x:v>P09</x:v>
      </x:c>
      <x:c r="C55" s="24" t="n">
        <x:v>3</x:v>
      </x:c>
      <x:c r="D55" s="24" t="str">
        <x:v>35</x:v>
      </x:c>
      <x:c r="E55" s="24" t="str">
        <x:v>correcta</x:v>
      </x:c>
      <x:c r="F55" s="24" t="str">
        <x:v>sí</x:v>
      </x:c>
      <x:c r="G55" s="24" t="str">
        <x:v>sí</x:v>
      </x:c>
      <x:c r="H55" s="24" t="str">
        <x:v>sí</x:v>
      </x:c>
      <x:c r="I55" s="24" t="str">
        <x:f>IF(AND(E55="correcta",F55="sí",G55="sí",H55="sí"),"sí","no")</x:f>
        <x:v>sí</x:v>
      </x:c>
      <x:c r="J55" s="25" t="str">
        <x:v>An</x:v>
      </x:c>
      <x:c r="K55" s="49" t="n">
        <x:v>2011</x:v>
      </x:c>
      <x:c r="L55" s="25" t="str">
        <x:v>AsymmetricInformation,Adverse Selection,andthePricingofCMBS</x:v>
      </x:c>
      <x:c r="M55" s="25" t="str">
        <x:v>Una referencia completa; apellido inicial, año y título concuerdan con el PDF, admitiendo diferencias de espacios y tipografía.</x:v>
      </x:c>
      <x:c r="N55" s="25" t="str">
        <x:v>An,Xudong,YonghengDeng,andStuartA.Gabriel,“AsymmetricInformation,Adverse Selection,andthePricingofCMBS,”JournalofFinancialEconomics,2011,100(2),304–325.</x:v>
      </x:c>
      <x:c r="O55" s="25" t="str">
        <x:v>saki_research/published_papers/bigio_shi_repurchase_options_market_lemons.pdf</x:v>
      </x:c>
      <x:c r="P55" s="25" t="str">
        <x:v>Página PDF 35:
curitization,” Journal of Financial Economics, 2012, 105 (3), 640–660.
Akerlof, George A., “The Market for "Lemons": Quality Uncertainty and the Market Mech-
anism,” The Quarterly Journal of Economics, 1970, 84 (3), 488–500.
An, Xudong, Yongheng Deng, and Stuart A. Gabriel, “AsymmetricInformation, Adverse
Selection, andthePricingofCMBS,” Journal of Financial Economics, 2011, 100(2), 304–325.
Ashcraft, Adam B. and Til Schuermann, “Understanding the Securitization of Subprime
Mortgage Credit,” 2008. FRB of New York Staff Report, No. 318.
Asriyan, Vladimir and Victoria Vanasco, “Security Design in Non-Exclusive Markets with
Asymmetric Information,” The Review of Economic Studies, 04 2023, p. rdad038.</x:v>
      </x:c>
    </x:row>
    <x:row r="56" ht="72" customHeight="1">
      <x:c r="A56" s="24" t="str">
        <x:v>C-044</x:v>
      </x:c>
      <x:c r="B56" s="24" t="str">
        <x:v>P09</x:v>
      </x:c>
      <x:c r="C56" s="24" t="n">
        <x:v>28</x:v>
      </x:c>
      <x:c r="D56" s="24" t="str">
        <x:v>37</x:v>
      </x:c>
      <x:c r="E56" s="24" t="str">
        <x:v>correcta</x:v>
      </x:c>
      <x:c r="F56" s="24" t="str">
        <x:v>sí</x:v>
      </x:c>
      <x:c r="G56" s="24" t="str">
        <x:v>sí</x:v>
      </x:c>
      <x:c r="H56" s="24" t="str">
        <x:v>sí</x:v>
      </x:c>
      <x:c r="I56" s="24" t="str">
        <x:f>IF(AND(E56="correcta",F56="sí",G56="sí",H56="sí"),"sí","no")</x:f>
        <x:v>sí</x:v>
      </x:c>
      <x:c r="J56" s="25" t="str">
        <x:v>Gorton</x:v>
      </x:c>
      <x:c r="K56" s="49" t="n">
        <x:v>2020</x:v>
      </x:c>
      <x:c r="L56" s="25" t="str">
        <x:v>TheRunonRepoandtheFed’s Response</x:v>
      </x:c>
      <x:c r="M56" s="25" t="str">
        <x:v>Una referencia completa; apellido inicial, año y título concuerdan con el PDF, admitiendo diferencias de espacios y tipografía.</x:v>
      </x:c>
      <x:c r="N56" s="25" t="str">
        <x:v>Gorton,Gary,ToomasLaarits,andAndrewMetrick,“TheRunonRepoandtheFed’s Response,”JournalofFinancialStability,2020,48,100744.</x:v>
      </x:c>
      <x:c r="O56" s="25" t="str">
        <x:v>saki_research/published_papers/bigio_shi_repurchase_options_market_lemons.pdf</x:v>
      </x:c>
      <x:c r="P56" s="25" t="str">
        <x:v>Página PDF 37:
343–78.
Gorton, Gary B. and George Pennacchi,“FinancialIntermediariesandLiquidityCreation,”
Journal of Finance, 1990, 45 (1), 49–71.
Gorton, Gary, Toomas Laarits, and Andrew Metrick, “The Run on Repo and the Fed’s
Response,” Journal of Financial Stability, 2020, 48, 100744.
Gottardi, Piero, Vincent Maurin, and Cyril Monnet, “A Theory of Repurchase Agree-
ments, Collateral Re-use, and Repo Intermediation,” Review of Economic Dynamics, 2019.
Guerrieri, Veronica and Robert Shimer, “DynamicAdverseSelection: ATheoryofIlliquid-
ity, Fire Sales, and Flight to Quality,” American Economic Review, 2014, 104 (7), 1875–1908.</x:v>
      </x:c>
    </x:row>
    <x:row r="57" ht="72" customHeight="1">
      <x:c r="A57" s="24" t="str">
        <x:v>C-045</x:v>
      </x:c>
      <x:c r="B57" s="24" t="str">
        <x:v>P09</x:v>
      </x:c>
      <x:c r="C57" s="24" t="n">
        <x:v>36</x:v>
      </x:c>
      <x:c r="D57" s="24" t="str">
        <x:v>37</x:v>
      </x:c>
      <x:c r="E57" s="24" t="str">
        <x:v>correcta</x:v>
      </x:c>
      <x:c r="F57" s="24" t="str">
        <x:v>sí</x:v>
      </x:c>
      <x:c r="G57" s="24" t="str">
        <x:v>sí</x:v>
      </x:c>
      <x:c r="H57" s="24" t="str">
        <x:v>sí</x:v>
      </x:c>
      <x:c r="I57" s="24" t="str">
        <x:f>IF(AND(E57="correcta",F57="sí",G57="sí",H57="sí"),"sí","no")</x:f>
        <x:v>sí</x:v>
      </x:c>
      <x:c r="J57" s="25" t="str">
        <x:v>Holmstrom</x:v>
      </x:c>
      <x:c r="K57" s="49" t="n">
        <x:v>2014</x:v>
      </x:c>
      <x:c r="L57" s="25" t="str">
        <x:v>UnderstandingtheRoleofDebtintheFinancialSystem</x:v>
      </x:c>
      <x:c r="M57" s="25" t="str">
        <x:v>Una referencia completa; apellido inicial, año y título concuerdan con el PDF, admitiendo diferencias de espacios y tipografía.</x:v>
      </x:c>
      <x:c r="N57" s="25" t="str">
        <x:v>Holmstrom,Bengt,“UnderstandingtheRoleofDebtintheFinancialSystem,”2014. BIS WorkingPapersNo.479.</x:v>
      </x:c>
      <x:c r="O57" s="25" t="str">
        <x:v>saki_research/published_papers/bigio_shi_repurchase_options_market_lemons.pdf</x:v>
      </x:c>
      <x:c r="P57" s="25" t="str">
        <x:v>Página PDF 37:
American Economic Review, 1999, 89 (5), 1097–1115.
and , “The Role of Leasing under Adverse Selection,” Journal of Political Economy, 2002,
110 (1), 113–143.
Holmstrom, Bengt, “Understanding the Role of Debt in the Financial System,” 2014. BIS
Working Papers No. 479.
and Jean Tirole, “Financial Intermediation, Loanable Funds, and the Real Sector,” The
Quarterly Journal of Economics, 1997, 112 (3), 663–691.
and Roger B. Myerson, “Efficient and Durable Decision Rules with Incomplete Informa-
tion,” Econometrica, 1983, 51 (6), 1799–1819.</x:v>
      </x:c>
    </x:row>
    <x:row r="58" ht="72" customHeight="1">
      <x:c r="A58" s="24" t="str">
        <x:v>C-046</x:v>
      </x:c>
      <x:c r="B58" s="24" t="str">
        <x:v>P09</x:v>
      </x:c>
      <x:c r="C58" s="24" t="n">
        <x:v>42</x:v>
      </x:c>
      <x:c r="D58" s="24" t="str">
        <x:v>38</x:v>
      </x:c>
      <x:c r="E58" s="24" t="str">
        <x:v>correcta</x:v>
      </x:c>
      <x:c r="F58" s="24" t="str">
        <x:v>sí</x:v>
      </x:c>
      <x:c r="G58" s="24" t="str">
        <x:v>sí</x:v>
      </x:c>
      <x:c r="H58" s="24" t="str">
        <x:v>sí</x:v>
      </x:c>
      <x:c r="I58" s="24" t="str">
        <x:f>IF(AND(E58="correcta",F58="sí",G58="sí",H58="sí"),"sí","no")</x:f>
        <x:v>sí</x:v>
      </x:c>
      <x:c r="J58" s="25" t="str">
        <x:v>Lester</x:v>
      </x:c>
      <x:c r="K58" s="49" t="n">
        <x:v>2019</x:v>
      </x:c>
      <x:c r="L58" s="25" t="str">
        <x:v>ScreeningandAdverseSelectioninFrictionalMarkets</x:v>
      </x:c>
      <x:c r="M58" s="25" t="str">
        <x:v>Una referencia completa; apellido inicial, año y título concuerdan con el PDF, admitiendo diferencias de espacios y tipografía.</x:v>
      </x:c>
      <x:c r="N58" s="25" t="str">
        <x:v>Lester,Benjamin,AliShourideh,VenkyVenkateswaran,andArielZetlin-Jones, “ScreeningandAdverseSelectioninFrictionalMarkets,”JournalofPoliticalEconomy,2019, 127(1),338–377.</x:v>
      </x:c>
      <x:c r="O58" s="25" t="str">
        <x:v>saki_research/published_papers/bigio_shi_repurchase_options_market_lemons.pdf</x:v>
      </x:c>
      <x:c r="P58" s="25" t="str">
        <x:v>Página PDF 38:
33–85.
and Florian Scheuer, “Signalling to Experts,” The Review of Economic Studies, 10 2020,
88 (2), 800–850.
Lester, Benjamin, Ali Shourideh, Venky Venkateswaran, and Ariel Zetlin-Jones,
“Screening and Adverse Selection in Frictional Markets,” Journal of Political Economy, 2019,
127 (1), 338–377.
Madison, Florian, “Asymmetric Information in Frictional Markets for Liquidity: Collateral-
ized Credit vs Asset Sale,” Journal of Economic Dynamics and Control, 2024, 159, 104808.
Miyazaki, Hajime, “The Rat Race and Internal Labor Markets,” The Bell Journal of Eco-</x:v>
      </x:c>
    </x:row>
    <x:row r="59" ht="72" customHeight="1">
      <x:c r="A59" s="24" t="str">
        <x:v>C-047</x:v>
      </x:c>
      <x:c r="B59" s="24" t="str">
        <x:v>P10</x:v>
      </x:c>
      <x:c r="C59" s="24" t="n">
        <x:v>8</x:v>
      </x:c>
      <x:c r="D59" s="24" t="str">
        <x:v>43</x:v>
      </x:c>
      <x:c r="E59" s="24" t="str">
        <x:v>correcta</x:v>
      </x:c>
      <x:c r="F59" s="24" t="str">
        <x:v>sí</x:v>
      </x:c>
      <x:c r="G59" s="24" t="str">
        <x:v>sí</x:v>
      </x:c>
      <x:c r="H59" s="24" t="str">
        <x:v>sí</x:v>
      </x:c>
      <x:c r="I59" s="24" t="str">
        <x:f>IF(AND(E59="correcta",F59="sí",G59="sí",H59="sí"),"sí","no")</x:f>
        <x:v>sí</x:v>
      </x:c>
      <x:c r="J59" s="25" t="str">
        <x:v>Adrian</x:v>
      </x:c>
      <x:c r="K59" s="49" t="n">
        <x:v>2013</x:v>
      </x:c>
      <x:c r="L59" s="25" t="str">
        <x:v>Intermediary Leverage Cycles and Financial Stability</x:v>
      </x:c>
      <x:c r="M59" s="25" t="str">
        <x:v>Una referencia completa; apellido inicial, año y título concuerdan con el PDF, admitiendo diferencias de espacios y tipografía.</x:v>
      </x:c>
      <x:c r="N59" s="25" t="str">
        <x:v>and Nina Boyarchenko, “Intermediary Leverage Cycles and Financial Stability,” 2013. New York Federal Reserve, Staff Report No. 567.4,1</x:v>
      </x:c>
      <x:c r="O59" s="25" t="str">
        <x:v>saki_research/published_papers/begenau_bigio_majerovitz_vieyra_q_theory_banks.pdf</x:v>
      </x:c>
      <x:c r="P59" s="25" t="str">
        <x:v>Página PDF 43:
diation, 2010, 19 (3), 418–437. 16
and , “Procyclical leverage and value-at-risk,” The Review of Financial Studies, 2013, 27 (2),
373–403. 4
and Nina Boyarchenko, “Intermediary Leverage Cycles and Financial Stability,” 2013. New
York Federal Reserve, Staff Report No. 567. 4, 1
, Erkko Etula, and Tyler Muir, “Financial intermediaries and the cross-section of asset
returns,” The Journal of Finance, 2014, 69 (6), 2557–2596. 4
Agarwal, Sumit, David Lucca, Amit Seru, and Francesco Trebbi, “Inconsistentregulators:
Evidence from banking,” The Quarterly Journal of Economics, 2014, 129 (2), 889–938. 14</x:v>
      </x:c>
    </x:row>
    <x:row r="60" ht="72" customHeight="1">
      <x:c r="A60" s="24" t="str">
        <x:v>C-048</x:v>
      </x:c>
      <x:c r="B60" s="24" t="str">
        <x:v>P10</x:v>
      </x:c>
      <x:c r="C60" s="24" t="n">
        <x:v>28</x:v>
      </x:c>
      <x:c r="D60" s="24" t="str">
        <x:v>45</x:v>
      </x:c>
      <x:c r="E60" s="24" t="str">
        <x:v>correcta</x:v>
      </x:c>
      <x:c r="F60" s="24" t="str">
        <x:v>sí</x:v>
      </x:c>
      <x:c r="G60" s="24" t="str">
        <x:v>sí</x:v>
      </x:c>
      <x:c r="H60" s="24" t="str">
        <x:v>sí</x:v>
      </x:c>
      <x:c r="I60" s="24" t="str">
        <x:f>IF(AND(E60="correcta",F60="sí",G60="sí",H60="sí"),"sí","no")</x:f>
        <x:v>sí</x:v>
      </x:c>
      <x:c r="J60" s="25" t="str">
        <x:v>Chernenko</x:v>
      </x:c>
      <x:c r="K60" s="49" t="n">
        <x:v>2024</x:v>
      </x:c>
      <x:c r="L60" s="25" t="str">
        <x:v>Bank Capital and the Growth of Private Credit</x:v>
      </x:c>
      <x:c r="M60" s="25" t="str">
        <x:v>Una referencia completa; apellido inicial, año y título concuerdan con el PDF, admitiendo diferencias de espacios y tipografía.</x:v>
      </x:c>
      <x:c r="N60" s="25" t="str">
        <x:v>Chernenko, Sergey, Robert Ialenti, and David Scharfstein, “Bank Capital and the Growth of Private Credit,” Technical Report, Harvard University Working Paper 2024.10</x:v>
      </x:c>
      <x:c r="O60" s="25" t="str">
        <x:v>saki_research/published_papers/begenau_bigio_majerovitz_vieyra_q_theory_banks.pdf</x:v>
      </x:c>
      <x:c r="P60" s="25" t="str">
        <x:v>Página PDF 45:
Chernenko, Sergey, Robert Ialenti, and David Scharfstein, “Bank Capital and the Growth
of Private Credit,” Technical Report, Harvard University Working Paper 2024. 10
Corbae, Dean and Pablo D’Erasmo, “Capital buffers in a quantitative model of banking
industry dynamics,” Econometrica, 2021. 4, 1, F.1
and Ross Levine, “Competition, stability, and efficiency in financial markets,” in “Jackson
Hole Symposium: Changing Market Structure and Implications for Monetary Policy, Kansas
City Federal Reserve” 2018. 33
and , “Competition, Stability, and Efficiency in the Banking Industry,” Technical Report,</x:v>
      </x:c>
    </x:row>
    <x:row r="61" ht="72" customHeight="1">
      <x:c r="A61" s="24" t="str">
        <x:v>C-049</x:v>
      </x:c>
      <x:c r="B61" s="24" t="str">
        <x:v>P10</x:v>
      </x:c>
      <x:c r="C61" s="24" t="n">
        <x:v>39</x:v>
      </x:c>
      <x:c r="D61" s="24" t="str">
        <x:v>45</x:v>
      </x:c>
      <x:c r="E61" s="24" t="str">
        <x:v>correcta</x:v>
      </x:c>
      <x:c r="F61" s="24" t="str">
        <x:v>sí</x:v>
      </x:c>
      <x:c r="G61" s="24" t="str">
        <x:v>sí</x:v>
      </x:c>
      <x:c r="H61" s="24" t="str">
        <x:v>sí</x:v>
      </x:c>
      <x:c r="I61" s="24" t="str">
        <x:f>IF(AND(E61="correcta",F61="sí",G61="sí",H61="sí"),"sí","no")</x:f>
        <x:v>sí</x:v>
      </x:c>
      <x:c r="J61" s="25" t="str">
        <x:v>Fama</x:v>
      </x:c>
      <x:c r="K61" s="49" t="n">
        <x:v>1993</x:v>
      </x:c>
      <x:c r="L61" s="25" t="str">
        <x:v>Common Risk Factors in the Returns on Stock and Bonds</x:v>
      </x:c>
      <x:c r="M61" s="25" t="str">
        <x:v>Una referencia completa; apellido inicial, año y título concuerdan con el PDF, admitiendo diferencias de espacios y tipografía.</x:v>
      </x:c>
      <x:c r="N61" s="25" t="str">
        <x:v>Fama, Eugene F. and Kenneth R. French, “Common Risk Factors in the Returns on Stock and Bonds,” Journal of Financial Economics, 1993, 33, 131–156.21</x:v>
      </x:c>
      <x:c r="O61" s="25" t="str">
        <x:v>saki_research/published_papers/begenau_bigio_majerovitz_vieyra_q_theory_banks.pdf</x:v>
      </x:c>
      <x:c r="P61" s="25" t="str">
        <x:v>Página PDF 45:
Erel, Isil and Eduard Inozemtsev, “Evolution of debt financing toward less-regulated financial
intermediariesintheunitedstates,”Journal of Financial and Quantitative Analysis,2024,pp.1–
38. 10
Fama, Eugene F. and Kenneth R. French, “Common Risk Factors in the Returns on Stock
and Bonds,” Journal of Financial Economics, 1993, 33, 131–156. 21
Federal Deposit Insurance Corporation, Formal And Informal Enforcement Actions Manual
2022. A.2.1
Flanagan, Thomas and Amiyatosh Purnanandam, “Why do banks hide losses?,” Available
at SSRN 3329953, 2019. 11, 3.1</x:v>
      </x:c>
    </x:row>
    <x:row r="62" ht="72" customHeight="1">
      <x:c r="A62" s="24" t="str">
        <x:v>C-050</x:v>
      </x:c>
      <x:c r="B62" s="24" t="str">
        <x:v>P10</x:v>
      </x:c>
      <x:c r="C62" s="24" t="n">
        <x:v>47</x:v>
      </x:c>
      <x:c r="D62" s="24" t="str">
        <x:v>46</x:v>
      </x:c>
      <x:c r="E62" s="24" t="str">
        <x:v>correcta</x:v>
      </x:c>
      <x:c r="F62" s="24" t="str">
        <x:v>sí</x:v>
      </x:c>
      <x:c r="G62" s="24" t="str">
        <x:v>sí</x:v>
      </x:c>
      <x:c r="H62" s="24" t="str">
        <x:v>sí</x:v>
      </x:c>
      <x:c r="I62" s="24" t="str">
        <x:f>IF(AND(E62="correcta",F62="sí",G62="sí",H62="sí"),"sí","no")</x:f>
        <x:v>sí</x:v>
      </x:c>
      <x:c r="J62" s="25" t="str">
        <x:v>Gertler</x:v>
      </x:c>
      <x:c r="K62" s="49" t="n">
        <x:v>2015</x:v>
      </x:c>
      <x:c r="L62" s="25" t="str">
        <x:v>Banking,liquidity,andbankrunsinaninfinitehorizoneconomy</x:v>
      </x:c>
      <x:c r="M62" s="25" t="str">
        <x:v>Una referencia completa; apellido inicial, año y título concuerdan con el PDF, admitiendo diferencias de espacios y tipografía.</x:v>
      </x:c>
      <x:c r="N62" s="25" t="str">
        <x:v>and ,“Banking,liquidity,andbankrunsinaninfinitehorizoneconomy,” American Economic Review, 2015, 105 (7), 2011–2043.6,3.1</x:v>
      </x:c>
      <x:c r="O62" s="25" t="str">
        <x:v>saki_research/published_papers/begenau_bigio_majerovitz_vieyra_q_theory_banks.pdf</x:v>
      </x:c>
      <x:c r="P62" s="25" t="str">
        <x:v>Página PDF 46:
ness Cycle Analysis,” in Benjamin M. Friedman and Michael Woodford, eds., Handbook of Mon-
etary Economics, Vol. 3 of Handbook of Monetary Economics, Elsevier, 2010, pp. 547 – 599.
6
and ,“Banking,liquidity,andbankrunsinaninfinitehorizoneconomy,”American Economic
Review, 2015, 105 (7), 2011–2043. 6, 3.1
and Peter Karadi, “A model of unconventional monetary policy,” Journal of Monetary Eco-
nomics, 2011, 58 (1), 17 – 34. ¡ce:title¿Carnegie-Rochester Conference Series on Public Policy:
The Future of Central Banking April 16-17, 2010¡/ce:title¿. 6
, Nobuhiro Kiyotaki, and Albert Queralto, “Financial crises, bank risk exposure and</x:v>
      </x:c>
    </x:row>
    <x:row r="63" ht="72" customHeight="1">
      <x:c r="A63" s="24" t="str">
        <x:v>C-051</x:v>
      </x:c>
      <x:c r="B63" s="24" t="str">
        <x:v>P10</x:v>
      </x:c>
      <x:c r="C63" s="24" t="n">
        <x:v>56</x:v>
      </x:c>
      <x:c r="D63" s="24" t="str">
        <x:v>46</x:v>
      </x:c>
      <x:c r="E63" s="24" t="str">
        <x:v>correcta</x:v>
      </x:c>
      <x:c r="F63" s="24" t="str">
        <x:v>sí</x:v>
      </x:c>
      <x:c r="G63" s="24" t="str">
        <x:v>sí</x:v>
      </x:c>
      <x:c r="H63" s="24" t="str">
        <x:v>sí</x:v>
      </x:c>
      <x:c r="I63" s="24" t="str">
        <x:f>IF(AND(E63="correcta",F63="sí",G63="sí",H63="sí"),"sí","no")</x:f>
        <x:v>sí</x:v>
      </x:c>
      <x:c r="J63" s="25" t="str">
        <x:v>Hachem</x:v>
      </x:c>
      <x:c r="K63" s="49" t="n">
        <x:v>2021</x:v>
      </x:c>
      <x:c r="L63" s="25" t="str">
        <x:v>Liquidity rules and credit booms</x:v>
      </x:c>
      <x:c r="M63" s="25" t="str">
        <x:v>Una referencia completa; apellido inicial, año y título concuerdan con el PDF, admitiendo diferencias de espacios y tipografía.</x:v>
      </x:c>
      <x:c r="N63" s="25" t="str">
        <x:v>Hachem, Kinda and Zheng Song, “Liquidity rules and credit booms,” Journal of Political Economy, 2021, 129 (10), 2721–2765.10</x:v>
      </x:c>
      <x:c r="O63" s="25" t="str">
        <x:v>saki_research/published_papers/begenau_bigio_majerovitz_vieyra_q_theory_banks.pdf</x:v>
      </x:c>
      <x:c r="P63" s="25" t="str">
        <x:v>Página PDF 46:
activity,” Technical Report, National Bureau of Economic Research 2018. 14
Granja, Joao and Fabian Nagel, “Current Expected Credit Losses and Consumer Loans,”
Available at SSRN 4324118, 2023. 15
Hachem, Kinda and Zheng Song, “Liquidity rules and credit booms,” Journal of Political
Economy, 2021, 129 (10), 2721–2765. 10
Harris, Trevor, Urooj Khan, and Doron Nissim, “The Expected Rate of Credit Losses on
Banks’ Loan Portfolios,” 2013. A.2.2
Hart, Oliver and John Moore, “A Theory of Debt Based on the Inalienability of Human
Capital,” The Quarterly Journal of Economics, 1994, 109 (4), pp. 841–879. 7</x:v>
      </x:c>
    </x:row>
    <x:row r="64" ht="72" customHeight="1">
      <x:c r="A64" s="24" t="str">
        <x:v>C-052</x:v>
      </x:c>
      <x:c r="B64" s="24" t="str">
        <x:v>P10</x:v>
      </x:c>
      <x:c r="C64" s="24" t="n">
        <x:v>84</x:v>
      </x:c>
      <x:c r="D64" s="24" t="str">
        <x:v>48</x:v>
      </x:c>
      <x:c r="E64" s="24" t="str">
        <x:v>correcta</x:v>
      </x:c>
      <x:c r="F64" s="24" t="str">
        <x:v>sí</x:v>
      </x:c>
      <x:c r="G64" s="24" t="str">
        <x:v>sí</x:v>
      </x:c>
      <x:c r="H64" s="24" t="str">
        <x:v>sí</x:v>
      </x:c>
      <x:c r="I64" s="24" t="str">
        <x:f>IF(AND(E64="correcta",F64="sí",G64="sí",H64="sí"),"sí","no")</x:f>
        <x:v>sí</x:v>
      </x:c>
      <x:c r="J64" s="25" t="str">
        <x:v>Townsend</x:v>
      </x:c>
      <x:c r="K64" s="49" t="n">
        <x:v>1979</x:v>
      </x:c>
      <x:c r="L64" s="25" t="str">
        <x:v>Optimal Contracts and Competitive Markets with Costly State Verification</x:v>
      </x:c>
      <x:c r="M64" s="25" t="str">
        <x:v>Una referencia completa; apellido inicial, año y título concuerdan con el PDF, admitiendo diferencias de espacios y tipografía.</x:v>
      </x:c>
      <x:c r="N64" s="25" t="str">
        <x:v>Townsend, Robert, “Optimal Contracts and Competitive Markets with Costly State Verification,” Journal of Economic Theory, 1979, 22, 265–293.7,3.1,D.8</x:v>
      </x:c>
      <x:c r="O64" s="25" t="str">
        <x:v>saki_research/published_papers/begenau_bigio_majerovitz_vieyra_q_theory_banks.pdf</x:v>
      </x:c>
      <x:c r="P64" s="25" t="str">
        <x:v>Página PDF 48:
nal of Economic Perspectives, 2011, 25 (1), pp. 29–48. 13
Simon, Luis, “Capital requirements in a model of bank runs: The 2008 run on repo,” Latin
American Journal of Central Banking, 2021, 2 (3), 100038. 46
Townsend, Robert, “Optimal Contracts and Competitive Markets with Costly State Verifica-
tion,” Journal of Economic Theory, 1979, 22, 265–293. 7, 3.1, D.8
Vuolteenaho, Tuomo, “What drives firm-level stock returns?,” The Journal of Finance, 2002,
57 (1), 233–264. 2
47</x:v>
      </x:c>
    </x:row>
    <x:row r="65" ht="72" customHeight="1">
      <x:c r="A65" s="24" t="str">
        <x:v>C-053</x:v>
      </x:c>
      <x:c r="B65" s="24" t="str">
        <x:v>P11</x:v>
      </x:c>
      <x:c r="C65" s="24" t="n">
        <x:v>31</x:v>
      </x:c>
      <x:c r="D65" s="24" t="str">
        <x:v>51</x:v>
      </x:c>
      <x:c r="E65" s="24" t="str">
        <x:v>correcta</x:v>
      </x:c>
      <x:c r="F65" s="24" t="str">
        <x:v>sí</x:v>
      </x:c>
      <x:c r="G65" s="24" t="str">
        <x:v>sí</x:v>
      </x:c>
      <x:c r="H65" s="24" t="str">
        <x:v>sí</x:v>
      </x:c>
      <x:c r="I65" s="24" t="str">
        <x:f>IF(AND(E65="correcta",F65="sí",G65="sí",H65="sí"),"sí","no")</x:f>
        <x:v>sí</x:v>
      </x:c>
      <x:c r="J65" s="25" t="str">
        <x:v>Cogley</x:v>
      </x:c>
      <x:c r="K65" s="49" t="n">
        <x:v>1995</x:v>
      </x:c>
      <x:c r="L65" s="25" t="str">
        <x:v>Outputdynamicsinreal-business-cyclemodels</x:v>
      </x:c>
      <x:c r="M65" s="25" t="str">
        <x:v>Una referencia completa; apellido inicial, año y título concuerdan con el PDF, admitiendo diferencias de espacios y tipografía.</x:v>
      </x:c>
      <x:c r="N65" s="25" t="str">
        <x:v>Cogley,TimothyandJamesMNason,“Outputdynamicsinreal-business-cyclemodels,” The American Economic Review, 1995, pp. 492–511.</x:v>
      </x:c>
      <x:c r="O65" s="25" t="str">
        <x:v>saki_research/published_papers/bigio_silva_zilberman_heterogeneous_beliefs_asset_prices_business_cycles.pdf</x:v>
      </x:c>
      <x:c r="P65" s="25" t="str">
        <x:v>Página PDF 51:
Cochrane, John H, “Presidential address: Discount rates,” The Journal of finance, 2011, 66
(4),1047–1108.
Cogley,TimothyandJamesMNason,“Outputdynamicsinreal-business-cyclemodels,”
TheAmericanEconomicReview,1995,pp.492–511.
Coibion, Olivier and Yuriy Gorodnichenko, “Information rigidity and the expectations
formation process: A simple framework and new facts,” American Economic Review,
2015,105(8),2644–2678.
Cui, Tingyue, Ricardo De La O, and Sean Myers, “The Subjective Belief Factor,” 2024.</x:v>
      </x:c>
    </x:row>
    <x:row r="66" ht="72" customHeight="1">
      <x:c r="A66" s="24" t="str">
        <x:v>C-054</x:v>
      </x:c>
      <x:c r="B66" s="24" t="str">
        <x:v>P11</x:v>
      </x:c>
      <x:c r="C66" s="24" t="n">
        <x:v>90</x:v>
      </x:c>
      <x:c r="D66" s="24" t="str">
        <x:v>54</x:v>
      </x:c>
      <x:c r="E66" s="24" t="str">
        <x:v>correcta</x:v>
      </x:c>
      <x:c r="F66" s="24" t="str">
        <x:v>sí</x:v>
      </x:c>
      <x:c r="G66" s="24" t="str">
        <x:v>sí</x:v>
      </x:c>
      <x:c r="H66" s="24" t="str">
        <x:v>sí</x:v>
      </x:c>
      <x:c r="I66" s="24" t="str">
        <x:f>IF(AND(E66="correcta",F66="sí",G66="sí",H66="sí"),"sí","no")</x:f>
        <x:v>sí</x:v>
      </x:c>
      <x:c r="J66" s="25" t="str">
        <x:v>Rogerson</x:v>
      </x:c>
      <x:c r="K66" s="49" t="n">
        <x:v>2011</x:v>
      </x:c>
      <x:c r="L66" s="25" t="str">
        <x:v>Searchinmacroeconomicmodelsofthelabormarket</x:v>
      </x:c>
      <x:c r="M66" s="25" t="str">
        <x:v>Una referencia completa; apellido inicial, año y título concuerdan con el PDF, admitiendo diferencias de espacios y tipografía.</x:v>
      </x:c>
      <x:c r="N66" s="25" t="str">
        <x:v>andRobertShimer,“Searchinmacroeconomicmodelsofthelabormarket,”in“Handbook of labor economics,” Vol. 4, Elsevier, 2011, pp. 619–700.</x:v>
      </x:c>
      <x:c r="O66" s="25" t="str">
        <x:v>saki_research/published_papers/bigio_silva_zilberman_heterogeneous_beliefs_asset_prices_business_cycles.pdf</x:v>
      </x:c>
      <x:c r="P66" s="25" t="str">
        <x:v>Página PDF 54:
EconomicActivity,2001,2001(2),279–348.
Rogerson, Richard, “Indivisible Labor, Lotteries and Equilibrium,” Journal of Monetary
Economics,1988,21(1),3–16.
andRobertShimer,“Searchinmacroeconomicmodelsofthelabormarket,”in“Hand-
bookoflaboreconomics,”Vol.4,Elsevier,2011,pp.619–700.
53</x:v>
      </x:c>
    </x:row>
    <x:row r="67" ht="72" customHeight="1">
      <x:c r="A67" s="24" t="str">
        <x:v>C-055</x:v>
      </x:c>
      <x:c r="B67" s="24" t="str">
        <x:v>P11</x:v>
      </x:c>
      <x:c r="C67" s="24" t="n">
        <x:v>92</x:v>
      </x:c>
      <x:c r="D67" s="24" t="str">
        <x:v>55</x:v>
      </x:c>
      <x:c r="E67" s="24" t="str">
        <x:v>correcta</x:v>
      </x:c>
      <x:c r="F67" s="24" t="str">
        <x:v>sí</x:v>
      </x:c>
      <x:c r="G67" s="24" t="str">
        <x:v>sí</x:v>
      </x:c>
      <x:c r="H67" s="24" t="str">
        <x:v>sí</x:v>
      </x:c>
      <x:c r="I67" s="24" t="str">
        <x:f>IF(AND(E67="correcta",F67="sí",G67="sí",H67="sí"),"sí","no")</x:f>
        <x:v>sí</x:v>
      </x:c>
      <x:c r="J67" s="25" t="str">
        <x:v>Scheinkman</x:v>
      </x:c>
      <x:c r="K67" s="49" t="n">
        <x:v>2003</x:v>
      </x:c>
      <x:c r="L67" s="25" t="str">
        <x:v>OverconfidenceandSpeculativeBubbles</x:v>
      </x:c>
      <x:c r="M67" s="25" t="str">
        <x:v>Una referencia completa; apellido inicial, año y título concuerdan con el PDF, admitiendo diferencias de espacios y tipografía.</x:v>
      </x:c>
      <x:c r="N67" s="25" t="str">
        <x:v>Scheinkman,JoséA.andWeiXiong,“OverconfidenceandSpeculativeBubbles,”Journal of Political Economy, 2003, 111(6), 1183–1220.</x:v>
      </x:c>
      <x:c r="O67" s="25" t="str">
        <x:v>saki_research/published_papers/bigio_silva_zilberman_heterogeneous_beliefs_asset_prices_business_cycles.pdf</x:v>
      </x:c>
      <x:c r="P67" s="25" t="str">
        <x:v>Página PDF 55:
Santos, Tano and Pietro Veronesi, “Labor income and predictable stock returns,” The
ReviewofFinancialStudies,2006,19(1),1–44.
Scheinkman,JoséA.andWeiXiong,“OverconfidenceandSpeculativeBubbles,”Journal
ofPoliticalEconomy,2003,111(6),1183–1220.
Schmitt-Grohé, Stephanie and Martın Uribe, “Closing small open economy models,”
JournalofinternationalEconomics,2003,61(1),163–185.
Shiller,Robert,IrrationalExuberance,Princeton,NJ:PrincetonUniversityPress,2000.
Shiller, Robert J, “Do stock prices move too much to be justified by subsequent changes</x:v>
      </x:c>
    </x:row>
    <x:row r="68" ht="72" customHeight="1">
      <x:c r="A68" s="24" t="str">
        <x:v>C-056</x:v>
      </x:c>
      <x:c r="B68" s="24" t="str">
        <x:v>P11</x:v>
      </x:c>
      <x:c r="C68" s="24" t="n">
        <x:v>96</x:v>
      </x:c>
      <x:c r="D68" s="24" t="str">
        <x:v>55</x:v>
      </x:c>
      <x:c r="E68" s="24" t="str">
        <x:v>correcta</x:v>
      </x:c>
      <x:c r="F68" s="24" t="str">
        <x:v>sí</x:v>
      </x:c>
      <x:c r="G68" s="24" t="str">
        <x:v>sí</x:v>
      </x:c>
      <x:c r="H68" s="24" t="str">
        <x:v>no</x:v>
      </x:c>
      <x:c r="I68" s="24" t="str">
        <x:f>IF(AND(E68="correcta",F68="sí",G68="sí",H68="sí"),"sí","no")</x:f>
        <x:v>no</x:v>
      </x:c>
      <x:c r="J68" s="25" t="str">
        <x:v>Shimer</x:v>
      </x:c>
      <x:c r="K68" s="49" t="n">
        <x:v>2010</x:v>
      </x:c>
      <x:c r="L68" s="25"/>
      <x:c r="M68" s="25" t="str">
        <x:v>La referencia está conservada en entry, pero el campo title está vacío.</x:v>
      </x:c>
      <x:c r="N68" s="25" t="str">
        <x:v>Shimer, Robert, Labor Markets and Business Cycles CREI Lectures in Macroeconomics, Princeton, NJ: Princeton University Press, 2010.</x:v>
      </x:c>
      <x:c r="O68" s="25" t="str">
        <x:v>saki_research/published_papers/bigio_silva_zilberman_heterogeneous_beliefs_asset_prices_business_cycles.pdf</x:v>
      </x:c>
      <x:c r="P68" s="25" t="str">
        <x:v>Página PDF 55:
Shiller,Robert,IrrationalExuberance,Princeton,NJ:PrincetonUniversityPress,2000.
Shiller, Robert J, “Do stock prices move too much to be justified by subsequent changes
individends?,”1981.
Shimer, Robert, Labor Markets and Business Cycles CREI Lectures in Macroeconomics,
Princeton,NJ:PrincetonUniversityPress,2010.
Simsek, Alp, “Belief Disagreements and Collateral Constraints,” Econometrica, 2013, 81
(1),1–53.
, “Speculation and risk sharing with new financial assets,” The Quarterly journal of eco-
nomics,2013,128(3),1365–1396.</x:v>
      </x:c>
    </x:row>
    <x:row r="69" ht="72" customHeight="1">
      <x:c r="A69" s="24" t="str">
        <x:v>C-057</x:v>
      </x:c>
      <x:c r="B69" s="24" t="str">
        <x:v>P12</x:v>
      </x:c>
      <x:c r="C69" s="24" t="n">
        <x:v>3</x:v>
      </x:c>
      <x:c r="D69" s="24" t="str">
        <x:v>42</x:v>
      </x:c>
      <x:c r="E69" s="24" t="str">
        <x:v>correcta</x:v>
      </x:c>
      <x:c r="F69" s="24" t="str">
        <x:v>sí</x:v>
      </x:c>
      <x:c r="G69" s="24" t="str">
        <x:v>sí</x:v>
      </x:c>
      <x:c r="H69" s="24" t="str">
        <x:v>sí</x:v>
      </x:c>
      <x:c r="I69" s="24" t="str">
        <x:f>IF(AND(E69="correcta",F69="sí",G69="sí",H69="sí"),"sí","no")</x:f>
        <x:v>sí</x:v>
      </x:c>
      <x:c r="J69" s="25" t="str">
        <x:v>Afonso</x:v>
      </x:c>
      <x:c r="K69" s="49" t="n">
        <x:v>2015</x:v>
      </x:c>
      <x:c r="L69" s="25" t="str">
        <x:v>The Over-the-Counter Theory of the Fed Funds Market: A Primer</x:v>
      </x:c>
      <x:c r="M69" s="25" t="str">
        <x:v>Una referencia completa; apellido inicial, año y título concuerdan con el PDF, admitiendo diferencias de espacios y tipografía.</x:v>
      </x:c>
      <x:c r="N69" s="25" t="str">
        <x:v>Afonso, Gara and Ricardo Lagos, “The Over-the-Counter Theory of the Fed Funds Market: A Primer,”JournalofMoney,CreditandBanking,June2015,47(2),127–154.</x:v>
      </x:c>
      <x:c r="O69" s="25" t="str">
        <x:v>saki_research/published_papers/bianchi_bigio_portfolio_choice_settlement_frictions_theory_endogenous_convenience_yields.pdf</x:v>
      </x:c>
      <x:c r="P69" s="25" t="str">
        <x:v>Página PDF 42:
Economics,2005,77(2),375–410.
Aczél,János,FunctionalEquationsinSeveralVariables,Vol.31ofEncyclopediaofMathematicsandits
Applications,Cambridge: CambridgeUniversityPress,1989.
Afonso, Gara and Ricardo Lagos, “The Over-the-Counter Theory of the Fed Funds Market: A
Primer,”JournalofMoney,CreditandBanking,June2015,47(2),127–154.
and ,“TradeDynamicsintheMarketforFederalFunds,”Econometrica,2015,83(1),263–313.
, Gabriele La Spada, Thomas M. Mertens, and John C. Williams, “The Optimal Supply of
CentralBankReservesunderUncertainty,”2026.
Amador,ManuelandJavierBianchi,“Bankruns,fragility,andregulation,”2024. NBERWorking</x:v>
      </x:c>
    </x:row>
    <x:row r="70" ht="72" customHeight="1">
      <x:c r="A70" s="24" t="str">
        <x:v>C-058</x:v>
      </x:c>
      <x:c r="B70" s="24" t="str">
        <x:v>P12</x:v>
      </x:c>
      <x:c r="C70" s="24" t="n">
        <x:v>6</x:v>
      </x:c>
      <x:c r="D70" s="24" t="str">
        <x:v>42</x:v>
      </x:c>
      <x:c r="E70" s="24" t="str">
        <x:v>correcta</x:v>
      </x:c>
      <x:c r="F70" s="24" t="str">
        <x:v>sí</x:v>
      </x:c>
      <x:c r="G70" s="24" t="str">
        <x:v>sí</x:v>
      </x:c>
      <x:c r="H70" s="24" t="str">
        <x:v>sí</x:v>
      </x:c>
      <x:c r="I70" s="24" t="str">
        <x:f>IF(AND(E70="correcta",F70="sí",G70="sí",H70="sí"),"sí","no")</x:f>
        <x:v>sí</x:v>
      </x:c>
      <x:c r="J70" s="25" t="str">
        <x:v>Amador</x:v>
      </x:c>
      <x:c r="K70" s="49" t="n">
        <x:v>2024</x:v>
      </x:c>
      <x:c r="L70" s="25" t="str">
        <x:v>Bankruns,fragility,andregulation</x:v>
      </x:c>
      <x:c r="M70" s="25" t="str">
        <x:v>Una referencia completa; apellido inicial, año y título concuerdan con el PDF, admitiendo diferencias de espacios y tipografía.</x:v>
      </x:c>
      <x:c r="N70" s="25" t="str">
        <x:v>Amador,ManuelandJavierBianchi,“Bankruns,fragility,andregulation,”2024. NBERWorking PaperNo.32341.</x:v>
      </x:c>
      <x:c r="O70" s="25" t="str">
        <x:v>saki_research/published_papers/bianchi_bigio_portfolio_choice_settlement_frictions_theory_endogenous_convenience_yields.pdf</x:v>
      </x:c>
      <x:c r="P70" s="25" t="str">
        <x:v>Página PDF 42:
and ,“TradeDynamicsintheMarketforFederalFunds,”Econometrica,2015,83(1),263–313.
, Gabriele La Spada, Thomas M. Mertens, and John C. Williams, “The Optimal Supply of
CentralBankReservesunderUncertainty,”2026.
Amador,ManuelandJavierBianchi,“Bankruns,fragility,andregulation,”2024. NBERWorking
PaperNo.32341.
Arce,Óscar,GaloNuño,DominikThaler,andCarlosThomas,“ALargeCentralBankBalance
Sheet? Floor vs Corridor Systems in a New Keynesian Environment,” Journal of Monetary Eco-
nomics,2019.
Arseneau,David,DavidRappoport,andAlexandrosVardoulakis,“Privateandpublicliquidity</x:v>
      </x:c>
    </x:row>
    <x:row r="71" ht="72" customHeight="1">
      <x:c r="A71" s="24" t="str">
        <x:v>C-059</x:v>
      </x:c>
      <x:c r="B71" s="24" t="str">
        <x:v>P12</x:v>
      </x:c>
      <x:c r="C71" s="24" t="n">
        <x:v>20</x:v>
      </x:c>
      <x:c r="D71" s="24" t="str">
        <x:v>43</x:v>
      </x:c>
      <x:c r="E71" s="24" t="str">
        <x:v>correcta</x:v>
      </x:c>
      <x:c r="F71" s="24" t="str">
        <x:v>sí</x:v>
      </x:c>
      <x:c r="G71" s="24" t="str">
        <x:v>sí</x:v>
      </x:c>
      <x:c r="H71" s="24" t="str">
        <x:v>sí</x:v>
      </x:c>
      <x:c r="I71" s="24" t="str">
        <x:f>IF(AND(E71="correcta",F71="sí",G71="sí",H71="sí"),"sí","no")</x:f>
        <x:v>sí</x:v>
      </x:c>
      <x:c r="J71" s="25" t="str">
        <x:v>Constantinides</x:v>
      </x:c>
      <x:c r="K71" s="49" t="n">
        <x:v>1986</x:v>
      </x:c>
      <x:c r="L71" s="25" t="str">
        <x:v>CapitalMarketEquilibriumwithTransactionCosts</x:v>
      </x:c>
      <x:c r="M71" s="25" t="str">
        <x:v>Una referencia completa; apellido inicial, año y título concuerdan con el PDF, admitiendo diferencias de espacios y tipografía.</x:v>
      </x:c>
      <x:c r="N71" s="25" t="str">
        <x:v>Constantinides,GeorgeM.,“CapitalMarketEquilibriumwithTransactionCosts,”JournalofPoliticalEconomy,1986,94,842–862.</x:v>
      </x:c>
      <x:c r="O71" s="25" t="str">
        <x:v>saki_research/published_papers/bianchi_bigio_portfolio_choice_settlement_frictions_theory_endogenous_convenience_yields.pdf</x:v>
      </x:c>
      <x:c r="P71" s="25" t="str">
        <x:v>Página PDF 43:
Caballero, Ricardo J and Arvind Krishnamurthy, “International and domestic collateral con-
straints in a model of emerging marketcrises,” Journal of monetary Economics, 2001, 48 (3), 513–
548.
Constantinides,GeorgeM.,“CapitalMarketEquilibriumwithTransactionCosts,”JournalofPolit-
icalEconomy,1986,94,842–862.
andDarrellDuffie,“AssetPricingwithHeterogeneousConsumers,”JournalofPoliticalEconomy,
1996,104(2),219–240.
Dávila, Eduardo and Anton Korinek, “Pecuniary externalities in economies with financial fric-
tions,”ReviewofEconomicStudies,2018,85(1),352–395.</x:v>
      </x:c>
    </x:row>
    <x:row r="72" ht="72" customHeight="1">
      <x:c r="A72" s="24" t="str">
        <x:v>C-060</x:v>
      </x:c>
      <x:c r="B72" s="24" t="str">
        <x:v>P12</x:v>
      </x:c>
      <x:c r="C72" s="24" t="n">
        <x:v>25</x:v>
      </x:c>
      <x:c r="D72" s="24" t="str">
        <x:v>43</x:v>
      </x:c>
      <x:c r="E72" s="24" t="str">
        <x:v>correcta</x:v>
      </x:c>
      <x:c r="F72" s="24" t="str">
        <x:v>sí</x:v>
      </x:c>
      <x:c r="G72" s="24" t="str">
        <x:v>sí</x:v>
      </x:c>
      <x:c r="H72" s="24" t="str">
        <x:v>sí</x:v>
      </x:c>
      <x:c r="I72" s="24" t="str">
        <x:f>IF(AND(E72="correcta",F72="sí",G72="sí",H72="sí"),"sí","no")</x:f>
        <x:v>sí</x:v>
      </x:c>
      <x:c r="J72" s="25" t="str">
        <x:v>Farhi</x:v>
      </x:c>
      <x:c r="K72" s="49" t="n">
        <x:v>2009</x:v>
      </x:c>
      <x:c r="L72" s="25" t="str">
        <x:v>ATheoryofLiquidityandRegulation ofFinancialIntermediation</x:v>
      </x:c>
      <x:c r="M72" s="25" t="str">
        <x:v>Una referencia completa; apellido inicial, año y título concuerdan con el PDF, admitiendo diferencias de espacios y tipografía.</x:v>
      </x:c>
      <x:c r="N72" s="25" t="str">
        <x:v>Farhi,Emmanuel,MikhailGolosov,andAlehTsyvinski,“ATheoryofLiquidityandRegulation ofFinancialIntermediation,”ReviewofEconomicStudies,2009,76(3),973–992.</x:v>
      </x:c>
      <x:c r="O72" s="25" t="str">
        <x:v>saki_research/published_papers/bianchi_bigio_portfolio_choice_settlement_frictions_theory_endogenous_convenience_yields.pdf</x:v>
      </x:c>
      <x:c r="P72" s="25" t="str">
        <x:v>Página PDF 43:
Policy,”2018. NBERWorkingPaper25319.
Duffie, Darrell, Nicolae Garleanu, and Lasse Heje Pedersen, “Over-the-Counter Markets,”
Econometrica,2005,73(6),1815–1847.
Farhi,Emmanuel,MikhailGolosov,andAlehTsyvinski,“ATheoryofLiquidityandRegulation
ofFinancialIntermediation,”ReviewofEconomicStudies,2009,76(3),973–992.
42</x:v>
      </x:c>
    </x:row>
    <x:row r="73" ht="72" customHeight="1">
      <x:c r="A73" s="24" t="str">
        <x:v>C-061</x:v>
      </x:c>
      <x:c r="B73" s="24" t="str">
        <x:v>P12</x:v>
      </x:c>
      <x:c r="C73" s="24" t="n">
        <x:v>33</x:v>
      </x:c>
      <x:c r="D73" s="24" t="str">
        <x:v>44</x:v>
      </x:c>
      <x:c r="E73" s="24" t="str">
        <x:v>correcta</x:v>
      </x:c>
      <x:c r="F73" s="24" t="str">
        <x:v>sí</x:v>
      </x:c>
      <x:c r="G73" s="24" t="str">
        <x:v>sí</x:v>
      </x:c>
      <x:c r="H73" s="24" t="str">
        <x:v>sí</x:v>
      </x:c>
      <x:c r="I73" s="24" t="str">
        <x:f>IF(AND(E73="correcta",F73="sí",G73="sí",H73="sí"),"sí","no")</x:f>
        <x:v>sí</x:v>
      </x:c>
      <x:c r="J73" s="25" t="str">
        <x:v>Jacklin</x:v>
      </x:c>
      <x:c r="K73" s="49" t="n">
        <x:v>1987</x:v>
      </x:c>
      <x:c r="L73" s="25" t="str">
        <x:v>Demand Deposits, Trading Restrictions, and Risk Sharing</x:v>
      </x:c>
      <x:c r="M73" s="25" t="str">
        <x:v>Una referencia completa; apellido inicial, año y título concuerdan con el PDF, admitiendo diferencias de espacios y tipografía.</x:v>
      </x:c>
      <x:c r="N73" s="25" t="str">
        <x:v>Jacklin, Charles J., “Demand Deposits, Trading Restrictions, and Risk Sharing,” in Edward C. Prescott and Neil Wallace, eds., Contractual Arrangements for Intertemporal Trade, Minneapolis: UniversityofMinnesotaPress,1987,pp.26–47.</x:v>
      </x:c>
      <x:c r="O73" s="25" t="str">
        <x:v>saki_research/published_papers/bianchi_bigio_portfolio_choice_settlement_frictions_theory_endogenous_convenience_yields.pdf</x:v>
      </x:c>
      <x:c r="P73" s="25" t="str">
        <x:v>Página PDF 44:
, ,and ,TheEconomicsofOver-the-CounterMarkets: AToolkitfortheAnalysisofDecentralized
Exchange,PrincetonUniversityPress,2025.
Ismail,AliHaiderandDiegoZuniga,“WelfareCostofConvenienceYield,”2025. WorkingPaper.
Jacklin, Charles J., “Demand Deposits, Trading Restrictions, and Risk Sharing,” in Edward C.
Prescott and Neil Wallace, eds., Contractual Arrangements for Intertemporal Trade, Minneapolis:
UniversityofMinnesotaPress,1987,pp.26–47.
Kiyotaki,NobuhiroandRandallWright,“Asearch-theoreticapproachtomonetaryeconomics,”
TheAmericanEconomicReview,1993,pp.63–77.
Krishnamurthy,ArvindandAnnetteVissing-Jørgensen,“TheAggregateDemandforTreasury</x:v>
      </x:c>
    </x:row>
    <x:row r="74" ht="72" customHeight="1">
      <x:c r="A74" s="24" t="str">
        <x:v>C-062</x:v>
      </x:c>
      <x:c r="B74" s="24" t="str">
        <x:v>P13</x:v>
      </x:c>
      <x:c r="C74" s="24" t="n">
        <x:v>17</x:v>
      </x:c>
      <x:c r="D74" s="24" t="str">
        <x:v>28</x:v>
      </x:c>
      <x:c r="E74" s="24" t="str">
        <x:v>correcta</x:v>
      </x:c>
      <x:c r="F74" s="24" t="str">
        <x:v>sí</x:v>
      </x:c>
      <x:c r="G74" s="24" t="str">
        <x:v>sí</x:v>
      </x:c>
      <x:c r="H74" s="24" t="str">
        <x:v>sí</x:v>
      </x:c>
      <x:c r="I74" s="24" t="str">
        <x:f>IF(AND(E74="correcta",F74="sí",G74="sí",H74="sí"),"sí","no")</x:f>
        <x:v>sí</x:v>
      </x:c>
      <x:c r="J74" s="25" t="str">
        <x:v>Del Canto</x:v>
      </x:c>
      <x:c r="K74" s="49" t="n">
        <x:v>2025</x:v>
      </x:c>
      <x:c r="L74" s="25" t="str">
        <x:v>Are Inflationary Shocks Regressive? A Feasible Set Approach</x:v>
      </x:c>
      <x:c r="M74" s="25" t="str">
        <x:v>Una referencia completa; apellido inicial, año y título concuerdan con el PDF, admitiendo diferencias de espacios y tipografía.</x:v>
      </x:c>
      <x:c r="N74" s="25" t="str">
        <x:v>Del Canto, Felipe N., John R. Grigsby, Eric Qian, and Conor Walsh (2025). “Are Inflationary Shocks Regressive? A Feasible Set Approach”.Quarterly Journal of Economics.</x:v>
      </x:c>
      <x:c r="O74" s="25" t="str">
        <x:v>saki_research/published_papers/bigio_kanzig_sanchez_walsh_carbon_pricing_inequality_normative_pespective.pdf</x:v>
      </x:c>
      <x:c r="P74" s="25" t="str">
        <x:v>Página PDF 28:
Dechezleprêtre, Antoine, Adrien Fabre, Tobias Kruse, Bluebery Planterose, Ana
Sanchez Chico, and Stefanie Stantcheva (2022). Fighting climate change: International
attitudestowardclimatepolicies.Tech.rep.NationalBureauofEconomicResearch.
Del Canto, Felipe N., John R. Grigsby, Eric Qian, and Conor Walsh (2025). “Are Infla-
tionaryShocksRegressive?AFeasibleSetApproach”.QuarterlyJournalofEconomics.
Dixit,Avinash(1985).“Taxpolicyinopeneconomies”.Handbookofpubliceconomics.Vol.1.
Elsevier,pp.313–374.
Drechsel, Thomas (2023). “Earnings-based borrowing constraints and macroeconomic
fluctuations”.AmericanEconomicJournal:Macroeconomics15.2,pp.1–34.</x:v>
      </x:c>
    </x:row>
    <x:row r="75" ht="72" customHeight="1">
      <x:c r="A75" s="24" t="str">
        <x:v>C-063</x:v>
      </x:c>
      <x:c r="B75" s="24" t="str">
        <x:v>V01</x:v>
      </x:c>
      <x:c r="C75" s="24" t="n">
        <x:v>29</x:v>
      </x:c>
      <x:c r="D75" s="24" t="str">
        <x:v>21</x:v>
      </x:c>
      <x:c r="E75" s="24" t="str">
        <x:v>correcta</x:v>
      </x:c>
      <x:c r="F75" s="24" t="str">
        <x:v>sí</x:v>
      </x:c>
      <x:c r="G75" s="24" t="str">
        <x:v>sí</x:v>
      </x:c>
      <x:c r="H75" s="24" t="str">
        <x:v>sí</x:v>
      </x:c>
      <x:c r="I75" s="24" t="str">
        <x:f>IF(AND(E75="correcta",F75="sí",G75="sí",H75="sí"),"sí","no")</x:f>
        <x:v>sí</x:v>
      </x:c>
      <x:c r="J75" s="25" t="str">
        <x:v>Bigio</x:v>
      </x:c>
      <x:c r="K75" s="49" t="n">
        <x:v>2023</x:v>
      </x:c>
      <x:c r="L75" s="25" t="str">
        <x:v>Debt-Maturity Management with Liquidity Costs</x:v>
      </x:c>
      <x:c r="M75" s="25" t="str">
        <x:v>Una referencia completa; apellido inicial, año y título concuerdan con el PDF, admitiendo diferencias de espacios y tipografía.</x:v>
      </x:c>
      <x:c r="N75" s="25" t="str">
        <x:v>Bigio, Saki, Galo Nuno, and Juan Passadore, “Debt-Maturity Management with Liquidity Costs,”Journal of Political Economy Macroeconomics,2023,1(1).</x:v>
      </x:c>
      <x:c r="O75" s="25" t="str">
        <x:v>saki_research/research_vision/research_vision.pdf</x:v>
      </x:c>
      <x:c r="P75" s="25" t="str">
        <x:v>Página PDF 21:
Prices,andBusinessCycles,”JournalofFinancialEconomics,2026. forthcoming.
Bigio,Saki,EstebanMendez,andDianaVanPatten,“ATheoryofPayment-Chain
Crises,”September2025.
Bigio,Saki,GaloNuno,andJuanPassadore,“Debt-MaturityManagementwith
LiquidityCosts,”JournalofPoliticalEconomyMacroeconomics,2023,1(1).
Bigio,Saki,NicolasCaramp,andDejanirSilva,“StickyInflation,”2025. revise
andresubmit,JournalofPoliticalEconomyMacroeconomics.
Bigio,Saki,PabloD’Erasmo,andLuisYepez,“MonetaryPolicyImplementation
RegimesintheUSandReserveDemandEstimation,”2025.</x:v>
      </x:c>
    </x:row>
    <x:row r="76" ht="72" customHeight="1">
      <x:c r="A76" s="24" t="str">
        <x:v>C-064</x:v>
      </x:c>
      <x:c r="B76" s="24" t="str">
        <x:v>V01</x:v>
      </x:c>
      <x:c r="C76" s="24" t="n">
        <x:v>34</x:v>
      </x:c>
      <x:c r="D76" s="24" t="str">
        <x:v>22</x:v>
      </x:c>
      <x:c r="E76" s="24" t="str">
        <x:v>correcta</x:v>
      </x:c>
      <x:c r="F76" s="24" t="str">
        <x:v>sí</x:v>
      </x:c>
      <x:c r="G76" s="24" t="str">
        <x:v>sí</x:v>
      </x:c>
      <x:c r="H76" s="24" t="str">
        <x:v>sí</x:v>
      </x:c>
      <x:c r="I76" s="24" t="str">
        <x:f>IF(AND(E76="correcta",F76="sí",G76="sí",H76="sí"),"sí","no")</x:f>
        <x:v>sí</x:v>
      </x:c>
      <x:c r="J76" s="25" t="str">
        <x:v>Bigio</x:v>
      </x:c>
      <x:c r="K76" s="49" t="n">
        <x:v>2026</x:v>
      </x:c>
      <x:c r="L76" s="25" t="str">
        <x:v>Competitive Bank Liability Design</x:v>
      </x:c>
      <x:c r="M76" s="25" t="str">
        <x:v>Una referencia completa; apellido inicial, año y título concuerdan con el PDF, admitiendo diferencias de espacios y tipografía.</x:v>
      </x:c>
      <x:c r="N76" s="25" t="str">
        <x:v>Bigio, Saki, Pierre-Olivier Weill, and Diego Zuniga, “Competitive Bank Liability Design,”2026.</x:v>
      </x:c>
      <x:c r="O76" s="25" t="str">
        <x:v>saki_research/research_vision/research_vision.pdf</x:v>
      </x:c>
      <x:c r="P76" s="25" t="str">
        <x:v>Página PDF 22:
liquidity and macroeconomics: a research vision and an agenda 22
Bigio,Saki,Pierre-OlivierWeill,andDiegoZuniga,“CompetitiveBankLiability
Design,”2026.
Bigio, Saki, Tobias Linzert, Fernando Mendo, Dominik Thaler, and Julian
Schumacher,“AComparative-StaticApproachtoCentralBankBalanceSheet
Policies,”2024.
Boyd,JohnHandEdwardCPrescott,“FinancialIntermediary-Coalitions,”Journal
ofEconomicTheory,1986,38(2),211–232.</x:v>
      </x:c>
    </x:row>
    <x:row r="77" ht="72" customHeight="1">
      <x:c r="A77" s="24" t="str">
        <x:v>C-065</x:v>
      </x:c>
      <x:c r="B77" s="24" t="str">
        <x:v>V01</x:v>
      </x:c>
      <x:c r="C77" s="24" t="n">
        <x:v>50</x:v>
      </x:c>
      <x:c r="D77" s="24" t="str">
        <x:v>22-23</x:v>
      </x:c>
      <x:c r="E77" s="24" t="str">
        <x:v>contaminada</x:v>
      </x:c>
      <x:c r="F77" s="24" t="str">
        <x:v>sí</x:v>
      </x:c>
      <x:c r="G77" s="24" t="str">
        <x:v>sí</x:v>
      </x:c>
      <x:c r="H77" s="24" t="str">
        <x:v>sí</x:v>
      </x:c>
      <x:c r="I77" s="24" t="str">
        <x:f>IF(AND(E77="correcta",F77="sí",G77="sí",H77="sí"),"sí","no")</x:f>
        <x:v>no</x:v>
      </x:c>
      <x:c r="J77" s="25" t="str">
        <x:v>Gertler</x:v>
      </x:c>
      <x:c r="K77" s="49" t="n">
        <x:v>2010</x:v>
      </x:c>
      <x:c r="L77" s="25" t="str">
        <x:v>Financial intermediation and credit policy in business cycle analysis</x:v>
      </x:c>
      <x:c r="M77" s="25" t="str">
        <x:v>La fila incorpora el encabezado de la página 23 de Research vision; la referencia termina en 2010,3,547.</x:v>
      </x:c>
      <x:c r="N77" s="25" t="str">
        <x:v>Gertler, Mark and Nobuhiro Kiyotaki, “Financial intermediation and credit policy in business cycle analysis,”Handbook of Monetary Economics,2010,3,547. liquidity and macroeconomics:a research vision and an agenda 23</x:v>
      </x:c>
      <x:c r="O77" s="25" t="str">
        <x:v>saki_research/research_vision/research_vision.pdf</x:v>
      </x:c>
      <x:c r="P77" s="25" t="str">
        <x:v>Página PDF 22:
Dynamics,”TheQuarterlyJournalofEconomics,2015,130(3),1369–1420.
Galí,Jordi,MonetaryPolicy,Inflation,andtheBusinessCycle: AnIntroductiontothe
NewKeynesianFrameworkandItsApplications,PrincetonUniversityPress,2015.
Gertler,MarkandNobuhiroKiyotaki,“Financialintermediationandcreditpolicy
inbusinesscycleanalysis,”HandbookofMonetaryEconomics,2010,3,547.
Página PDF 23:
liquidity and macroeconomics: a research vision and an agenda 23
Gertler,MarkandPeterKaradi,“AModelofUnconventionalMonetaryPolicy,”
JournalofMonetaryEconomics,2011,58(1),17–34.
Gilchrist,SimonandEgonZakrajšek,“CreditSpreadsandBusinessCycleFluctu-
ations,”AmericanEconomicReview,2012,102(4),1692–1720.
Gorton,GaryB.,MisunderstandingFinancialCrises: WhyweDon’tSeeThemComing,
OxfordUniversityPress,2012.
Gorton,GaryB.andGeorgePennacchi,“FinancialIntermediariesandLiquidity</x:v>
      </x:c>
    </x:row>
    <x:row r="78" ht="72" customHeight="1">
      <x:c r="A78" s="24" t="str">
        <x:v>C-066</x:v>
      </x:c>
      <x:c r="B78" s="24" t="str">
        <x:v>W02</x:v>
      </x:c>
      <x:c r="C78" s="24" t="n">
        <x:v>6</x:v>
      </x:c>
      <x:c r="D78" s="24" t="str">
        <x:v>41</x:v>
      </x:c>
      <x:c r="E78" s="24" t="str">
        <x:v>correcta</x:v>
      </x:c>
      <x:c r="F78" s="24" t="str">
        <x:v>sí</x:v>
      </x:c>
      <x:c r="G78" s="24" t="str">
        <x:v>sí</x:v>
      </x:c>
      <x:c r="H78" s="24" t="str">
        <x:v>sí</x:v>
      </x:c>
      <x:c r="I78" s="24" t="str">
        <x:f>IF(AND(E78="correcta",F78="sí",G78="sí",H78="sí"),"sí","no")</x:f>
        <x:v>sí</x:v>
      </x:c>
      <x:c r="J78" s="25" t="str">
        <x:v>Arce</x:v>
      </x:c>
      <x:c r="K78" s="49" t="n">
        <x:v>2020</x:v>
      </x:c>
      <x:c r="L78" s="25" t="str">
        <x:v>A large central bankbalancesheet? FloorvscorridorsystemsinaNewKeynesianenvironment</x:v>
      </x:c>
      <x:c r="M78" s="25" t="str">
        <x:v>Una referencia completa; apellido inicial, año y título concuerdan con el PDF, admitiendo diferencias de espacios y tipografía.</x:v>
      </x:c>
      <x:c r="N78" s="25" t="str">
        <x:v>Arce, Oscar, Galo Nuno, Dominik Thaler, and Carlos Thomas, “A large central bankbalancesheet? FloorvscorridorsystemsinaNewKeynesianenvironment,” Journal of monetary economics, 2020, 114, 350–367.</x:v>
      </x:c>
      <x:c r="O78" s="25" t="str">
        <x:v>saki_research/working_papers/bigio_sannikov_model_credit_money_interest_prices.pdf</x:v>
      </x:c>
      <x:c r="P78" s="25" t="str">
        <x:v>Página PDF 41:
etary Economics, 1998, 42 (3), 447–469.
Aiyagari, S. Rao, “Uninsured Idiosyncratic Risk and Aggregate Saving,” The Quarterly
Journal of Economics, 1994, 109 (3), 659–684.
Arce, Oscar, Galo Nuno, Dominik Thaler, and Carlos Thomas, “A large central
bankbalancesheet? FloorvscorridorsystemsinaNewKeynesianenvironment,” Journal
of monetary economics, 2020, 114, 350–367.
Ashcraft, Adam B. and Darrell Duffie, “Systemic Illiquidity in the Federal Funds
Market,” American Economic Review, 2007, 97 (2), 221–225.
Auclert, Adrien, “Monetary policy and the redistribution channel,” American Economic</x:v>
      </x:c>
    </x:row>
    <x:row r="79" ht="72" customHeight="1">
      <x:c r="A79" s="24" t="str">
        <x:v>C-067</x:v>
      </x:c>
      <x:c r="B79" s="24" t="str">
        <x:v>W02</x:v>
      </x:c>
      <x:c r="C79" s="24" t="n">
        <x:v>8</x:v>
      </x:c>
      <x:c r="D79" s="24" t="str">
        <x:v>41</x:v>
      </x:c>
      <x:c r="E79" s="24" t="str">
        <x:v>correcta</x:v>
      </x:c>
      <x:c r="F79" s="24" t="str">
        <x:v>sí</x:v>
      </x:c>
      <x:c r="G79" s="24" t="str">
        <x:v>sí</x:v>
      </x:c>
      <x:c r="H79" s="24" t="str">
        <x:v>sí</x:v>
      </x:c>
      <x:c r="I79" s="24" t="str">
        <x:f>IF(AND(E79="correcta",F79="sí",G79="sí",H79="sí"),"sí","no")</x:f>
        <x:v>sí</x:v>
      </x:c>
      <x:c r="J79" s="25" t="str">
        <x:v>Auclert</x:v>
      </x:c>
      <x:c r="K79" s="49" t="n">
        <x:v>2019</x:v>
      </x:c>
      <x:c r="L79" s="25" t="str">
        <x:v>Monetary policy and the redistribution channel</x:v>
      </x:c>
      <x:c r="M79" s="25" t="str">
        <x:v>Una referencia completa; apellido inicial, año y título concuerdan con el PDF, admitiendo diferencias de espacios y tipografía.</x:v>
      </x:c>
      <x:c r="N79" s="25" t="str">
        <x:v>Auclert, Adrien, “Monetary policy and the redistribution channel,” American Economic Review, 2019, 109 (6), 2333–67.</x:v>
      </x:c>
      <x:c r="O79" s="25" t="str">
        <x:v>saki_research/working_papers/bigio_sannikov_model_credit_money_interest_prices.pdf</x:v>
      </x:c>
      <x:c r="P79" s="25" t="str">
        <x:v>Página PDF 41:
of monetary economics, 2020, 114, 350–367.
Ashcraft, Adam B. and Darrell Duffie, “Systemic Illiquidity in the Federal Funds
Market,” American Economic Review, 2007, 97 (2), 221–225.
Auclert, Adrien, “Monetary policy and the redistribution channel,” American Economic
Review, 2019, 109 (6), 2333–67.
Barro, Robert J and Jos´e F Ursu´a, “Rare macroeconomic disasters,” Annual Review
of Economics, 2012, 4 (1), 83–109.
Benigno, Gianluca and Pierpaolo Benigno, “Interest, Reserves and Prices,” 2021.
Berentsen, Aleksander, Gabriele Camera, and Christopher Waller, “Money, credit</x:v>
      </x:c>
    </x:row>
    <x:row r="80" ht="72" customHeight="1">
      <x:c r="A80" s="24" t="str">
        <x:v>C-068</x:v>
      </x:c>
      <x:c r="B80" s="24" t="str">
        <x:v>W02</x:v>
      </x:c>
      <x:c r="C80" s="24" t="n">
        <x:v>11</x:v>
      </x:c>
      <x:c r="D80" s="24" t="str">
        <x:v>41</x:v>
      </x:c>
      <x:c r="E80" s="24" t="str">
        <x:v>correcta</x:v>
      </x:c>
      <x:c r="F80" s="24" t="str">
        <x:v>sí</x:v>
      </x:c>
      <x:c r="G80" s="24" t="str">
        <x:v>sí</x:v>
      </x:c>
      <x:c r="H80" s="24" t="str">
        <x:v>sí</x:v>
      </x:c>
      <x:c r="I80" s="24" t="str">
        <x:f>IF(AND(E80="correcta",F80="sí",G80="sí",H80="sí"),"sí","no")</x:f>
        <x:v>sí</x:v>
      </x:c>
      <x:c r="J80" s="25" t="str">
        <x:v>Berentsen</x:v>
      </x:c>
      <x:c r="K80" s="49" t="n">
        <x:v>2007</x:v>
      </x:c>
      <x:c r="L80" s="25" t="str">
        <x:v>Money,credit and banking</x:v>
      </x:c>
      <x:c r="M80" s="25" t="str">
        <x:v>Una referencia completa; apellido inicial, año y título concuerdan con el PDF, admitiendo diferencias de espacios y tipografía.</x:v>
      </x:c>
      <x:c r="N80" s="25" t="str">
        <x:v>Berentsen,Aleksander,GabrieleCamera,andChristopherWaller,“Money,credit and banking,” Journal of Economic Theory, 2007, 135 (1), 171–195.</x:v>
      </x:c>
      <x:c r="O80" s="25" t="str">
        <x:v>saki_research/working_papers/bigio_sannikov_model_credit_money_interest_prices.pdf</x:v>
      </x:c>
      <x:c r="P80" s="25" t="str">
        <x:v>Página PDF 41:
Barro, Robert J and Jos´e F Ursu´a, “Rare macroeconomic disasters,” Annual Review
of Economics, 2012, 4 (1), 83–109.
Benigno, Gianluca and Pierpaolo Benigno, “Interest, Reserves and Prices,” 2021.
Berentsen, Aleksander, Gabriele Camera, and Christopher Waller, “Money, credit
and banking,” Journal of Economic Theory, 2007, 135 (1), 171–195.
Bewley, Truman, “A Difficulty with the Optimum Quantity of Money,” Econometrica,
1983, 51 (5), 1485–1504.
40</x:v>
      </x:c>
    </x:row>
    <x:row r="81" ht="72" customHeight="1">
      <x:c r="A81" s="24" t="str">
        <x:v>C-069</x:v>
      </x:c>
      <x:c r="B81" s="24" t="str">
        <x:v>W02</x:v>
      </x:c>
      <x:c r="C81" s="24" t="n">
        <x:v>18</x:v>
      </x:c>
      <x:c r="D81" s="24" t="str">
        <x:v>42</x:v>
      </x:c>
      <x:c r="E81" s="24" t="str">
        <x:v>correcta</x:v>
      </x:c>
      <x:c r="F81" s="24" t="str">
        <x:v>sí</x:v>
      </x:c>
      <x:c r="G81" s="24" t="str">
        <x:v>sí</x:v>
      </x:c>
      <x:c r="H81" s="24" t="str">
        <x:v>no</x:v>
      </x:c>
      <x:c r="I81" s="24" t="str">
        <x:f>IF(AND(E81="correcta",F81="sí",G81="sí",H81="sí"),"sí","no")</x:f>
        <x:v>no</x:v>
      </x:c>
      <x:c r="J81" s="25" t="str">
        <x:v>Bindseil</x:v>
      </x:c>
      <x:c r="K81" s="49" t="n">
        <x:v>2014</x:v>
      </x:c>
      <x:c r="L81" s="25"/>
      <x:c r="M81" s="25" t="str">
        <x:v>La referencia está conservada en entry, pero el campo title está vacío.</x:v>
      </x:c>
      <x:c r="N81" s="25" t="str">
        <x:v>Bindseil, Ulrich, Monetary Policy Operations and the Financial System, first edition ed., Oxford University Press, 2014. ISBN-10: 0198716907.</x:v>
      </x:c>
      <x:c r="O81" s="25" t="str">
        <x:v>saki_research/working_papers/bigio_sannikov_model_credit_money_interest_prices.pdf</x:v>
      </x:c>
      <x:c r="P81" s="25" t="str">
        <x:v>Página PDF 42:
Economic Research 2020.
Bilbiie, Florin O., “Monetary Policy and Heterogeneity: An Analytical Framework,”
2020.
Bindseil, Ulrich, Monetary Policy Operations and the Financial System, first edition ed.,
Oxford University Press, 2014. ISBN-10: 0198716907.
Blanchard, Olivier and Jordi Gali, “Labor Markets and Monetary Policy: A New
Keynesian Model with Unemployment,” American Economic Journal: Macroeconomics,
April 2010, 2 (2), 1–30.
Brunnermeier, Markus K. and Yuliy Sannikov, “The I-Theory of Money,” 2012.</x:v>
      </x:c>
    </x:row>
    <x:row r="82" ht="72" customHeight="1">
      <x:c r="A82" s="24" t="str">
        <x:v>C-070</x:v>
      </x:c>
      <x:c r="B82" s="24" t="str">
        <x:v>W02</x:v>
      </x:c>
      <x:c r="C82" s="24" t="n">
        <x:v>37</x:v>
      </x:c>
      <x:c r="D82" s="24" t="str">
        <x:v>44</x:v>
      </x:c>
      <x:c r="E82" s="24" t="str">
        <x:v>correcta</x:v>
      </x:c>
      <x:c r="F82" s="24" t="str">
        <x:v>sí</x:v>
      </x:c>
      <x:c r="G82" s="24" t="str">
        <x:v>sí</x:v>
      </x:c>
      <x:c r="H82" s="24" t="str">
        <x:v>sí</x:v>
      </x:c>
      <x:c r="I82" s="24" t="str">
        <x:f>IF(AND(E82="correcta",F82="sí",G82="sí",H82="sí"),"sí","no")</x:f>
        <x:v>sí</x:v>
      </x:c>
      <x:c r="J82" s="25" t="str">
        <x:v>Guerrieri</x:v>
      </x:c>
      <x:c r="K82" s="49" t="n">
        <x:v>2022</x:v>
      </x:c>
      <x:c r="L82" s="25" t="str">
        <x:v>MacroeconomicImplicationsofCOVID-19: Can Negative Supply Shocks Cause Demand Shortages?</x:v>
      </x:c>
      <x:c r="M82" s="25" t="str">
        <x:v>Una referencia completa; apellido inicial, año y título concuerdan con el PDF, admitiendo diferencias de espacios y tipografía.</x:v>
      </x:c>
      <x:c r="N82" s="25" t="str">
        <x:v>, ,LudwigStraub,andIv ́anWerning,“MacroeconomicImplicationsofCOVID-19: Can Negative Supply Shocks Cause Demand Shortages?,” American Economic Review, May 2022, 112 (5), 1437–74.</x:v>
      </x:c>
      <x:c r="O82" s="25" t="str">
        <x:v>saki_research/working_papers/bigio_sannikov_model_credit_money_interest_prices.pdf</x:v>
      </x:c>
      <x:c r="P82" s="25" t="str">
        <x:v>Página PDF 44:
Guerrieri, Veronica and Guido Lorenzoni, “Credit Crises, Precautionary Savings, and
the Liquidity Trap*,” The Quarterly Journal of Economics, 03 2017, 132 (3), 1427–1467.
, , Ludwig Straub, and Iv´an Werning,“MacroeconomicImplicationsofCOVID-19:
Can Negative Supply Shocks Cause Demand Shortages?,” American Economic Review,
May 2022, 112 (5), 1437–74.
Heider, Florian, Farzad Saidi, and Glenn Schepens, “Life below Zero: Bank Lending
under Negative Policy Rates,” Review of Financial Studies, 2019, forthcoming (10).
Hubmer, Joachim, Per Krusell, and Anthony A. Smith Jr., “SourcesofU.S.Wealth</x:v>
      </x:c>
    </x:row>
    <x:row r="83" ht="72" customHeight="1">
      <x:c r="A83" s="24" t="str">
        <x:v>C-071</x:v>
      </x:c>
      <x:c r="B83" s="24" t="str">
        <x:v>W02</x:v>
      </x:c>
      <x:c r="C83" s="24" t="n">
        <x:v>53</x:v>
      </x:c>
      <x:c r="D83" s="24" t="str">
        <x:v>45</x:v>
      </x:c>
      <x:c r="E83" s="24" t="str">
        <x:v>correcta</x:v>
      </x:c>
      <x:c r="F83" s="24" t="str">
        <x:v>sí</x:v>
      </x:c>
      <x:c r="G83" s="24" t="str">
        <x:v>sí</x:v>
      </x:c>
      <x:c r="H83" s="24" t="str">
        <x:v>sí</x:v>
      </x:c>
      <x:c r="I83" s="24" t="str">
        <x:f>IF(AND(E83="correcta",F83="sí",G83="sí",H83="sí"),"sí","no")</x:f>
        <x:v>sí</x:v>
      </x:c>
      <x:c r="J83" s="25" t="str">
        <x:v>Rocheteau</x:v>
      </x:c>
      <x:c r="K83" s="49" t="n">
        <x:v>2021</x:v>
      </x:c>
      <x:c r="L83" s="25" t="str">
        <x:v>An heterogeneous-agentNew-Monetaristmodelwithanapplicationtounemployment</x:v>
      </x:c>
      <x:c r="M83" s="25" t="str">
        <x:v>Una referencia completa; apellido inicial, año y título concuerdan con el PDF, admitiendo diferencias de espacios y tipografía.</x:v>
      </x:c>
      <x:c r="N83" s="25" t="str">
        <x:v>Rocheteau, Guillaume, Pierre Olivier Weill, and Tsz Nga Wong, “An heterogeneous-agentNew-Monetaristmodelwithanapplicationtounemployment,” Journal of Monetary Economics, 1 2021, 117, 64–90.</x:v>
      </x:c>
      <x:c r="O83" s="25" t="str">
        <x:v>saki_research/working_papers/bigio_sannikov_model_credit_money_interest_prices.pdf</x:v>
      </x:c>
      <x:c r="P83" s="25" t="str">
        <x:v>Página PDF 45:
Ravn, Morten O and Vincent Sterk, “Macroeconomic Fluctuations with HANK &amp;
SAM: an Analytical Approach,” Journal of the European Economic Association, 06 2020,
19 (2), 1162–1202. jvaa028.
Rocheteau, Guillaume, Pierre Olivier Weill, and Tsz Nga Wong, “An
heterogeneous-agentNew-Monetaristmodelwithanapplicationtounemployment,”Jour-
nal of Monetary Economics, 1 2021, 117, 64–90.
Schaab, Andreas, “Micro and Macro Uncertainty,” November 2020. Unpublished
Manuscript.
Schnabel, Isabel, “Back to normal? Balance sheet size and interest rate control,” March</x:v>
      </x:c>
    </x:row>
    <x:row r="84" ht="72" customHeight="1">
      <x:c r="A84" s="24" t="str">
        <x:v>C-072</x:v>
      </x:c>
      <x:c r="B84" s="24" t="str">
        <x:v>W02</x:v>
      </x:c>
      <x:c r="C84" s="24" t="n">
        <x:v>61</x:v>
      </x:c>
      <x:c r="D84" s="24" t="str">
        <x:v>45</x:v>
      </x:c>
      <x:c r="E84" s="24" t="str">
        <x:v>correcta</x:v>
      </x:c>
      <x:c r="F84" s="24" t="str">
        <x:v>sí</x:v>
      </x:c>
      <x:c r="G84" s="24" t="str">
        <x:v>sí</x:v>
      </x:c>
      <x:c r="H84" s="24" t="str">
        <x:v>sí</x:v>
      </x:c>
      <x:c r="I84" s="24" t="str">
        <x:f>IF(AND(E84="correcta",F84="sí",G84="sí",H84="sí"),"sí","no")</x:f>
        <x:v>sí</x:v>
      </x:c>
      <x:c r="J84" s="25" t="str">
        <x:v>Weingarden</x:v>
      </x:c>
      <x:c r="K84" s="49" t="n">
        <x:v>2020</x:v>
      </x:c>
      <x:c r="L84" s="25" t="str">
        <x:v>Worker Churn at Establishments over the Business Cycle</x:v>
      </x:c>
      <x:c r="M84" s="25" t="str">
        <x:v>Una referencia completa; apellido inicial, año y título concuerdan con el PDF, admitiendo diferencias de espacios y tipografía.</x:v>
      </x:c>
      <x:c r="N84" s="25" t="str">
        <x:v>Weingarden, Alison, “Worker Churn at Establishments over the Business Cycle,” FEDS Notes Board of Governors of the Federal Reserve System, August 2020.</x:v>
      </x:c>
      <x:c r="O84" s="25" t="str">
        <x:v>saki_research/working_papers/bigio_sannikov_model_credit_money_interest_prices.pdf</x:v>
      </x:c>
      <x:c r="P84" s="25" t="str">
        <x:v>Página PDF 45:
can Economic Review, 1981, 71 (3), pp. 267–274.
Wang, Olivier, “Banks, Low Interest Rates, and Monetary Policy Transmission,” 2019.
Unpublished manuscript.
Weingarden, Alison, “Worker Churn at Establishments over the Business Cycle,” FEDS
Notes Board of Governors of the Federal Reserve System, August 2020.
Werning, Iv´an, “Incomplete markets and aggregate demand,” Technical Report, National
Bureau of Economic Research 2015.
44</x:v>
      </x:c>
    </x:row>
    <x:row r="85" ht="72" customHeight="1">
      <x:c r="A85" s="24" t="str">
        <x:v>C-073</x:v>
      </x:c>
      <x:c r="B85" s="24" t="str">
        <x:v>W02</x:v>
      </x:c>
      <x:c r="C85" s="24" t="n">
        <x:v>64</x:v>
      </x:c>
      <x:c r="D85" s="24" t="str">
        <x:v>46</x:v>
      </x:c>
      <x:c r="E85" s="24" t="str">
        <x:v>correcta</x:v>
      </x:c>
      <x:c r="F85" s="24" t="str">
        <x:v>sí</x:v>
      </x:c>
      <x:c r="G85" s="24" t="str">
        <x:v>sí</x:v>
      </x:c>
      <x:c r="H85" s="24" t="str">
        <x:v>sí</x:v>
      </x:c>
      <x:c r="I85" s="24" t="str">
        <x:f>IF(AND(E85="correcta",F85="sí",G85="sí",H85="sí"),"sí","no")</x:f>
        <x:v>sí</x:v>
      </x:c>
      <x:c r="J85" s="25" t="str">
        <x:v>Wong</x:v>
      </x:c>
      <x:c r="K85" s="49" t="n">
        <x:v>2019</x:v>
      </x:c>
      <x:c r="L85" s="25" t="str">
        <x:v>Refinancing and the transmission of monetary policy to consumption</x:v>
      </x:c>
      <x:c r="M85" s="25" t="str">
        <x:v>Una referencia completa; apellido inicial, año y título concuerdan con el PDF, admitiendo diferencias de espacios y tipografía.</x:v>
      </x:c>
      <x:c r="N85" s="25" t="str">
        <x:v>Wong, Arlene, “Refinancing and the transmission of monetary policy to consumption,” Unpublished manuscript, 2019.</x:v>
      </x:c>
      <x:c r="O85" s="25" t="str">
        <x:v>saki_research/working_papers/bigio_sannikov_model_credit_money_interest_prices.pdf</x:v>
      </x:c>
      <x:c r="P85" s="25" t="str">
        <x:v>Página PDF 46:
Williamson, Stephen, “Liquidity, Monetary Policy, and the Financial Crisis: A New
Monetarist Approach,” American Economic Review, 2012, 102 (6), 2570–2605.
Wong, Arlene, “Refinancing and the transmission of monetary policy to consumption,”
Unpublished manuscript, 2019.</x:v>
      </x:c>
    </x:row>
    <x:row r="86" ht="72" customHeight="1">
      <x:c r="A86" s="24" t="str">
        <x:v>C-074</x:v>
      </x:c>
      <x:c r="B86" s="24" t="str">
        <x:v>W03</x:v>
      </x:c>
      <x:c r="C86" s="24" t="n">
        <x:v>3</x:v>
      </x:c>
      <x:c r="D86" s="24" t="str">
        <x:v>33</x:v>
      </x:c>
      <x:c r="E86" s="24" t="str">
        <x:v>correcta</x:v>
      </x:c>
      <x:c r="F86" s="24" t="str">
        <x:v>sí</x:v>
      </x:c>
      <x:c r="G86" s="24" t="str">
        <x:v>sí</x:v>
      </x:c>
      <x:c r="H86" s="24" t="str">
        <x:v>sí</x:v>
      </x:c>
      <x:c r="I86" s="24" t="str">
        <x:f>IF(AND(E86="correcta",F86="sí",G86="sí",H86="sí"),"sí","no")</x:f>
        <x:v>sí</x:v>
      </x:c>
      <x:c r="J86" s="25" t="str">
        <x:v>Adrian</x:v>
      </x:c>
      <x:c r="K86" s="49" t="n">
        <x:v>2005</x:v>
      </x:c>
      <x:c r="L86" s="25" t="str">
        <x:v>Whatfinancingdatarevealaboutdealerleverage</x:v>
      </x:c>
      <x:c r="M86" s="25" t="str">
        <x:v>Una referencia completa; apellido inicial, año y título concuerdan con el PDF, admitiendo diferencias de espacios y tipografía.</x:v>
      </x:c>
      <x:c r="N86" s="25" t="str">
        <x:v>Adrian,TobiasandMichaelJFleming,“Whatfinancingdatarevealaboutdealerleverage,” CurrentIssuesinEconomicsandFinance,2005,11(3),1–7.</x:v>
      </x:c>
      <x:c r="O86" s="25" t="str">
        <x:v>saki_research/working_papers/bianchi_bigio_engel_scrambling_dollars_international_liquidity_banks_exchange_rate.pdf</x:v>
      </x:c>
      <x:c r="P86" s="25" t="str">
        <x:v>Página PDF 33:
Adrian, Mr Tobias andPeichu Xie, , Interna-
The Non-US Bank Demand for USDollar Assets
tionalMonetaryFund,2020.
Adrian,TobiasandMichaelJFleming,“Whatfinancingdatarevealaboutdealerleverage,”
,2005, (3),1–7.
CurrentIssuesinEconomicsandFinance 11
, Erkko Etula, and Hyun Song Shin, “Risk appetite and exchange rates,”
FRB of New
,2010,(361).</x:v>
      </x:c>
    </x:row>
    <x:row r="87" ht="72" customHeight="1">
      <x:c r="A87" s="24" t="str">
        <x:v>C-075</x:v>
      </x:c>
      <x:c r="B87" s="24" t="str">
        <x:v>W03</x:v>
      </x:c>
      <x:c r="C87" s="24" t="n">
        <x:v>12</x:v>
      </x:c>
      <x:c r="D87" s="24" t="str">
        <x:v>34</x:v>
      </x:c>
      <x:c r="E87" s="24" t="str">
        <x:v>correcta</x:v>
      </x:c>
      <x:c r="F87" s="24" t="str">
        <x:v>sí</x:v>
      </x:c>
      <x:c r="G87" s="24" t="str">
        <x:v>sí</x:v>
      </x:c>
      <x:c r="H87" s="24" t="str">
        <x:v>sí</x:v>
      </x:c>
      <x:c r="I87" s="24" t="str">
        <x:f>IF(AND(E87="correcta",F87="sí",G87="sí",H87="sí"),"sí","no")</x:f>
        <x:v>sí</x:v>
      </x:c>
      <x:c r="J87" s="25" t="str">
        <x:v>Bansal</x:v>
      </x:c>
      <x:c r="K87" s="49" t="n">
        <x:v>2013</x:v>
      </x:c>
      <x:c r="L87" s="25" t="str">
        <x:v>A long-run risks explanation of predictability puzzlesinbondandcurrencymarkets</x:v>
      </x:c>
      <x:c r="M87" s="25" t="str">
        <x:v>Una referencia completa; apellido inicial, año y título concuerdan con el PDF, admitiendo diferencias de espacios y tipografía.</x:v>
      </x:c>
      <x:c r="N87" s="25" t="str">
        <x:v>Bansal, Ravi and Ivan Shaliastovich, “A long-run risks explanation of predictability puzzlesinbondandcurrencymarkets,”TheReviewofFinancialStudies,2013,26(1),1–33.</x:v>
      </x:c>
      <x:c r="O87" s="25" t="str">
        <x:v>saki_research/working_papers/bianchi_bigio_engel_scrambling_dollars_international_liquidity_banks_exchange_rate.pdf</x:v>
      </x:c>
      <x:c r="P87" s="25" t="str">
        <x:v>Página PDF 34:
Bacchetta,PhilippeandEricVanWincoop,“Infrequentportfoliodecisions: Asolutionto
theforwarddiscountpuzzle,” ,2010, (3),870–904.
AmericanEconomicReview 100
Bansal, Ravi and Ivan Shaliastovich, “A long-run risks explanation of predictability
puzzlesinbondandcurrencymarkets,” ,2013, (1),1–33.
TheReviewofFinancialStudies 26
Bianchi, Javier and Saki Bigio, “Banks, liquidity management, and monetary policy,”
,2022, (1),391–454.
Econometrica 90</x:v>
      </x:c>
    </x:row>
    <x:row r="88" ht="72" customHeight="1">
      <x:c r="A88" s="24" t="str">
        <x:v>C-076</x:v>
      </x:c>
      <x:c r="B88" s="24" t="str">
        <x:v>W03</x:v>
      </x:c>
      <x:c r="C88" s="24" t="n">
        <x:v>16</x:v>
      </x:c>
      <x:c r="D88" s="24" t="str">
        <x:v>34</x:v>
      </x:c>
      <x:c r="E88" s="24" t="str">
        <x:v>correcta</x:v>
      </x:c>
      <x:c r="F88" s="24" t="str">
        <x:v>sí</x:v>
      </x:c>
      <x:c r="G88" s="24" t="str">
        <x:v>sí</x:v>
      </x:c>
      <x:c r="H88" s="24" t="str">
        <x:v>sí</x:v>
      </x:c>
      <x:c r="I88" s="24" t="str">
        <x:f>IF(AND(E88="correcta",F88="sí",G88="sí",H88="sí"),"sí","no")</x:f>
        <x:v>sí</x:v>
      </x:c>
      <x:c r="J88" s="25" t="str">
        <x:v>Brunnermeier</x:v>
      </x:c>
      <x:c r="K88" s="49" t="n">
        <x:v>2008</x:v>
      </x:c>
      <x:c r="L88" s="25" t="str">
        <x:v>Carrytradesandcurrencycrashes</x:v>
      </x:c>
      <x:c r="M88" s="25" t="str">
        <x:v>Una referencia completa; apellido inicial, año y título concuerdan con el PDF, admitiendo diferencias de espacios y tipografía.</x:v>
      </x:c>
      <x:c r="N88" s="25" t="str">
        <x:v>Brunnermeier,MarkusK,StefanNagel,andLasseHPedersen,“Carrytradesandcurrencycrashes,”NBERmacroeconomicsannual,2008,23(1),313–348.</x:v>
      </x:c>
      <x:c r="O88" s="25" t="str">
        <x:v>saki_research/working_papers/bianchi_bigio_engel_scrambling_dollars_international_liquidity_banks_exchange_rate.pdf</x:v>
      </x:c>
      <x:c r="P88" s="25" t="str">
        <x:v>Página PDF 34:
, ,and ,“AddendumtoScramblingforDollars: InternationalLiquidity,Banksand
ExchangeRates,”2024. Mimeo,FederalReserveBankofMinneapolisLink.
Bohorquez,Diego,“TheDollarandGlobalFinancialCollapse,”2023. Mimeo,CREI.
Brunnermeier,MarkusK,StefanNagel,andLasseHPedersen,“Carrytradesandcur-
rencycrashes,” ,2008, (1),313–348.
NBERmacroeconomicsannual 23
Colacito,Ric,MaxCroce,StevenHo,andPhilipHoward,“BKKtheEZway: International
long-run growth news and capital flows,” , 2018, (11),
American Economic Review 108</x:v>
      </x:c>
    </x:row>
    <x:row r="89" ht="72" customHeight="1">
      <x:c r="A89" s="24" t="str">
        <x:v>C-077</x:v>
      </x:c>
      <x:c r="B89" s="24" t="str">
        <x:v>W03</x:v>
      </x:c>
      <x:c r="C89" s="24" t="n">
        <x:v>48</x:v>
      </x:c>
      <x:c r="D89" s="24" t="str">
        <x:v>37</x:v>
      </x:c>
      <x:c r="E89" s="24" t="str">
        <x:v>correcta</x:v>
      </x:c>
      <x:c r="F89" s="24" t="str">
        <x:v>sí</x:v>
      </x:c>
      <x:c r="G89" s="24" t="str">
        <x:v>sí</x:v>
      </x:c>
      <x:c r="H89" s="24" t="str">
        <x:v>sí</x:v>
      </x:c>
      <x:c r="I89" s="24" t="str">
        <x:f>IF(AND(E89="correcta",F89="sí",G89="sí",H89="sí"),"sí","no")</x:f>
        <x:v>sí</x:v>
      </x:c>
      <x:c r="J89" s="25" t="str">
        <x:v>Kekre</x:v>
      </x:c>
      <x:c r="K89" s="49" t="n">
        <x:v>2024</x:v>
      </x:c>
      <x:c r="L89" s="25" t="str">
        <x:v>The flight to safety and international risk sharing</x:v>
      </x:c>
      <x:c r="M89" s="25" t="str">
        <x:v>Una referencia completa; apellido inicial, año y título concuerdan con el PDF, admitiendo diferencias de espacios y tipografía.</x:v>
      </x:c>
      <x:c r="N89" s="25" t="str">
        <x:v>Kekre, RohanandMoritzLenel, “The flight to safety and international risk sharing,” AmericanEconomicReview,2024,114(6),1650–1691.</x:v>
      </x:c>
      <x:c r="O89" s="25" t="str">
        <x:v>saki_research/working_papers/bianchi_bigio_engel_scrambling_dollars_international_liquidity_banks_exchange_rate.pdf</x:v>
      </x:c>
      <x:c r="P89" s="25" t="str">
        <x:v>Página PDF 37:
Kareken,JohnandNeilWallace,“Ontheindeterminacyofequilibriumexchangerates,”
,1981, (2),207–222.
TheQuarterlyJournalofEconomics 96
Kekre, Rohan and Moritz Lenel, “The flight to safety and international risk sharing,”
,2024, (6),1650–1691.
AmericanEconomicReview 114
Kim,Chang-Jin,“DynamicLinearModelswithMarkov-Switching,” ,
JournalofEconometrics
1994, (1-2),1–22.</x:v>
      </x:c>
    </x:row>
    <x:row r="90" ht="72" customHeight="1">
      <x:c r="A90" s="24" t="str">
        <x:v>C-078</x:v>
      </x:c>
      <x:c r="B90" s="24" t="str">
        <x:v>W03</x:v>
      </x:c>
      <x:c r="C90" s="24" t="n">
        <x:v>53</x:v>
      </x:c>
      <x:c r="D90" s="24" t="str">
        <x:v>37</x:v>
      </x:c>
      <x:c r="E90" s="24" t="str">
        <x:v>correcta</x:v>
      </x:c>
      <x:c r="F90" s="24" t="str">
        <x:v>sí</x:v>
      </x:c>
      <x:c r="G90" s="24" t="str">
        <x:v>sí</x:v>
      </x:c>
      <x:c r="H90" s="24" t="str">
        <x:v>sí</x:v>
      </x:c>
      <x:c r="I90" s="24" t="str">
        <x:f>IF(AND(E90="correcta",F90="sí",G90="sí",H90="sí"),"sí","no")</x:f>
        <x:v>sí</x:v>
      </x:c>
      <x:c r="J90" s="25" t="str">
        <x:v>Lucas</x:v>
      </x:c>
      <x:c r="K90" s="49" t="n">
        <x:v>1982</x:v>
      </x:c>
      <x:c r="L90" s="25" t="str">
        <x:v>Interestratesandcurrencypricesinatwo-countryworld</x:v>
      </x:c>
      <x:c r="M90" s="25" t="str">
        <x:v>Una referencia completa; apellido inicial, año y título concuerdan con el PDF, admitiendo diferencias de espacios y tipografía.</x:v>
      </x:c>
      <x:c r="N90" s="25" t="str">
        <x:v>Lucas,RobertE,“Interestratesandcurrencypricesinatwo-countryworld,”Journalof MonetaryEconomics,1982,10(3),335–359.</x:v>
      </x:c>
      <x:c r="O90" s="25" t="str">
        <x:v>saki_research/working_papers/bianchi_bigio_engel_scrambling_dollars_international_liquidity_banks_exchange_rate.pdf</x:v>
      </x:c>
      <x:c r="P90" s="25" t="str">
        <x:v>Página PDF 37:
Lilley, Andrew, Matteo Maggiori, Brent Neiman, and Jesse Schreger, “Exchange rate
reconnect,” ,2019,pp.1–28.
TheReviewofEconomicsandStatistics
Lucas, Robert E, “Interest rates and currency prices in a two-country world,”
Journal of
,1982, (3),335–359.
MonetaryEconomics 10
Maggiori,Matteo,“Financial intermediation,internationalrisksharing, andreservecur-
rencies,” ,2017, (10),3038–71.</x:v>
      </x:c>
    </x:row>
    <x:row r="91" ht="72" customHeight="1">
      <x:c r="A91" s="24" t="str">
        <x:v>C-079</x:v>
      </x:c>
      <x:c r="B91" s="24" t="str">
        <x:v>W04</x:v>
      </x:c>
      <x:c r="C91" s="24" t="n">
        <x:v>1</x:v>
      </x:c>
      <x:c r="D91" s="24" t="str">
        <x:v>43</x:v>
      </x:c>
      <x:c r="E91" s="24" t="str">
        <x:v>correcta</x:v>
      </x:c>
      <x:c r="F91" s="24" t="str">
        <x:v>sí</x:v>
      </x:c>
      <x:c r="G91" s="24" t="str">
        <x:v>sí</x:v>
      </x:c>
      <x:c r="H91" s="24" t="str">
        <x:v>sí</x:v>
      </x:c>
      <x:c r="I91" s="24" t="str">
        <x:f>IF(AND(E91="correcta",F91="sí",G91="sí",H91="sí"),"sí","no")</x:f>
        <x:v>sí</x:v>
      </x:c>
      <x:c r="J91" s="25" t="str">
        <x:v>Aiyagari</x:v>
      </x:c>
      <x:c r="K91" s="49" t="n">
        <x:v>2002</x:v>
      </x:c>
      <x:c r="L91" s="25" t="str">
        <x:v>Optimal taxation without state-contingent debt</x:v>
      </x:c>
      <x:c r="M91" s="25" t="str">
        <x:v>Una referencia completa; apellido inicial, año y título concuerdan con el PDF, admitiendo diferencias de espacios y tipografía.</x:v>
      </x:c>
      <x:c r="N91" s="25" t="str">
        <x:v>Aiyagari, S Rao, Albert Marcet, Thomas J Sargent, and Juha Sepp ̈al ̈a, “Optimal taxation without state-contingent debt,”Journal of Political Economy, 2002, 110(6), 1220–1254.4.1</x:v>
      </x:c>
      <x:c r="O91" s="25" t="str">
        <x:v>saki_research/working_papers/bigio_caramp_silva_sticky_inflation_monetary_policy_debt_drags_inflation_expectations.pdf</x:v>
      </x:c>
      <x:c r="P91" s="25" t="str">
        <x:v>Página PDF 43:
References
Aiyagari, S Rao, Albert Marcet, Thomas J Sargent, and Juha Seppa¨la¨, “Optimal taxation
withoutstate-contingentdebt,”JournalofPoliticalEconomy,2002,110(6),1220–1254. 4.1
Angeletos, George-Marios, Chen Lian, and Christian K Wolf, “Deficits and Inflation:
HANKmeetsFTPL,”2024. 1
Arutyunov, Aram, Dmitry Karamzin, and Fernando Lobo Pereira, “Optimal impulsive
control,”LectureNotesinControlandInformationSciences.Springer,Cham,2019,477. 17,36
Attanasio, Orazio P and Guglielmo Weber, “Is consumption growth consistent with in-</x:v>
      </x:c>
    </x:row>
    <x:row r="92" ht="72" customHeight="1">
      <x:c r="A92" s="24" t="str">
        <x:v>C-080</x:v>
      </x:c>
      <x:c r="B92" s="24" t="str">
        <x:v>W04</x:v>
      </x:c>
      <x:c r="C92" s="24" t="n">
        <x:v>10</x:v>
      </x:c>
      <x:c r="D92" s="24" t="str">
        <x:v>43</x:v>
      </x:c>
      <x:c r="E92" s="24" t="str">
        <x:v>correcta</x:v>
      </x:c>
      <x:c r="F92" s="24" t="str">
        <x:v>sí</x:v>
      </x:c>
      <x:c r="G92" s="24" t="str">
        <x:v>sí</x:v>
      </x:c>
      <x:c r="H92" s="24" t="str">
        <x:v>sí</x:v>
      </x:c>
      <x:c r="I92" s="24" t="str">
        <x:f>IF(AND(E92="correcta",F92="sí",G92="sí",H92="sí"),"sí","no")</x:f>
        <x:v>sí</x:v>
      </x:c>
      <x:c r="J92" s="25" t="str">
        <x:v>Bianchi</x:v>
      </x:c>
      <x:c r="K92" s="49" t="n">
        <x:v>2017</x:v>
      </x:c>
      <x:c r="L92" s="25" t="str">
        <x:v>Escaping the great recession</x:v>
      </x:c>
      <x:c r="M92" s="25" t="str">
        <x:v>Una referencia completa; apellido inicial, año y título concuerdan con el PDF, admitiendo diferencias de espacios y tipografía.</x:v>
      </x:c>
      <x:c r="N92" s="25" t="str">
        <x:v>and Leonardo Melosi, “Escaping the great recession,” American Economic Review, 2017, 107 (4), 1030–58.5.2</x:v>
      </x:c>
      <x:c r="O92" s="25" t="str">
        <x:v>saki_research/working_papers/bigio_caramp_silva_sticky_inflation_monetary_policy_debt_drags_inflation_expectations.pdf</x:v>
      </x:c>
      <x:c r="P92" s="25" t="str">
        <x:v>Página PDF 43:
ofEconomicResearch2023. 1
Bianchi, Francesco and Cosmin Ilut, “Monetary/fiscal policy mix and agents’ beliefs,” Re-
viewofEconomicDynamics,2017,26,113–139. 1
and Leonardo Melosi, “Escaping the great recession,” American Economic Review, 2017,
107(4),1030–58. 5.2
and ,“Thedireeffectsofthelackofmonetaryandfiscalcoordination,”JournalofMon-
etaryEconomics,2019,104,1–22. 1
, Renato Faccini, and Leonardo Melosi, “A Fiscal Theory of Persistent Inflation,” The
QuarterlyJournalofEconomics,052023,p.qjad027. 1,1,5.2</x:v>
      </x:c>
    </x:row>
    <x:row r="93" ht="72" customHeight="1">
      <x:c r="A93" s="24" t="str">
        <x:v>C-081</x:v>
      </x:c>
      <x:c r="B93" s="24" t="str">
        <x:v>W04</x:v>
      </x:c>
      <x:c r="C93" s="24" t="n">
        <x:v>35</x:v>
      </x:c>
      <x:c r="D93" s="24" t="str">
        <x:v>46</x:v>
      </x:c>
      <x:c r="E93" s="24" t="str">
        <x:v>correcta</x:v>
      </x:c>
      <x:c r="F93" s="24" t="str">
        <x:v>sí</x:v>
      </x:c>
      <x:c r="G93" s="24" t="str">
        <x:v>sí</x:v>
      </x:c>
      <x:c r="H93" s="24" t="str">
        <x:v>sí</x:v>
      </x:c>
      <x:c r="I93" s="24" t="str">
        <x:f>IF(AND(E93="correcta",F93="sí",G93="sí",H93="sí"),"sí","no")</x:f>
        <x:v>sí</x:v>
      </x:c>
      <x:c r="J93" s="25" t="str">
        <x:v>Hall</x:v>
      </x:c>
      <x:c r="K93" s="49" t="n">
        <x:v>2024</x:v>
      </x:c>
      <x:c r="L93" s="25" t="str">
        <x:v>Fiscal Consequences of the US War on COVID</x:v>
      </x:c>
      <x:c r="M93" s="25" t="str">
        <x:v>Una referencia completa; apellido inicial, año y título concuerdan con el PDF, admitiendo diferencias de espacios y tipografía.</x:v>
      </x:c>
      <x:c r="N93" s="25" t="str">
        <x:v>and , “Fiscal Consequences of the US War on COVID,”mimeo, 2024.5.2</x:v>
      </x:c>
      <x:c r="O93" s="25" t="str">
        <x:v>saki_research/working_papers/bigio_caramp_silva_sticky_inflation_monetary_policy_debt_drags_inflation_expectations.pdf</x:v>
      </x:c>
      <x:c r="P93" s="25" t="str">
        <x:v>Página PDF 46:
and ,“FiscalConsequencesoftheUSWaronCOVID,”mimeo,2024. 5.2
Hall, George, Jonathan Payne, and Thomas Sargent, “US Federal Debt 1776-1960: Quanti-
tiesandPrices,”Mimeo,2018. E.2
Harris, Christopher and David Laibson, “Instantaneous gratification,” The Quarterly Jour-
nalofEconomics,2013,128(1),205–248. 22
Hazell, Jonathon and Stephan Hobler, “Do Deficits Cause Inflation?, A High Frequency
NarrativeApproach,”2024. LSEWorkingPaper,2024. 1,1,5.2
, Juan Herreno, Emi Nakamura, and Jo´n Steinsson, “The slope of the Phillips Curve:</x:v>
      </x:c>
    </x:row>
    <x:row r="94" ht="72" customHeight="1">
      <x:c r="A94" s="24" t="str">
        <x:v>C-082</x:v>
      </x:c>
      <x:c r="B94" s="24" t="str">
        <x:v>W04</x:v>
      </x:c>
      <x:c r="C94" s="24" t="n">
        <x:v>46</x:v>
      </x:c>
      <x:c r="D94" s="24" t="str">
        <x:v>46</x:v>
      </x:c>
      <x:c r="E94" s="24" t="str">
        <x:v>correcta</x:v>
      </x:c>
      <x:c r="F94" s="24" t="str">
        <x:v>sí</x:v>
      </x:c>
      <x:c r="G94" s="24" t="str">
        <x:v>sí</x:v>
      </x:c>
      <x:c r="H94" s="24" t="str">
        <x:v>sí</x:v>
      </x:c>
      <x:c r="I94" s="24" t="str">
        <x:f>IF(AND(E94="correcta",F94="sí",G94="sí",H94="sí"),"sí","no")</x:f>
        <x:v>sí</x:v>
      </x:c>
      <x:c r="J94" s="25" t="str">
        <x:v>Liemen</x:v>
      </x:c>
      <x:c r="K94" s="49" t="n">
        <x:v>2022</x:v>
      </x:c>
      <x:c r="L94" s="25" t="str">
        <x:v>FTPLandthematuritystructureofgovernmentdebtin the New-Keynesian Model</x:v>
      </x:c>
      <x:c r="M94" s="25" t="str">
        <x:v>Una referencia completa; apellido inicial, año y título concuerdan con el PDF, admitiendo diferencias de espacios y tipografía.</x:v>
      </x:c>
      <x:c r="N94" s="25" t="str">
        <x:v>Liemen,MaxOleandOlafPosch,“FTPLandthematuritystructureofgovernmentdebtin the New-Keynesian Model,”Available at SSRN 4157228, 2022.1</x:v>
      </x:c>
      <x:c r="O94" s="25" t="str">
        <x:v>saki_research/working_papers/bigio_caramp_silva_sticky_inflation_monetary_policy_debt_drags_inflation_expectations.pdf</x:v>
      </x:c>
      <x:c r="P94" s="25" t="str">
        <x:v>Página PDF 46:
turitypolicy,”JournalofMonetaryEconomics,2021,117,600–617. 1
Li, Jian, Zhiyu Fu, and Yinxi Xie, “Convenience yield, inflation expectations, and public
debtgrowth,”InflationExpectations,andPublicDebtGrowth(February5,2022),2022. 10
Liemen,MaxOleandOlafPosch,“FTPLandthematuritystructureofgovernmentdebtin
theNew-KeynesianModel,”AvailableatSSRN4157228,2022. 1
Ljungqvist,LarsandThomasJSargent,Recursivemacroeconomictheory,MITpress,2018. 1
Lorenzoni,GuidoandIvanWerning,“InflationisConflict,”2023. 3
45</x:v>
      </x:c>
    </x:row>
    <x:row r="95" ht="72" customHeight="1">
      <x:c r="A95" s="24" t="str">
        <x:v>C-083</x:v>
      </x:c>
      <x:c r="B95" s="24" t="str">
        <x:v>W04</x:v>
      </x:c>
      <x:c r="C95" s="24" t="n">
        <x:v>48</x:v>
      </x:c>
      <x:c r="D95" s="24" t="str">
        <x:v>46</x:v>
      </x:c>
      <x:c r="E95" s="24" t="str">
        <x:v>correcta</x:v>
      </x:c>
      <x:c r="F95" s="24" t="str">
        <x:v>sí</x:v>
      </x:c>
      <x:c r="G95" s="24" t="str">
        <x:v>sí</x:v>
      </x:c>
      <x:c r="H95" s="24" t="str">
        <x:v>sí</x:v>
      </x:c>
      <x:c r="I95" s="24" t="str">
        <x:f>IF(AND(E95="correcta",F95="sí",G95="sí",H95="sí"),"sí","no")</x:f>
        <x:v>sí</x:v>
      </x:c>
      <x:c r="J95" s="25" t="str">
        <x:v>Lorenzoni</x:v>
      </x:c>
      <x:c r="K95" s="49" t="n">
        <x:v>2023</x:v>
      </x:c>
      <x:c r="L95" s="25" t="str">
        <x:v>Inflation is Conflict</x:v>
      </x:c>
      <x:c r="M95" s="25" t="str">
        <x:v>Una referencia completa; apellido inicial, año y título concuerdan con el PDF, admitiendo diferencias de espacios y tipografía.</x:v>
      </x:c>
      <x:c r="N95" s="25" t="str">
        <x:v>Lorenzoni, Guido and Ivan Werning, “Inflation is Conflict,” 2023.3</x:v>
      </x:c>
      <x:c r="O95" s="25" t="str">
        <x:v>saki_research/working_papers/bigio_caramp_silva_sticky_inflation_monetary_policy_debt_drags_inflation_expectations.pdf</x:v>
      </x:c>
      <x:c r="P95" s="25" t="str">
        <x:v>Página PDF 46:
Liemen,MaxOleandOlafPosch,“FTPLandthematuritystructureofgovernmentdebtin
theNew-KeynesianModel,”AvailableatSSRN4157228,2022. 1
Ljungqvist,LarsandThomasJSargent,Recursivemacroeconomictheory,MITpress,2018. 1
Lorenzoni,GuidoandIvanWerning,“InflationisConflict,”2023. 3
45</x:v>
      </x:c>
    </x:row>
    <x:row r="96" ht="72" customHeight="1">
      <x:c r="A96" s="24" t="str">
        <x:v>C-084</x:v>
      </x:c>
      <x:c r="B96" s="24" t="str">
        <x:v>W04</x:v>
      </x:c>
      <x:c r="C96" s="24" t="n">
        <x:v>49</x:v>
      </x:c>
      <x:c r="D96" s="24" t="str">
        <x:v>47</x:v>
      </x:c>
      <x:c r="E96" s="24" t="str">
        <x:v>correcta</x:v>
      </x:c>
      <x:c r="F96" s="24" t="str">
        <x:v>sí</x:v>
      </x:c>
      <x:c r="G96" s="24" t="str">
        <x:v>sí</x:v>
      </x:c>
      <x:c r="H96" s="24" t="str">
        <x:v>sí</x:v>
      </x:c>
      <x:c r="I96" s="24" t="str">
        <x:f>IF(AND(E96="correcta",F96="sí",G96="sí",H96="sí"),"sí","no")</x:f>
        <x:v>sí</x:v>
      </x:c>
      <x:c r="J96" s="25" t="str">
        <x:v>Lorenzoni</x:v>
      </x:c>
      <x:c r="K96" s="49" t="n">
        <x:v>2023</x:v>
      </x:c>
      <x:c r="L96" s="25" t="str">
        <x:v>Wage Price Spirals</x:v>
      </x:c>
      <x:c r="M96" s="25" t="str">
        <x:v>Una referencia completa; apellido inicial, año y título concuerdan con el PDF, admitiendo diferencias de espacios y tipografía.</x:v>
      </x:c>
      <x:c r="N96" s="25" t="str">
        <x:v>and Iv ́an Werning, “Wage Price Spirals,” 2023.3</x:v>
      </x:c>
      <x:c r="O96" s="25" t="str">
        <x:v>saki_research/working_papers/bigio_caramp_silva_sticky_inflation_monetary_policy_debt_drags_inflation_expectations.pdf</x:v>
      </x:c>
      <x:c r="P96" s="25" t="str">
        <x:v>Página PDF 47:
andIva´nWerning,“WagePriceSpirals,”2023. 3
Marcet, Albert and Ramon Marimon, “Recursive contracts,” Econometrica, 2019, 87 (5),
1589–1631. 4.1
McKay, Alisdair, Emi Nakamura, and Jo´n Steinsson, “The power of forward guidance
revisited,”TheAmericanEconomicReview,2016,106(10),3133–3158. 5
Michaillat,PascalandEmmanuelSaez,“MoenMeetsRotemberg: AnEarthlyModelofthe
DivineCoincidence,”2024. 3
Papell,DavidHandRuxandraProdan-Boul,“PolicyRulesandForwardGuidanceFollow-</x:v>
      </x:c>
    </x:row>
    <x:row r="97" ht="72" customHeight="1">
      <x:c r="A97" s="24" t="str">
        <x:v>C-085</x:v>
      </x:c>
      <x:c r="B97" s="24" t="str">
        <x:v>W04</x:v>
      </x:c>
      <x:c r="C97" s="24" t="n">
        <x:v>54</x:v>
      </x:c>
      <x:c r="D97" s="24" t="str">
        <x:v>47</x:v>
      </x:c>
      <x:c r="E97" s="24" t="str">
        <x:v>correcta</x:v>
      </x:c>
      <x:c r="F97" s="24" t="str">
        <x:v>sí</x:v>
      </x:c>
      <x:c r="G97" s="24" t="str">
        <x:v>sí</x:v>
      </x:c>
      <x:c r="H97" s="24" t="str">
        <x:v>sí</x:v>
      </x:c>
      <x:c r="I97" s="24" t="str">
        <x:f>IF(AND(E97="correcta",F97="sí",G97="sí",H97="sí"),"sí","no")</x:f>
        <x:v>sí</x:v>
      </x:c>
      <x:c r="J97" s="25" t="str">
        <x:v>Rubbo</x:v>
      </x:c>
      <x:c r="K97" s="49" t="n">
        <x:v>2024</x:v>
      </x:c>
      <x:c r="L97" s="25" t="str">
        <x:v>What drives inflation? Lessons from disaggregated price data</x:v>
      </x:c>
      <x:c r="M97" s="25" t="str">
        <x:v>Una referencia completa; apellido inicial, año y título concuerdan con el PDF, admitiendo diferencias de espacios y tipografía.</x:v>
      </x:c>
      <x:c r="N97" s="25" t="str">
        <x:v>Rubbo, Elisa, “What drives inflation? Lessons from disaggregated price data,” Technical Report, National Bureau of Economic Research 2024.5.2</x:v>
      </x:c>
      <x:c r="O97" s="25" t="str">
        <x:v>saki_research/working_papers/bigio_caramp_silva_sticky_inflation_monetary_policy_debt_drags_inflation_expectations.pdf</x:v>
      </x:c>
      <x:c r="P97" s="25" t="str">
        <x:v>Página PDF 47:
DivineCoincidence,”2024. 3
Papell,DavidHandRuxandraProdan-Boul,“PolicyRulesandForwardGuidanceFollow-
ingtheCovid-19Recession,”AvailableatSSRN4083466,2024. 27
Rubbo, Elisa, “What drives inflation? Lessons from disaggregated price data,” Technical
Report,NationalBureauofEconomicResearch2024. 5.2
Sargent, Thomas and Neil Wallace, “Some unpleasant monetarist arithmetic,” Quarterly
Review,1981,5(Fall). 1,3
Shapiro, Adam Hale, “Decomposing Supply-and Demand-Driven Inflation,” Journal of
Money,CreditandBanking,2024. 1</x:v>
      </x:c>
    </x:row>
    <x:row r="98" ht="72" customHeight="1">
      <x:c r="A98" s="24" t="str">
        <x:v>C-086</x:v>
      </x:c>
      <x:c r="B98" s="24" t="str">
        <x:v>W04</x:v>
      </x:c>
      <x:c r="C98" s="24" t="n">
        <x:v>59</x:v>
      </x:c>
      <x:c r="D98" s="24" t="str">
        <x:v>47</x:v>
      </x:c>
      <x:c r="E98" s="24" t="str">
        <x:v>fusionada</x:v>
      </x:c>
      <x:c r="F98" s="24" t="str">
        <x:v>no</x:v>
      </x:c>
      <x:c r="G98" s="24" t="str">
        <x:v>no</x:v>
      </x:c>
      <x:c r="H98" s="24" t="str">
        <x:v>no</x:v>
      </x:c>
      <x:c r="I98" s="24" t="str">
        <x:f>IF(AND(E98="correcta",F98="sí",G98="sí",H98="sí"),"sí","no")</x:f>
        <x:v>no</x:v>
      </x:c>
      <x:c r="J98" s="25" t="str">
        <x:v>Woodford</x:v>
      </x:c>
      <x:c r="K98" s="49" t="n">
        <x:v>1998</x:v>
      </x:c>
      <x:c r="L98" s="25" t="str">
        <x:v>Public debt and the price level</x:v>
      </x:c>
      <x:c r="M98" s="25" t="str">
        <x:v>La fila reúne tres referencias de Woodford: 1998, 1999 y 2010. Separarlas según la página PDF 47.</x:v>
      </x:c>
      <x:c r="N98" s="25" t="str">
        <x:v>Woodford, Michael, “Public debt and the price level,”Mimeo, 1998.1 ,“Commentary: Howshouldmonetarypolicybeconductedinaneraofpricestability?,” New challenges for monetary policy, 1999, 277316. 4.3 , “Optimal monetary stabilization policy,” Handbook of monetary economics, 2010, 3, 723– 828.4.2</x:v>
      </x:c>
      <x:c r="O98" s="25" t="str">
        <x:v>saki_research/working_papers/bigio_caramp_silva_sticky_inflation_monetary_policy_debt_drags_inflation_expectations.pdf</x:v>
      </x:c>
      <x:c r="P98" s="25" t="str">
        <x:v>Página PDF 47:
Sims, Christopher A, “Stepping on a rake: The role of fiscal policy in the inflation of the
1970s,”EuropeanEconomicReview,2011,55(1),48–56. 1,3
Smets,FrankandRafWouters,“Fiscalbacking,inflationandUSbusinesscycles,”2024. 1
Woodford,Michael,“Publicdebtandthepricelevel,”Mimeo,1998. 1
,“Commentary: Howshouldmonetarypolicybeconductedinaneraofpricestability?,”
Newchallengesformonetarypolicy,1999,277316. 4.3
, “Optimal monetary stabilization policy,” Handbook of monetary economics, 2010, 3, 723–
828. 4.2
46</x:v>
      </x:c>
    </x:row>
    <x:row r="99" ht="72" customHeight="1">
      <x:c r="A99" s="24" t="str">
        <x:v>C-087</x:v>
      </x:c>
      <x:c r="B99" s="24" t="str">
        <x:v>W05</x:v>
      </x:c>
      <x:c r="C99" s="24" t="n">
        <x:v>6</x:v>
      </x:c>
      <x:c r="D99" s="24" t="str">
        <x:v>35</x:v>
      </x:c>
      <x:c r="E99" s="24" t="str">
        <x:v>correcta</x:v>
      </x:c>
      <x:c r="F99" s="24" t="str">
        <x:v>sí</x:v>
      </x:c>
      <x:c r="G99" s="24" t="str">
        <x:v>sí</x:v>
      </x:c>
      <x:c r="H99" s="24" t="str">
        <x:v>sí</x:v>
      </x:c>
      <x:c r="I99" s="24" t="str">
        <x:f>IF(AND(E99="correcta",F99="sí",G99="sí",H99="sí"),"sí","no")</x:f>
        <x:v>sí</x:v>
      </x:c>
      <x:c r="J99" s="25" t="str">
        <x:v>Arellano</x:v>
      </x:c>
      <x:c r="K99" s="49" t="n">
        <x:v>2008</x:v>
      </x:c>
      <x:c r="L99" s="25" t="str">
        <x:v>Default Risk and Income Fluctuations in Emerging Economies</x:v>
      </x:c>
      <x:c r="M99" s="25" t="str">
        <x:v>Una referencia completa; apellido inicial, año y título concuerdan con el PDF, admitiendo diferencias de espacios y tipografía.</x:v>
      </x:c>
      <x:c r="N99" s="25" t="str">
        <x:v>Arellano, Cristina, “Default Risk and Income Fluctuations in Emerging Economies,” The American Economic Review, 2008, 98(3), 690–712.1,1</x:v>
      </x:c>
      <x:c r="O99" s="25" t="str">
        <x:v>saki_research/working_papers/bigio_nuno_decomposing_optimal_debt_maturity.pdf</x:v>
      </x:c>
      <x:c r="P99" s="25" t="str">
        <x:v>Página PDF 35:
Angeletos, George-Marios, “Fiscal policy with noncontingent debt and the optimal
maturity structure,” The Quarterly Journal of Economics, 2002, 117 (3), 1105–1131.
1,1,3.1,3.1,9
Arellano, Cristina, “Default Risk and Income Fluctuations in Emerging Economies,”
TheAmericanEconomicReview,2008,98(3),690–712. 1,1
and Ananth Ramanarayanan, “Default and the Maturity Structure in Sovereign
Bonds,”JournalofPoliticalEconomy,2012,120(2),pp.187–232. 1
Auclert, Adrien, Bence Bardo´czy, Matthew Rognlie, and Ludwig Straub, “Using the
Sequence-Space Jacobian to Solve and Estimate Heterogeneous-Agent Models,”</x:v>
      </x:c>
    </x:row>
    <x:row r="100" ht="72" customHeight="1">
      <x:c r="A100" s="24" t="str">
        <x:v>C-088</x:v>
      </x:c>
      <x:c r="B100" s="24" t="str">
        <x:v>W05</x:v>
      </x:c>
      <x:c r="C100" s="24" t="n">
        <x:v>19</x:v>
      </x:c>
      <x:c r="D100" s="24" t="str">
        <x:v>36</x:v>
      </x:c>
      <x:c r="E100" s="24" t="str">
        <x:v>correcta</x:v>
      </x:c>
      <x:c r="F100" s="24" t="str">
        <x:v>sí</x:v>
      </x:c>
      <x:c r="G100" s="24" t="str">
        <x:v>sí</x:v>
      </x:c>
      <x:c r="H100" s="24" t="str">
        <x:v>sí</x:v>
      </x:c>
      <x:c r="I100" s="24" t="str">
        <x:f>IF(AND(E100="correcta",F100="sí",G100="sí",H100="sí"),"sí","no")</x:f>
        <x:v>sí</x:v>
      </x:c>
      <x:c r="J100" s="25" t="str">
        <x:v>Calvo</x:v>
      </x:c>
      <x:c r="K100" s="49" t="n">
        <x:v>1988</x:v>
      </x:c>
      <x:c r="L100" s="25" t="str">
        <x:v>Servicingthepublicdebt: Theroleofexpectations</x:v>
      </x:c>
      <x:c r="M100" s="25" t="str">
        <x:v>Una referencia completa; apellido inicial, año y título concuerdan con el PDF, admitiendo diferencias de espacios y tipografía.</x:v>
      </x:c>
      <x:c r="N100" s="25" t="str">
        <x:v>Calvo,GuillermoA,“Servicingthepublicdebt: Theroleofexpectations,”TheAmerican Economic Review, 1988, pp. 647–661.1</x:v>
      </x:c>
      <x:c r="O100" s="25" t="str">
        <x:v>saki_research/working_papers/bigio_nuno_decomposing_optimal_debt_maturity.pdf</x:v>
      </x:c>
      <x:c r="P100" s="25" t="str">
        <x:v>Página PDF 36:
554. 1,1,3.1,3.1,9
Bulow, Jeremy I. and Kenneth Rogoff, “Sovereign Debt: Is To Forgive To Forget?,”
WorkingPaper2623,NationalBureauofEconomicResearchJune1988. 1
Calvo,GuillermoA,“Servicingthepublicdebt: Theroleofexpectations,”TheAmerican
EconomicReview,1988,pp.647–661. 1
Cammack,ElizabethB.,“EvidenceonBiddingStrategiesandtheInformationinTrea-
suryBillAuctions,”JournalofPoliticalEconomy,1991,99(1),100–130. 2
Chatterjee,SatyajitandBurcuEyigungor, “Maturity, indebtedness, anddefaultrisk,”
TheAmericanEconomicReview,2012,102(6),2674–2699. 1</x:v>
      </x:c>
    </x:row>
    <x:row r="101" ht="72" customHeight="1">
      <x:c r="A101" s="24" t="str">
        <x:v>C-089</x:v>
      </x:c>
      <x:c r="B101" s="24" t="str">
        <x:v>W05</x:v>
      </x:c>
      <x:c r="C101" s="24" t="n">
        <x:v>21</x:v>
      </x:c>
      <x:c r="D101" s="24" t="str">
        <x:v>36</x:v>
      </x:c>
      <x:c r="E101" s="24" t="str">
        <x:v>correcta</x:v>
      </x:c>
      <x:c r="F101" s="24" t="str">
        <x:v>sí</x:v>
      </x:c>
      <x:c r="G101" s="24" t="str">
        <x:v>sí</x:v>
      </x:c>
      <x:c r="H101" s="24" t="str">
        <x:v>sí</x:v>
      </x:c>
      <x:c r="I101" s="24" t="str">
        <x:f>IF(AND(E101="correcta",F101="sí",G101="sí",H101="sí"),"sí","no")</x:f>
        <x:v>sí</x:v>
      </x:c>
      <x:c r="J101" s="25" t="str">
        <x:v>Chatterjee</x:v>
      </x:c>
      <x:c r="K101" s="49" t="n">
        <x:v>2012</x:v>
      </x:c>
      <x:c r="L101" s="25" t="str">
        <x:v>Maturity, indebtedness, and default risk</x:v>
      </x:c>
      <x:c r="M101" s="25" t="str">
        <x:v>Una referencia completa; apellido inicial, año y título concuerdan con el PDF, admitiendo diferencias de espacios y tipografía.</x:v>
      </x:c>
      <x:c r="N101" s="25" t="str">
        <x:v>Chatterjee, Satyajit and Burcu Eyigungor, “Maturity, indebtedness, and default risk,” The American Economic Review, 2012, 102(6), 2674–2699.1</x:v>
      </x:c>
      <x:c r="O101" s="25" t="str">
        <x:v>saki_research/working_papers/bigio_nuno_decomposing_optimal_debt_maturity.pdf</x:v>
      </x:c>
      <x:c r="P101" s="25" t="str">
        <x:v>Página PDF 36:
EconomicReview,1988,pp.647–661. 1
Cammack,ElizabethB.,“EvidenceonBiddingStrategiesandtheInformationinTrea-
suryBillAuctions,”JournalofPoliticalEconomy,1991,99(1),100–130. 2
Chatterjee,SatyajitandBurcuEyigungor, “Maturity, indebtedness, anddefaultrisk,”
TheAmericanEconomicReview,2012,102(6),2674–2699. 1</x:v>
      </x:c>
    </x:row>
    <x:row r="102" ht="72" customHeight="1">
      <x:c r="A102" s="24" t="str">
        <x:v>C-090</x:v>
      </x:c>
      <x:c r="B102" s="24" t="str">
        <x:v>W05</x:v>
      </x:c>
      <x:c r="C102" s="24" t="n">
        <x:v>36</x:v>
      </x:c>
      <x:c r="D102" s="24" t="str">
        <x:v>38</x:v>
      </x:c>
      <x:c r="E102" s="24" t="str">
        <x:v>correcta</x:v>
      </x:c>
      <x:c r="F102" s="24" t="str">
        <x:v>sí</x:v>
      </x:c>
      <x:c r="G102" s="24" t="str">
        <x:v>sí</x:v>
      </x:c>
      <x:c r="H102" s="24" t="str">
        <x:v>sí</x:v>
      </x:c>
      <x:c r="I102" s="24" t="str">
        <x:f>IF(AND(E102="correcta",F102="sí",G102="sí",H102="sí"),"sí","no")</x:f>
        <x:v>sí</x:v>
      </x:c>
      <x:c r="J102" s="25" t="str">
        <x:v>Krusell</x:v>
      </x:c>
      <x:c r="K102" s="49" t="n">
        <x:v>1998</x:v>
      </x:c>
      <x:c r="L102" s="25" t="str">
        <x:v>Income and wealth heterogeneity in the macroeconomy</x:v>
      </x:c>
      <x:c r="M102" s="25" t="str">
        <x:v>Una referencia completa; apellido inicial, año y título concuerdan con el PDF, admitiendo diferencias de espacios y tipografía.</x:v>
      </x:c>
      <x:c r="N102" s="25" t="str">
        <x:v>Krusell, Per and Anthony A Smith Jr, “Income and wealth heterogeneity in the macroeconomy,” Journal of political Economy, 1998,106 (5), 867–896.1,3.2</x:v>
      </x:c>
      <x:c r="O102" s="25" t="str">
        <x:v>saki_research/working_papers/bigio_nuno_decomposing_optimal_debt_maturity.pdf</x:v>
      </x:c>
      <x:c r="P102" s="25" t="str">
        <x:v>Página PDF 38:
PoliticalEconomy,2016,124(5),1383–1422. 1
Krishnamurthy, Arvind and Annette Vissing-Jorgensen, “The aggregate demand for
treasurydebt,”JournalofPoliticalEconomy,2012,120(2),233–267. 2
Krusell, Per and Anthony A Smith Jr, “Income and wealth heterogeneity in the
macroeconomy,”JournalofpoliticalEconomy,1998,106(5),867–896. 1,3.2
Lucas,RobertEandNancyLStokey,“Optimalfiscalandmonetarypolicyinanecon-
omywithoutcapital,”JournalofmonetaryEconomics,1983,12(1),55–93. 1
Lustig, Hanno, Christopher Sleet, and Sevin Yeltekin, “Fiscal hedging with nominal
assets,”JournalofMonetaryEconomics,May2008,55(4),710–727. 1</x:v>
      </x:c>
    </x:row>
    <x:row r="103" ht="72" customHeight="1">
      <x:c r="A103" s="24" t="str">
        <x:v>C-091</x:v>
      </x:c>
      <x:c r="B103" s="24" t="str">
        <x:v>W05</x:v>
      </x:c>
      <x:c r="C103" s="24" t="n">
        <x:v>44</x:v>
      </x:c>
      <x:c r="D103" s="24" t="str">
        <x:v>38</x:v>
      </x:c>
      <x:c r="E103" s="24" t="str">
        <x:v>correcta</x:v>
      </x:c>
      <x:c r="F103" s="24" t="str">
        <x:v>sí</x:v>
      </x:c>
      <x:c r="G103" s="24" t="str">
        <x:v>sí</x:v>
      </x:c>
      <x:c r="H103" s="24" t="str">
        <x:v>sí</x:v>
      </x:c>
      <x:c r="I103" s="24" t="str">
        <x:f>IF(AND(E103="correcta",F103="sí",G103="sí",H103="sí"),"sí","no")</x:f>
        <x:v>sí</x:v>
      </x:c>
      <x:c r="J103" s="25" t="str">
        <x:v>Valaitis</x:v>
      </x:c>
      <x:c r="K103" s="49" t="n">
        <x:v>2022</x:v>
      </x:c>
      <x:c r="L103" s="25" t="str">
        <x:v>AMachineLearningProjectionMethodfor Macro-FinanceModels</x:v>
      </x:c>
      <x:c r="M103" s="25" t="str">
        <x:v>Una referencia completa; apellido inicial, año y título concuerdan con el PDF, admitiendo diferencias de espacios y tipografía.</x:v>
      </x:c>
      <x:c r="N103" s="25" t="str">
        <x:v>Valaitis,VytautasandAlessandroT.Villa,“AMachineLearningProjectionMethodfor Macro-FinanceModels,” 2022.6</x:v>
      </x:c>
      <x:c r="O103" s="25" t="str">
        <x:v>saki_research/working_papers/bigio_nuno_decomposing_optimal_debt_maturity.pdf</x:v>
      </x:c>
      <x:c r="P103" s="25" t="str">
        <x:v>Página PDF 38:
tion,”JournalofEconomicDynamicsandControl,2009,33(3),649–665. 1,3.2
Spindt,PaulA.andRichardW.Stolz,“AreUStreasurybillsunderpricedintheprimary
market?,”JournalofBanking&amp;Finance,1992,16(5),891–908. 2
Valaitis,VytautasandAlessandroT.Villa,“AMachineLearningProjectionMethodfor
Macro-FinanceModels,”2022. 6</x:v>
      </x:c>
    </x:row>
    <x:row r="104" ht="72" customHeight="1">
      <x:c r="A104" s="24" t="str">
        <x:v>C-092</x:v>
      </x:c>
      <x:c r="B104" s="24" t="str">
        <x:v>W06</x:v>
      </x:c>
      <x:c r="C104" s="24" t="n">
        <x:v>20</x:v>
      </x:c>
      <x:c r="D104" s="24" t="str">
        <x:v>26</x:v>
      </x:c>
      <x:c r="E104" s="24" t="str">
        <x:v>correcta</x:v>
      </x:c>
      <x:c r="F104" s="24" t="str">
        <x:v>sí</x:v>
      </x:c>
      <x:c r="G104" s="24" t="str">
        <x:v>sí</x:v>
      </x:c>
      <x:c r="H104" s="24" t="str">
        <x:v>sí</x:v>
      </x:c>
      <x:c r="I104" s="24" t="str">
        <x:f>IF(AND(E104="correcta",F104="sí",G104="sí",H104="sí"),"sí","no")</x:f>
        <x:v>sí</x:v>
      </x:c>
      <x:c r="J104" s="25" t="str">
        <x:v>Jordà</x:v>
      </x:c>
      <x:c r="K104" s="49" t="n">
        <x:v>2020</x:v>
      </x:c>
      <x:c r="L104" s="25" t="str">
        <x:v>Longer-run economic consequences of pandemics</x:v>
      </x:c>
      <x:c r="M104" s="25" t="str">
        <x:v>Una referencia completa; apellido inicial, año y título concuerdan con el PDF, admitiendo diferencias de espacios y tipografía.</x:v>
      </x:c>
      <x:c r="N104" s="25" t="str">
        <x:v>Òscar Jordà, Sanjay R Singh, and Alan M Taylor, “Longer-run economic consequences of pandemics,” Technical Report 2020.</x:v>
      </x:c>
      <x:c r="O104" s="25" t="str">
        <x:v>saki_research/working_papers/bigio_zhang_zilberman_transfers_credit_policy_macroeconomic_policy_trade_offs_during_covid_19.pdf</x:v>
      </x:c>
      <x:c r="P104" s="25" t="str">
        <x:v>Página PDF 26:
demic,”2020. Draft,UniversityofChicago.
Ljungqvist, Lars and Thomas J. Sargent, Recursive Macroeconomic Theory, 3rd edition ed., Boston: MIT
Press,2012.
ÒscarJordà,SanjayRSingh,andAlanMTaylor,“Longer-runeconomicconsequencesofpandemics,”
TechnicalReport2020.
Werning,Ivan,“IncompleteMarketsandAggregateDemand,”October2015. Draft,MIT.
26</x:v>
      </x:c>
    </x:row>
    <x:row r="105" ht="72" customHeight="1">
      <x:c r="A105" s="24" t="str">
        <x:v>C-093</x:v>
      </x:c>
      <x:c r="B105" s="24" t="str">
        <x:v>W07</x:v>
      </x:c>
      <x:c r="C105" s="24" t="n">
        <x:v>43</x:v>
      </x:c>
      <x:c r="D105" s="24" t="str">
        <x:v>43</x:v>
      </x:c>
      <x:c r="E105" s="24" t="str">
        <x:v>correcta</x:v>
      </x:c>
      <x:c r="F105" s="24" t="str">
        <x:v>sí</x:v>
      </x:c>
      <x:c r="G105" s="24" t="str">
        <x:v>sí</x:v>
      </x:c>
      <x:c r="H105" s="24" t="str">
        <x:v>sí</x:v>
      </x:c>
      <x:c r="I105" s="24" t="str">
        <x:f>IF(AND(E105="correcta",F105="sí",G105="sí",H105="sí"),"sí","no")</x:f>
        <x:v>sí</x:v>
      </x:c>
      <x:c r="J105" s="25" t="str">
        <x:v>Stock</x:v>
      </x:c>
      <x:c r="K105" s="49" t="n">
        <x:v>2001</x:v>
      </x:c>
      <x:c r="L105" s="25" t="str">
        <x:v>Philip G. Wright Meets the Econometricians: Instrumental Variables Before Its Time</x:v>
      </x:c>
      <x:c r="M105" s="25" t="str">
        <x:v>Una referencia completa; apellido inicial, año y título concuerdan con el PDF, admitiendo diferencias de espacios y tipografía.</x:v>
      </x:c>
      <x:c r="N105" s="25" t="str">
        <x:v>and , “Philip G. Wright Meets the Econometricians: Instrumental Variables Before Its Time,” Journal of Economic Perspectives, 2001, 15 (4), 101–115.</x:v>
      </x:c>
      <x:c r="O105" s="25" t="str">
        <x:v>saki_research/working_papers/bigio_d_erasmo_yepez_monetary_policy_implementation_regimes_reserve_demand_us.pdf</x:v>
      </x:c>
      <x:c r="P105" s="25" t="str">
        <x:v>Página PDF 43:
Federal Reserve Bank of Cleveland May 2003.
Stock, James H. and Mark W. Watson, “Interpreting the Evidence on Money-Income
Causality,” Journal of Econometrics, 1989, 40 (1), 161–181.
and , “Philip G. Wright Meets the Econometricians: Instrumental Variables Before Its
Time,” Journal of Economic Perspectives, 2001, 15 (4), 101–115.
Taylor, John B., “Discretion versus Policy Rules in Practice,” Carnegie–Rochester Con-
ference Series on Public Policy, 1993, 39, 195–214.
Tobin, James, “The Interest-Elasticity of Transactions Demand for Cash,” Review of Eco-
nomics and Statistics, 1956, 38 (3), 241–247.</x:v>
      </x:c>
    </x:row>
    <x:row r="106" ht="72" customHeight="1">
      <x:c r="A106" s="24" t="str">
        <x:v>C-094</x:v>
      </x:c>
      <x:c r="B106" s="24" t="str">
        <x:v>W08</x:v>
      </x:c>
      <x:c r="C106" s="24" t="n">
        <x:v>8</x:v>
      </x:c>
      <x:c r="D106" s="24" t="str">
        <x:v>51</x:v>
      </x:c>
      <x:c r="E106" s="24" t="str">
        <x:v>correcta</x:v>
      </x:c>
      <x:c r="F106" s="24" t="str">
        <x:v>sí</x:v>
      </x:c>
      <x:c r="G106" s="24" t="str">
        <x:v>sí</x:v>
      </x:c>
      <x:c r="H106" s="24" t="str">
        <x:v>sí</x:v>
      </x:c>
      <x:c r="I106" s="24" t="str">
        <x:f>IF(AND(E106="correcta",F106="sí",G106="sí",H106="sí"),"sí","no")</x:f>
        <x:v>sí</x:v>
      </x:c>
      <x:c r="J106" s="25" t="str">
        <x:v>Boissay</x:v>
      </x:c>
      <x:c r="K106" s="49" t="n">
        <x:v>2007</x:v>
      </x:c>
      <x:c r="L106" s="25" t="str">
        <x:v>Trade Credit Defaults and Liquidity Provision by Firms</x:v>
      </x:c>
      <x:c r="M106" s="25" t="str">
        <x:v>Una referencia completa; apellido inicial, año y título concuerdan con el PDF, admitiendo diferencias de espacios y tipografía.</x:v>
      </x:c>
      <x:c r="N106" s="25" t="str">
        <x:v>Boissay, Frederic and Reint Gropp, “Trade Credit Defaults and Liquidity Provision by Firms,” 2007. European Central Bank working paper series, 753.1</x:v>
      </x:c>
      <x:c r="O106" s="25" t="str">
        <x:v>saki_research/working_papers/bigio_mendez_patten_theory_payments_chain_crises.pdf</x:v>
      </x:c>
      <x:c r="P106" s="25" t="str">
        <x:v>Página PDF 51:
Bigio,SakiandJenniferLa’O,“FinancialFrictionsinProductionNetworks,”2013. 1
Bocola, Luigi, “Trade credit and financial amplification,” 2022. Unpublished
Manuscript. 1
Boissay, FredericandReintGropp, “Trade Credit Defaults and Liquidity Provision by
Firms,”2007. EuropeanCentralBankworkingpaperseries,753. 1
Brunnermeier,MarkusK.andYuliySannikov,“TheI-TheoryofMoney,”2017. 1
Cerdas, Ana Mar´ıa and Carlos Melegatti, El sistema financiero costarricense en los
u´ltimos 25 an˜os: sistema de pagos number 2. In ‘Monograf´ıa.’, San Jose´, Costa Rica:
AcademiadeCentroame´rica,2014. 28cm. 10</x:v>
      </x:c>
    </x:row>
    <x:row r="107" ht="72" customHeight="1">
      <x:c r="A107" s="24" t="str">
        <x:v>C-095</x:v>
      </x:c>
      <x:c r="B107" s="24" t="str">
        <x:v>W08</x:v>
      </x:c>
      <x:c r="C107" s="24" t="n">
        <x:v>23</x:v>
      </x:c>
      <x:c r="D107" s="24" t="str">
        <x:v>52</x:v>
      </x:c>
      <x:c r="E107" s="24" t="str">
        <x:v>correcta</x:v>
      </x:c>
      <x:c r="F107" s="24" t="str">
        <x:v>no</x:v>
      </x:c>
      <x:c r="G107" s="24" t="str">
        <x:v>sí</x:v>
      </x:c>
      <x:c r="H107" s="24" t="str">
        <x:v>sí</x:v>
      </x:c>
      <x:c r="I107" s="24" t="str">
        <x:f>IF(AND(E107="correcta",F107="sí",G107="sí",H107="sí"),"sí","no")</x:f>
        <x:v>no</x:v>
      </x:c>
      <x:c r="J107" s="25" t="str">
        <x:v>Hardy</x:v>
      </x:c>
      <x:c r="K107" s="49" t="n">
        <x:v>2025</x:v>
      </x:c>
      <x:c r="L107" s="25" t="str">
        <x:v>Local projections</x:v>
      </x:c>
      <x:c r="M107" s="25" t="str">
        <x:v>La notación repetida remite a Òscar Jordà; se heredó Hardy incorrectamente.</x:v>
      </x:c>
      <x:c r="N107" s="25" t="str">
        <x:v>and Alan M Taylor, “Local projections,” Journal of Economic Literature, 2025, 63 (1), 59–110.2,1</x:v>
      </x:c>
      <x:c r="O107" s="25" t="str">
        <x:v>saki_research/working_papers/bigio_mendez_patten_theory_payments_chain_crises.pdf</x:v>
      </x:c>
      <x:c r="P107" s="25" t="str">
        <x:v>Página PDF 52:
ingMarkets:TheCaseforTradeCredit,”2022. 1
Jorda`, O`scar, “Estimation and inference of impulse responses by local projections,”
Americaneconomicreview,2005,95(1),161–182. 2,1
andAlanMTaylor,“Localprojections,”JournalofEconomicLiterature,2025,63(1),
59–110. 2,1
Karabarbounis, Loukas, Gabriel Chodorow-Reich, and Rohan Kekre, “The Macroe-
conomicsoftheGreekDepression,”2021. 1
Kiyotaki,NobuhiroandJohnMoore,“CreditChains,”1997. Publisher: LondonSchool
ofEconomics. 1</x:v>
      </x:c>
    </x:row>
    <x:row r="108" ht="72" customHeight="1">
      <x:c r="A108" s="24" t="str">
        <x:v>C-096</x:v>
      </x:c>
      <x:c r="B108" s="24" t="str">
        <x:v>W09</x:v>
      </x:c>
      <x:c r="C108" s="24" t="n">
        <x:v>26</x:v>
      </x:c>
      <x:c r="D108" s="24" t="str">
        <x:v>38</x:v>
      </x:c>
      <x:c r="E108" s="24" t="str">
        <x:v>correcta</x:v>
      </x:c>
      <x:c r="F108" s="24" t="str">
        <x:v>sí</x:v>
      </x:c>
      <x:c r="G108" s="24" t="str">
        <x:v>sí</x:v>
      </x:c>
      <x:c r="H108" s="24" t="str">
        <x:v>sí</x:v>
      </x:c>
      <x:c r="I108" s="24" t="str">
        <x:f>IF(AND(E108="correcta",F108="sí",G108="sí",H108="sí"),"sí","no")</x:f>
        <x:v>sí</x:v>
      </x:c>
      <x:c r="J108" s="25" t="str">
        <x:v>Greenwald</x:v>
      </x:c>
      <x:c r="K108" s="49" t="n">
        <x:v>2018</x:v>
      </x:c>
      <x:c r="L108" s="25" t="str">
        <x:v>The mortgage creditchannel ofmacroeconomic transmission</x:v>
      </x:c>
      <x:c r="M108" s="25" t="str">
        <x:v>Una referencia completa; apellido inicial, año y título concuerdan con el PDF, admitiendo diferencias de espacios y tipografía.</x:v>
      </x:c>
      <x:c r="N108" s="25" t="str">
        <x:v>Greenwald, D. (2018). The mortgage creditchannel ofmacroeconomic transmission. Manuscript.</x:v>
      </x:c>
      <x:c r="O108" s="25" t="str">
        <x:v>saki_research/working_papers/abad_bigio_garcia_villegas_marbet_nuno_heterogeneous_bank_lending_channel_monetary_policy.pdf</x:v>
      </x:c>
      <x:c r="P108" s="25" t="str">
        <x:v>Página PDF 38:
HandbookofMonetaryEconomics,volume3,pages547–599.Elsevier.
Gordy,M.(2003). Arisk-factormodelfoundationforratings-basedbankcapitalrules.
JournalofFinancialIntermediation,12:199–232.
Greenwald,D.(2018). Themortgagecreditchannelofmacroeconomictransmission.
Manuscript.
Guren, A. M., Krishnamurthy, A., and McQuade, T. J. (2021). Mortgage design in an
equilibriummodelofthehousingmarket. TheJournalofFinance,76(1):113–168.
He,Z.andKrishnamurthy,A.(2013). Intermediaryassetpricing. AmericanEconomic
Review,103(2):732–70.</x:v>
      </x:c>
    </x:row>
    <x:row r="109" ht="72" customHeight="1">
      <x:c r="A109" s="24" t="str">
        <x:v>C-097</x:v>
      </x:c>
      <x:c r="B109" s="24" t="str">
        <x:v>W09</x:v>
      </x:c>
      <x:c r="C109" s="24" t="n">
        <x:v>37</x:v>
      </x:c>
      <x:c r="D109" s="24" t="str">
        <x:v>39</x:v>
      </x:c>
      <x:c r="E109" s="24" t="str">
        <x:v>correcta</x:v>
      </x:c>
      <x:c r="F109" s="24" t="str">
        <x:v>sí</x:v>
      </x:c>
      <x:c r="G109" s="24" t="str">
        <x:v>sí</x:v>
      </x:c>
      <x:c r="H109" s="24" t="str">
        <x:v>sí</x:v>
      </x:c>
      <x:c r="I109" s="24" t="str">
        <x:f>IF(AND(E109="correcta",F109="sí",G109="sí",H109="sí"),"sí","no")</x:f>
        <x:v>sí</x:v>
      </x:c>
      <x:c r="J109" s="25" t="str">
        <x:v>Kishan</x:v>
      </x:c>
      <x:c r="K109" s="49" t="n">
        <x:v>2000</x:v>
      </x:c>
      <x:c r="L109" s="25" t="str">
        <x:v>Bank Size, Bank Capital, and the Bank Lending Channel</x:v>
      </x:c>
      <x:c r="M109" s="25" t="str">
        <x:v>Una referencia completa; apellido inicial, año y título concuerdan con el PDF, admitiendo diferencias de espacios y tipografía.</x:v>
      </x:c>
      <x:c r="N109" s="25" t="str">
        <x:v>Kishan, R. P. and Opiela, T. P. (2000). Bank Size, Bank Capital, and the Bank Lending Channel. Journal of Money, Credit and Banking, 32(1):121–141.</x:v>
      </x:c>
      <x:c r="O109" s="25" t="str">
        <x:v>saki_research/working_papers/abad_bigio_garcia_villegas_marbet_nuno_heterogeneous_bank_lending_channel_monetary_policy.pdf</x:v>
      </x:c>
      <x:c r="P109" s="25" t="str">
        <x:v>Página PDF 39:
Kishan,R.P.andOpiela,T.P.(2000). BankSize,BankCapital,andtheBankLending
Channel. JournalofMoney,CreditandBanking,32(1):121–141.
Lagos,R.,Rocheteau,G.,andWright,R.(2017). Liquidity:Anewmonetaristperspective.
JournalofEconomicLiterature,55(2):371–440.
Lagos,R.andWright,R.(2005). Aunifiedframeworkformonetarytheoryandpolicy
analysis. JournalofPoliticalEconomy,113(3):463–484.
Leland,H.E.andToft,K.B.(1996). Optimalcapitalstructure,endogenousbankruptcy,
andthetermstructureofcreditspreads. JournalofFinance,51(3):987–1019.</x:v>
      </x:c>
    </x:row>
    <x:row r="110" ht="72" customHeight="1">
      <x:c r="A110" s="24" t="str">
        <x:v>C-098</x:v>
      </x:c>
      <x:c r="B110" s="24" t="str">
        <x:v>W09</x:v>
      </x:c>
      <x:c r="C110" s="24" t="n">
        <x:v>40</x:v>
      </x:c>
      <x:c r="D110" s="24" t="str">
        <x:v>39</x:v>
      </x:c>
      <x:c r="E110" s="24" t="str">
        <x:v>correcta</x:v>
      </x:c>
      <x:c r="F110" s="24" t="str">
        <x:v>sí</x:v>
      </x:c>
      <x:c r="G110" s="24" t="str">
        <x:v>sí</x:v>
      </x:c>
      <x:c r="H110" s="24" t="str">
        <x:v>sí</x:v>
      </x:c>
      <x:c r="I110" s="24" t="str">
        <x:f>IF(AND(E110="correcta",F110="sí",G110="sí",H110="sí"),"sí","no")</x:f>
        <x:v>sí</x:v>
      </x:c>
      <x:c r="J110" s="25" t="str">
        <x:v>Leland</x:v>
      </x:c>
      <x:c r="K110" s="49" t="n">
        <x:v>1996</x:v>
      </x:c>
      <x:c r="L110" s="25" t="str">
        <x:v>Optimalcapital structure,endogenousbankruptcy, and the termstructure ofcreditspreads</x:v>
      </x:c>
      <x:c r="M110" s="25" t="str">
        <x:v>Una referencia completa; apellido inicial, año y título concuerdan con el PDF, admitiendo diferencias de espacios y tipografía.</x:v>
      </x:c>
      <x:c r="N110" s="25" t="str">
        <x:v>Leland, H. E. andToft,K.B. (1996). Optimalcapital structure,endogenousbankruptcy, and the termstructure ofcreditspreads. Journal of Finance, 51(3):987–1019.</x:v>
      </x:c>
      <x:c r="O110" s="25" t="str">
        <x:v>saki_research/working_papers/abad_bigio_garcia_villegas_marbet_nuno_heterogeneous_bank_lending_channel_monetary_policy.pdf</x:v>
      </x:c>
      <x:c r="P110" s="25" t="str">
        <x:v>Página PDF 39:
JournalofEconomicLiterature,55(2):371–440.
Lagos,R.andWright,R.(2005). Aunifiedframeworkformonetarytheoryandpolicy
analysis. JournalofPoliticalEconomy,113(3):463–484.
Leland,H.E.andToft,K.B.(1996). Optimalcapitalstructure,endogenousbankruptcy,
andthetermstructureofcreditspreads. JournalofFinance,51(3):987–1019.
Mendicino,C.,Nikolov,K.,Rubio-Ramirez,J.,Suarez,J.,andSupera,D.(2024). Twin
defaultsandbankcapitalrequirements. TheJournalofFinance.
Mendicino,C.,Nikolov,K.,Suarez,J.,andSupera,D.(2018). Optimaldynamiccapital
requirements. JournalofMoney,CreditandBanking,50(6):1271–1297.</x:v>
      </x:c>
    </x:row>
    <x:row r="111" ht="72" customHeight="1">
      <x:c r="A111" s="24" t="str">
        <x:v>C-099</x:v>
      </x:c>
      <x:c r="B111" s="24" t="str">
        <x:v>W10</x:v>
      </x:c>
      <x:c r="C111" s="24" t="n">
        <x:v>14</x:v>
      </x:c>
      <x:c r="D111" s="24" t="str">
        <x:v>20</x:v>
      </x:c>
      <x:c r="E111" s="24" t="str">
        <x:v>correcta</x:v>
      </x:c>
      <x:c r="F111" s="24" t="str">
        <x:v>sí</x:v>
      </x:c>
      <x:c r="G111" s="24" t="str">
        <x:v>sí</x:v>
      </x:c>
      <x:c r="H111" s="24" t="str">
        <x:v>sí</x:v>
      </x:c>
      <x:c r="I111" s="24" t="str">
        <x:f>IF(AND(E111="correcta",F111="sí",G111="sí",H111="sí"),"sí","no")</x:f>
        <x:v>sí</x:v>
      </x:c>
      <x:c r="J111" s="25" t="str">
        <x:v>Kurozumi</x:v>
      </x:c>
      <x:c r="K111" s="49" t="n">
        <x:v>2010</x:v>
      </x:c>
      <x:c r="L111" s="25" t="str">
        <x:v>Labor market search, the Taylor principle, and indeterminacy</x:v>
      </x:c>
      <x:c r="M111" s="25" t="str">
        <x:v>Una referencia completa; apellido inicial, año y título concuerdan con el PDF, admitiendo diferencias de espacios y tipografía.</x:v>
      </x:c>
      <x:c r="N111" s="25" t="str">
        <x:v>Kurozumi,TakushiandWillemVanZandweghe, “Labor market search, the Taylor principle, and indeterminacy,”Journal of Monetary Economics, 2010, 57 (7), 851–858.</x:v>
      </x:c>
      <x:c r="O111" s="25" t="str">
        <x:v>saki_research/working_papers/bigio_ishide_new_keynesian_economics_through_extensive_margin.pdf</x:v>
      </x:c>
      <x:c r="P111" s="25" t="str">
        <x:v>Página PDF 20:
ing,2008,40(8),1713–1764.
Kekre,Rohan,“Unemploymentinsuranceinmacroeconomicstabilization,”ReviewofEconomic
Studies,2023,90(5),2439–2480.
Kurozumi, Takushi and Willem Van Zandweghe, “Labor market search, the Taylor principle,
andindeterminacy,”JournalofMonetaryEconomics,2010,57(7),851–858.
Mankiw, N Gregory and Ricardo Reis, “Sticky information versus sticky prices: a proposal to
replace the New Keynesian Phillips curve,” The Quarterly Journal of Economics, 2002, 117 (4),
1295–1328.
and , “Sticky information in general equilibrium,” Journal of the European Economic Associ-</x:v>
      </x:c>
    </x:row>
    <x:row r="112" ht="72" customHeight="1">
      <x:c r="A112" s="24" t="str">
        <x:v>C-100</x:v>
      </x:c>
      <x:c r="B112" s="24" t="str">
        <x:v>W11</x:v>
      </x:c>
      <x:c r="C112" s="24" t="n">
        <x:v>36</x:v>
      </x:c>
      <x:c r="D112" s="24" t="str">
        <x:v>56</x:v>
      </x:c>
      <x:c r="E112" s="24" t="str">
        <x:v>correcta</x:v>
      </x:c>
      <x:c r="F112" s="24" t="str">
        <x:v>sí</x:v>
      </x:c>
      <x:c r="G112" s="24" t="str">
        <x:v>sí</x:v>
      </x:c>
      <x:c r="H112" s="24" t="str">
        <x:v>sí</x:v>
      </x:c>
      <x:c r="I112" s="24" t="str">
        <x:f>IF(AND(E112="correcta",F112="sí",G112="sí",H112="sí"),"sí","no")</x:f>
        <x:v>sí</x:v>
      </x:c>
      <x:c r="J112" s="25" t="str">
        <x:v>Valchev</x:v>
      </x:c>
      <x:c r="K112" s="49" t="n">
        <x:v>2020</x:v>
      </x:c>
      <x:c r="L112" s="25" t="str">
        <x:v>Bondconvenienceyieldsandexchangeratedynamics</x:v>
      </x:c>
      <x:c r="M112" s="25" t="str">
        <x:v>Una referencia completa; apellido inicial, año y título concuerdan con el PDF, admitiendo diferencias de espacios y tipografía.</x:v>
      </x:c>
      <x:c r="N112" s="25" t="str">
        <x:v>Valchev, Rosen.2020. “Bondconvenienceyieldsandexchangeratedynamics.”American Economic Journal: Macroeconomics 12.</x:v>
      </x:c>
      <x:c r="O112" s="25" t="str">
        <x:v>saki_research/working_papers/bigio_castillo_han_dollar_liquidity_flows_soe.pdf</x:v>
      </x:c>
      <x:c r="P112" s="25" t="str">
        <x:v>Página PDF 56:
Schmitt-Grohé, Stephanie and Martn Uribe. 2003. “Closing small open economy
models.” Journal of International Economics 61(1):163–185.
URL: https://www.sciencedirect.com/science/article/pii/S0022199602000569
Valchev, Rosen. 2020. “Bond convenience yields and exchange rate dynamics.” Amer-
ican Economic Journal: Macroeconomics 12.
Verdelhan, Adrien. 2010. “A habit-based explanation of the exchange rate risk pre-
mium.” Journal of Finance 65.
55</x:v>
      </x:c>
    </x:row>
    <x:row r="113">
      <x:c r="A113" s="23"/>
      <x:c r="B113" s="23"/>
      <x:c r="C113" s="23"/>
      <x:c r="D113" s="23"/>
      <x:c r="E113" s="23"/>
      <x:c r="F113" s="23"/>
      <x:c r="G113" s="23"/>
      <x:c r="H113" s="23"/>
      <x:c r="I113" s="23"/>
      <x:c r="J113" s="23"/>
      <x:c r="K113" s="23"/>
      <x:c r="L113" s="23"/>
      <x:c r="M113" s="23"/>
      <x:c r="N113" s="23"/>
      <x:c r="O113" s="23"/>
      <x:c r="P113" s="23"/>
    </x:row>
    <x:row r="114">
      <x:c r="A114" s="23"/>
      <x:c r="B114" s="23"/>
      <x:c r="C114" s="23"/>
      <x:c r="D114" s="23"/>
      <x:c r="E114" s="23"/>
      <x:c r="F114" s="23"/>
      <x:c r="G114" s="23"/>
      <x:c r="H114" s="23"/>
      <x:c r="I114" s="23"/>
      <x:c r="J114" s="23"/>
      <x:c r="K114" s="23"/>
      <x:c r="L114" s="23"/>
      <x:c r="M114" s="23"/>
      <x:c r="N114" s="23"/>
      <x:c r="O114" s="23"/>
      <x:c r="P114" s="23"/>
    </x:row>
    <x:row r="115">
      <x:c r="A115" s="23"/>
      <x:c r="B115" s="23"/>
      <x:c r="C115" s="23"/>
      <x:c r="D115" s="23"/>
      <x:c r="E115" s="23"/>
      <x:c r="F115" s="23"/>
      <x:c r="G115" s="23"/>
      <x:c r="H115" s="23"/>
      <x:c r="I115" s="23"/>
      <x:c r="J115" s="23"/>
      <x:c r="K115" s="23"/>
      <x:c r="L115" s="23"/>
      <x:c r="M115" s="23"/>
      <x:c r="N115" s="23"/>
      <x:c r="O115" s="23"/>
      <x:c r="P115" s="23"/>
    </x:row>
  </x:sheetData>
  <x:conditionalFormatting sqref="E13:E112">
    <x:cfRule type="containsText" dxfId="8" priority="1" operator="containsText" text="fusionada"/>
    <x:cfRule type="containsText" dxfId="9" priority="2" operator="containsText" text="contaminada"/>
  </x:conditionalFormatting>
  <x:conditionalFormatting sqref="F13:I112">
    <x:cfRule type="containsText" dxfId="10" priority="3" operator="containsText" text="no"/>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18" hidden="0" customWidth="1"/>
    <x:col min="4" max="4" width="16" hidden="0" customWidth="1"/>
    <x:col min="5" max="5" width="18" hidden="0" customWidth="1"/>
    <x:col min="6" max="6" width="110" hidden="0" customWidth="1"/>
  </x:cols>
  <x:sheetData>
    <x:row r="1">
      <x:c r="A1" s="43" t="str">
        <x:v>Concordancia de conteos tras la corrección</x:v>
      </x:c>
      <x:c r="B1" s="23"/>
      <x:c r="C1" s="23"/>
      <x:c r="D1" s="23"/>
      <x:c r="E1" s="23"/>
      <x:c r="F1" s="23"/>
    </x:row>
    <x:row r="2">
      <x:c r="A2" s="23" t="str">
        <x:v>Comparación con el conteo previo del PDF. La igualdad no garantiza correspondencia uno a uno.</x:v>
      </x:c>
      <x:c r="B2" s="23"/>
      <x:c r="C2" s="23"/>
      <x:c r="D2" s="23"/>
      <x:c r="E2" s="23"/>
      <x:c r="F2" s="23"/>
    </x:row>
    <x:row r="3">
      <x:c r="A3" s="23"/>
      <x:c r="B3" s="23"/>
      <x:c r="C3" s="23"/>
      <x:c r="D3" s="23"/>
      <x:c r="E3" s="23"/>
      <x:c r="F3" s="23"/>
    </x:row>
    <x:row r="4" ht="28" customHeight="1">
      <x:c r="A4" s="47" t="str">
        <x:v>Documento</x:v>
      </x:c>
      <x:c r="B4" s="47" t="str">
        <x:v>Conteo PDF</x:v>
      </x:c>
      <x:c r="C4" s="47" t="str">
        <x:v>Extraídas</x:v>
      </x:c>
      <x:c r="D4" s="47" t="str">
        <x:v>Diferencia</x:v>
      </x:c>
      <x:c r="E4" s="47" t="str">
        <x:v>Resultado</x:v>
      </x:c>
      <x:c r="F4" s="47" t="str">
        <x:v>PDF fuente</x:v>
      </x:c>
    </x:row>
    <x:row r="5" ht="42" customHeight="1">
      <x:c r="A5" s="23" t="str">
        <x:v>E01</x:v>
      </x:c>
      <x:c r="B5" s="23" t="n">
        <x:v>59</x:v>
      </x:c>
      <x:c r="C5" s="23" t="n">
        <x:v>59</x:v>
      </x:c>
      <x:c r="D5" s="23" t="n">
        <x:f>C5-B5</x:f>
        <x:v>0</x:v>
      </x:c>
      <x:c r="E5" s="23" t="str">
        <x:f>IF(D5=0,"Coincide","Revisar")</x:f>
        <x:v>Coincide</x:v>
      </x:c>
      <x:c r="F5" s="31" t="str">
        <x:v>saki_research/pre_phd_papers/bigio_ramirez_corrupcion_indicadores_desarrollo_pery_mundo_revision_empirica.pdf</x:v>
      </x:c>
    </x:row>
    <x:row r="6" ht="42" customHeight="1">
      <x:c r="A6" s="23" t="str">
        <x:v>C01</x:v>
      </x:c>
      <x:c r="B6" s="23" t="n">
        <x:v>11</x:v>
      </x:c>
      <x:c r="C6" s="23" t="n">
        <x:v>11</x:v>
      </x:c>
      <x:c r="D6" s="23" t="n">
        <x:f>C6-B6</x:f>
        <x:v>0</x:v>
      </x:c>
      <x:c r="E6" s="23" t="str">
        <x:f>IF(D6=0,"Coincide","Revisar")</x:f>
        <x:v>Coincide</x:v>
      </x:c>
      <x:c r="F6" s="31" t="str">
        <x:v>saki_research/published_comments/bigio_discussion_optimal_supply_public_private_liquidity_azzimonti_yared.pdf</x:v>
      </x:c>
    </x:row>
    <x:row r="7" ht="42" customHeight="1">
      <x:c r="A7" s="23" t="str">
        <x:v>C03</x:v>
      </x:c>
      <x:c r="B7" s="23" t="n">
        <x:v>4</x:v>
      </x:c>
      <x:c r="C7" s="23" t="n">
        <x:v>4</x:v>
      </x:c>
      <x:c r="D7" s="23" t="n">
        <x:f>C7-B7</x:f>
        <x:v>0</x:v>
      </x:c>
      <x:c r="E7" s="23" t="str">
        <x:f>IF(D7=0,"Coincide","Revisar")</x:f>
        <x:v>Coincide</x:v>
      </x:c>
      <x:c r="F7" s="31" t="str">
        <x:v>saki_research/published_comments/bigio_monetary_fiscal_history_peru_1960_2017_martinelli_vega.pdf</x:v>
      </x:c>
    </x:row>
    <x:row r="8" ht="42" customHeight="1">
      <x:c r="A8" s="23" t="str">
        <x:v>P04</x:v>
      </x:c>
      <x:c r="B8" s="23" t="n">
        <x:v>19</x:v>
      </x:c>
      <x:c r="C8" s="23" t="n">
        <x:v>19</x:v>
      </x:c>
      <x:c r="D8" s="23" t="n">
        <x:f>C8-B8</x:f>
        <x:v>0</x:v>
      </x:c>
      <x:c r="E8" s="23" t="str">
        <x:f>IF(D8=0,"Coincide","Revisar")</x:f>
        <x:v>Coincide</x:v>
      </x:c>
      <x:c r="F8" s="31" t="str">
        <x:v>saki_research/published_papers/bigio_schneider_liquidity_shocks_business_cycles_asset_prices.pdf</x:v>
      </x:c>
    </x:row>
    <x:row r="9" ht="42" customHeight="1">
      <x:c r="A9" s="23" t="str">
        <x:v>P08</x:v>
      </x:c>
      <x:c r="B9" s="23" t="n">
        <x:v>66</x:v>
      </x:c>
      <x:c r="C9" s="23" t="n">
        <x:v>66</x:v>
      </x:c>
      <x:c r="D9" s="23" t="n">
        <x:f>C9-B9</x:f>
        <x:v>0</x:v>
      </x:c>
      <x:c r="E9" s="23" t="str">
        <x:f>IF(D9=0,"Coincide","Revisar")</x:f>
        <x:v>Coincide</x:v>
      </x:c>
      <x:c r="F9" s="31" t="str">
        <x:v>saki_research/published_papers/bigio_nuno_passadore_debt_maturity_management_liquidity_costs.pdf</x:v>
      </x:c>
    </x:row>
    <x:row r="10" ht="42" customHeight="1">
      <x:c r="A10" s="23" t="str">
        <x:v>P10</x:v>
      </x:c>
      <x:c r="B10" s="23" t="n">
        <x:v>85</x:v>
      </x:c>
      <x:c r="C10" s="23" t="n">
        <x:v>85</x:v>
      </x:c>
      <x:c r="D10" s="23" t="n">
        <x:f>C10-B10</x:f>
        <x:v>0</x:v>
      </x:c>
      <x:c r="E10" s="23" t="str">
        <x:f>IF(D10=0,"Coincide","Revisar")</x:f>
        <x:v>Coincide</x:v>
      </x:c>
      <x:c r="F10" s="31" t="str">
        <x:v>saki_research/published_papers/begenau_bigio_majerovitz_vieyra_q_theory_banks.pdf</x:v>
      </x:c>
    </x:row>
    <x:row r="11" ht="42" customHeight="1">
      <x:c r="A11" s="23" t="str">
        <x:v>W06</x:v>
      </x:c>
      <x:c r="B11" s="23" t="n">
        <x:v>21</x:v>
      </x:c>
      <x:c r="C11" s="23" t="n">
        <x:v>21</x:v>
      </x:c>
      <x:c r="D11" s="23" t="n">
        <x:f>C11-B11</x:f>
        <x:v>0</x:v>
      </x:c>
      <x:c r="E11" s="23" t="str">
        <x:f>IF(D11=0,"Coincide","Revisar")</x:f>
        <x:v>Coincide</x:v>
      </x:c>
      <x:c r="F11" s="31" t="str">
        <x:v>saki_research/working_papers/bigio_zhang_zilberman_transfers_credit_policy_macroeconomic_policy_trade_offs_during_covid_19.pdf</x:v>
      </x:c>
    </x:row>
    <x:row r="12" ht="42" customHeight="1">
      <x:c r="A12" s="23" t="str">
        <x:v>W11</x:v>
      </x:c>
      <x:c r="B12" s="23" t="n">
        <x:v>37</x:v>
      </x:c>
      <x:c r="C12" s="23" t="n">
        <x:v>37</x:v>
      </x:c>
      <x:c r="D12" s="23" t="n">
        <x:f>C12-B12</x:f>
        <x:v>0</x:v>
      </x:c>
      <x:c r="E12" s="23" t="str">
        <x:f>IF(D12=0,"Coincide","Revisar")</x:f>
        <x:v>Coincide</x:v>
      </x:c>
      <x:c r="F12" s="31" t="str">
        <x:v>saki_research/working_papers/bigio_castillo_han_dollar_liquidity_flows_soe.pdf</x:v>
      </x:c>
    </x:row>
    <x:row r="13" ht="42" customHeight="1">
      <x:c r="A13" s="23" t="str">
        <x:v>D15</x:v>
      </x:c>
      <x:c r="B13" s="23" t="n">
        <x:v>0</x:v>
      </x:c>
      <x:c r="C13" s="23" t="n">
        <x:v>0</x:v>
      </x:c>
      <x:c r="D13" s="23" t="n">
        <x:f>C13-B13</x:f>
        <x:v>0</x:v>
      </x:c>
      <x:c r="E13" s="23" t="str">
        <x:f>IF(D13=0,"Coincide","Revisar")</x:f>
        <x:v>Coincide</x:v>
      </x:c>
      <x:c r="F13" s="31" t="str">
        <x:v>saki_research/discussions/bigio_safety_traps_caballero_farhi.pdf</x:v>
      </x:c>
    </x:row>
    <x:row r="14">
      <x:c r="A14" s="23"/>
      <x:c r="B14" s="23"/>
      <x:c r="C14" s="23"/>
      <x:c r="D14" s="23"/>
      <x:c r="E14" s="23"/>
      <x:c r="F14" s="23"/>
    </x:row>
    <x:row r="15">
      <x:c r="A15" s="23" t="str">
        <x:v>D15 no contiene una sección bibliográfica según la revisión previa: cero es el valor esperado.</x:v>
      </x:c>
      <x:c r="B15" s="23"/>
      <x:c r="C15" s="23"/>
      <x:c r="D15" s="23"/>
      <x:c r="E15" s="23"/>
      <x:c r="F15" s="23"/>
    </x:row>
    <x:row r="16">
      <x:c r="A16" s="23"/>
      <x:c r="B16" s="23"/>
      <x:c r="C16" s="23"/>
      <x:c r="D16" s="23"/>
      <x:c r="E16" s="23"/>
      <x:c r="F16" s="23"/>
    </x:row>
    <x:row r="17">
      <x:c r="A17" s="23" t="str">
        <x:v>La auditoría inicial se conserva en sus cuatro hojas originales; su JSON fuente está en data/archive/.</x:v>
      </x:c>
      <x:c r="B17" s="23"/>
      <x:c r="C17" s="23"/>
      <x:c r="D17" s="23"/>
      <x:c r="E17" s="23"/>
      <x:c r="F17" s="23"/>
    </x:row>
    <x:row r="18">
      <x:c r="A18" s="23"/>
      <x:c r="B18" s="23"/>
      <x:c r="C18" s="23"/>
      <x:c r="D18" s="23"/>
      <x:c r="E18" s="23"/>
      <x:c r="F18" s="23"/>
    </x:row>
    <x:row r="19">
      <x:c r="A19" s="23"/>
      <x:c r="B19" s="23"/>
      <x:c r="C19" s="23"/>
      <x:c r="D19" s="23"/>
      <x:c r="E19" s="23"/>
      <x:c r="F19" s="23"/>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2" topLeftCell="A13" activePane="bottomLeft" state="frozen"/>
    </x:sheetView>
  </x:sheetViews>
  <x:sheetFormatPr defaultRowHeight="15"/>
  <x:cols>
    <x:col min="1" max="1" width="30" hidden="0" customWidth="1"/>
    <x:col min="2" max="2" width="15" hidden="0" customWidth="1"/>
    <x:col min="3" max="3" width="21" hidden="0" customWidth="1"/>
    <x:col min="4" max="4" width="28" hidden="0" customWidth="1"/>
    <x:col min="5" max="5" width="30" hidden="0" customWidth="1"/>
    <x:col min="6" max="6" width="21" hidden="0" customWidth="1"/>
    <x:col min="7" max="7" width="74" hidden="0" customWidth="1"/>
    <x:col min="8" max="8" width="48" hidden="0" customWidth="1"/>
  </x:cols>
  <x:sheetData>
    <x:row r="1">
      <x:c r="A1" s="43" t="str">
        <x:v>Remediación local de referencias</x:v>
      </x:c>
      <x:c r="B1" s="23"/>
      <x:c r="C1" s="23"/>
      <x:c r="D1" s="23"/>
      <x:c r="E1" s="23"/>
      <x:c r="F1" s="23"/>
      <x:c r="G1" s="23"/>
      <x:c r="H1" s="23"/>
    </x:row>
    <x:row r="2">
      <x:c r="A2" s="23" t="str">
        <x:v>Comprobación sobre los mismos 100 casos revisados. No es una nueva auditoría independiente.</x:v>
      </x:c>
      <x:c r="B2" s="23"/>
      <x:c r="C2" s="23"/>
      <x:c r="D2" s="23"/>
      <x:c r="E2" s="23"/>
      <x:c r="F2" s="23"/>
      <x:c r="G2" s="23"/>
      <x:c r="H2" s="23"/>
    </x:row>
    <x:row r="3">
      <x:c r="A3" s="23" t="str">
        <x:v>La resolución DOI/OpenAlex continúa pendiente; por ello las redes de referencias siguen bloqueadas.</x:v>
      </x:c>
      <x:c r="B3" s="23"/>
      <x:c r="C3" s="23"/>
      <x:c r="D3" s="23"/>
      <x:c r="E3" s="23"/>
      <x:c r="F3" s="23"/>
      <x:c r="G3" s="23"/>
      <x:c r="H3" s="23"/>
    </x:row>
    <x:row r="4">
      <x:c r="A4" s="23"/>
      <x:c r="B4" s="23"/>
      <x:c r="C4" s="23"/>
      <x:c r="D4" s="23"/>
      <x:c r="E4" s="23"/>
      <x:c r="F4" s="23"/>
      <x:c r="G4" s="23"/>
      <x:c r="H4" s="23"/>
    </x:row>
    <x:row r="5">
      <x:c r="A5" s="51" t="str">
        <x:v>Entradas tras correcciones</x:v>
      </x:c>
      <x:c r="B5" s="52" t="n">
        <x:v>1414</x:v>
      </x:c>
      <x:c r="C5" s="23"/>
      <x:c r="D5" s="51" t="str">
        <x:v>Muestra de regresión</x:v>
      </x:c>
      <x:c r="E5" s="52" t="n">
        <x:v>100</x:v>
      </x:c>
      <x:c r="F5" s="23"/>
      <x:c r="G5" s="23"/>
      <x:c r="H5" s="23"/>
    </x:row>
    <x:row r="6">
      <x:c r="A6" s="53" t="str">
        <x:v>Títulos no aislados</x:v>
      </x:c>
      <x:c r="B6" s="54" t="n">
        <x:v>1</x:v>
      </x:c>
      <x:c r="C6" s="23"/>
      <x:c r="D6" s="53" t="str">
        <x:v>Fichas utilizables antes</x:v>
      </x:c>
      <x:c r="E6" s="54" t="n">
        <x:v>77</x:v>
      </x:c>
      <x:c r="F6" s="23"/>
      <x:c r="G6" s="23"/>
      <x:c r="H6" s="23"/>
    </x:row>
    <x:row r="7">
      <x:c r="A7" s="53" t="str">
        <x:v>Años ausentes</x:v>
      </x:c>
      <x:c r="B7" s="54" t="n">
        <x:v>4</x:v>
      </x:c>
      <x:c r="C7" s="23"/>
      <x:c r="D7" s="53" t="str">
        <x:v>Casos remediados</x:v>
      </x:c>
      <x:c r="E7" s="54" t="n">
        <x:v>100</x:v>
      </x:c>
      <x:c r="F7" s="23"/>
      <x:c r="G7" s="23"/>
      <x:c r="H7" s="23"/>
    </x:row>
    <x:row r="8">
      <x:c r="A8" s="53" t="str">
        <x:v>Títulos añadidos localmente</x:v>
      </x:c>
      <x:c r="B8" s="54" t="n">
        <x:v>199</x:v>
      </x:c>
      <x:c r="C8" s="23"/>
      <x:c r="D8" s="53" t="str">
        <x:v>Casos fallidos</x:v>
      </x:c>
      <x:c r="E8" s="54" t="n">
        <x:v>0</x:v>
      </x:c>
      <x:c r="F8" s="23"/>
      <x:c r="G8" s="23"/>
      <x:c r="H8" s="23"/>
    </x:row>
    <x:row r="9">
      <x:c r="A9" s="55" t="str">
        <x:v>Casos conocidos remediados</x:v>
      </x:c>
      <x:c r="B9" s="56" t="n">
        <x:f>COUNTIF(D13:D112,"sí")</x:f>
        <x:v>100</x:v>
      </x:c>
      <x:c r="C9" s="23"/>
      <x:c r="D9" s="55" t="str">
        <x:v>Redes habilitadas</x:v>
      </x:c>
      <x:c r="E9" s="56" t="str">
        <x:v>no</x:v>
      </x:c>
      <x:c r="F9" s="23"/>
      <x:c r="G9" s="23"/>
      <x:c r="H9" s="23"/>
    </x:row>
    <x:row r="10">
      <x:c r="A10" s="23"/>
      <x:c r="B10" s="23"/>
      <x:c r="C10" s="23"/>
      <x:c r="D10" s="23"/>
      <x:c r="E10" s="23"/>
      <x:c r="F10" s="23"/>
      <x:c r="G10" s="23"/>
      <x:c r="H10" s="23"/>
    </x:row>
    <x:row r="11">
      <x:c r="A11" s="23" t="str">
        <x:v>El 100/100 mide que se corrigieron los defectos ya conocidos; no estima precisión fuera de la muestra.</x:v>
      </x:c>
      <x:c r="B11" s="23"/>
      <x:c r="C11" s="23"/>
      <x:c r="D11" s="23"/>
      <x:c r="E11" s="23"/>
      <x:c r="F11" s="23"/>
      <x:c r="G11" s="23"/>
      <x:c r="H11" s="23"/>
    </x:row>
    <x:row r="12" ht="30" customHeight="1">
      <x:c r="A12" s="73" t="str">
        <x:v>Caso</x:v>
      </x:c>
      <x:c r="B12" s="73" t="str">
        <x:v>Documento</x:v>
      </x:c>
      <x:c r="C12" s="73" t="str">
        <x:v>Ficha lista antes</x:v>
      </x:c>
      <x:c r="D12" s="73" t="str">
        <x:v>Remediación</x:v>
      </x:c>
      <x:c r="E12" s="73" t="str">
        <x:v>Acción</x:v>
      </x:c>
      <x:c r="F12" s="73" t="str">
        <x:v>Registros resultantes</x:v>
      </x:c>
      <x:c r="G12" s="73" t="str">
        <x:v>Título(s) resultante(s)</x:v>
      </x:c>
      <x:c r="H12" s="73" t="str">
        <x:v>Trazabilidad</x:v>
      </x:c>
    </x:row>
    <x:row r="13" ht="44" customHeight="1">
      <x:c r="A13" s="24" t="str">
        <x:v>C-001</x:v>
      </x:c>
      <x:c r="B13" s="24" t="str">
        <x:v>C01</x:v>
      </x:c>
      <x:c r="C13" s="24" t="str">
        <x:v>no</x:v>
      </x:c>
      <x:c r="D13" s="24" t="str">
        <x:v>sí</x:v>
      </x:c>
      <x:c r="E13" s="25" t="str">
        <x:v>field_or_segmentation_check</x:v>
      </x:c>
      <x:c r="F13" s="25" t="n">
        <x:v>1</x:v>
      </x:c>
      <x:c r="G13" s="25" t="str">
        <x:v>Optimal supply of public and private liquidity</x:v>
      </x:c>
      <x:c r="H13" s="25" t="str">
        <x:v>local_citation_grammar_v3</x:v>
      </x:c>
    </x:row>
    <x:row r="14" ht="44" customHeight="1">
      <x:c r="A14" s="24" t="str">
        <x:v>C-002</x:v>
      </x:c>
      <x:c r="B14" s="24" t="str">
        <x:v>C01</x:v>
      </x:c>
      <x:c r="C14" s="24" t="str">
        <x:v>no</x:v>
      </x:c>
      <x:c r="D14" s="24" t="str">
        <x:v>sí</x:v>
      </x:c>
      <x:c r="E14" s="25" t="str">
        <x:v>field_or_segmentation_check</x:v>
      </x:c>
      <x:c r="F14" s="25" t="n">
        <x:v>1</x:v>
      </x:c>
      <x:c r="G14" s="25" t="str">
        <x:v>Optimal fiscal and monetary policy in an economy without capital</x:v>
      </x:c>
      <x:c r="H14" s="25" t="str">
        <x:v>local_citation_grammar_v3</x:v>
      </x:c>
    </x:row>
    <x:row r="15" ht="44" customHeight="1">
      <x:c r="A15" s="24" t="str">
        <x:v>C-003</x:v>
      </x:c>
      <x:c r="B15" s="24" t="str">
        <x:v>C01</x:v>
      </x:c>
      <x:c r="C15" s="24" t="str">
        <x:v>no</x:v>
      </x:c>
      <x:c r="D15" s="24" t="str">
        <x:v>sí</x:v>
      </x:c>
      <x:c r="E15" s="25" t="str">
        <x:v>field_or_segmentation_check</x:v>
      </x:c>
      <x:c r="F15" s="25" t="n">
        <x:v>1</x:v>
      </x:c>
      <x:c r="G15" s="25" t="str">
        <x:v>Public debt as private liquidity</x:v>
      </x:c>
      <x:c r="H15" s="25" t="str">
        <x:v>local_citation_grammar_v3</x:v>
      </x:c>
    </x:row>
    <x:row r="16" ht="44" customHeight="1">
      <x:c r="A16" s="24" t="str">
        <x:v>C-004</x:v>
      </x:c>
      <x:c r="B16" s="24" t="str">
        <x:v>E01</x:v>
      </x:c>
      <x:c r="C16" s="24" t="str">
        <x:v>sí</x:v>
      </x:c>
      <x:c r="D16" s="24" t="str">
        <x:v>sí</x:v>
      </x:c>
      <x:c r="E16" s="25" t="str">
        <x:v>field_or_segmentation_check</x:v>
      </x:c>
      <x:c r="F16" s="25" t="n">
        <x:v>1</x:v>
      </x:c>
      <x:c r="G16" s="25" t="str">
        <x:v>Governance Matters IV: Governance Indicators for 1996-2004</x:v>
      </x:c>
      <x:c r="H16" s="25" t="str"/>
    </x:row>
    <x:row r="17" ht="44" customHeight="1">
      <x:c r="A17" s="24" t="str">
        <x:v>C-005</x:v>
      </x:c>
      <x:c r="B17" s="24" t="str">
        <x:v>E01</x:v>
      </x:c>
      <x:c r="C17" s="24" t="str">
        <x:v>sí</x:v>
      </x:c>
      <x:c r="D17" s="24" t="str">
        <x:v>sí</x:v>
      </x:c>
      <x:c r="E17" s="25" t="str">
        <x:v>field_or_segmentation_check</x:v>
      </x:c>
      <x:c r="F17" s="25" t="n">
        <x:v>1</x:v>
      </x:c>
      <x:c r="G17" s="25" t="str">
        <x:v>Corruption and Growth</x:v>
      </x:c>
      <x:c r="H17" s="25" t="str"/>
    </x:row>
    <x:row r="18" ht="44" customHeight="1">
      <x:c r="A18" s="24" t="str">
        <x:v>C-006</x:v>
      </x:c>
      <x:c r="B18" s="24" t="str">
        <x:v>E01</x:v>
      </x:c>
      <x:c r="C18" s="24" t="str">
        <x:v>sí</x:v>
      </x:c>
      <x:c r="D18" s="24" t="str">
        <x:v>sí</x:v>
      </x:c>
      <x:c r="E18" s="25" t="str">
        <x:v>field_or_segmentation_check</x:v>
      </x:c>
      <x:c r="F18" s="25" t="n">
        <x:v>1</x:v>
      </x:c>
      <x:c r="G18" s="25" t="str">
        <x:v>Who must pay bribes and how much? Evidence from a Cross Section of Firms</x:v>
      </x:c>
      <x:c r="H18" s="25" t="str"/>
    </x:row>
    <x:row r="19" ht="44" customHeight="1">
      <x:c r="A19" s="24" t="str">
        <x:v>C-007</x:v>
      </x:c>
      <x:c r="B19" s="24" t="str">
        <x:v>E01</x:v>
      </x:c>
      <x:c r="C19" s="24" t="str">
        <x:v>sí</x:v>
      </x:c>
      <x:c r="D19" s="24" t="str">
        <x:v>sí</x:v>
      </x:c>
      <x:c r="E19" s="25" t="str">
        <x:v>field_or_segmentation_check</x:v>
      </x:c>
      <x:c r="F19" s="25" t="n">
        <x:v>1</x:v>
      </x:c>
      <x:c r="G19" s="25" t="str">
        <x:v>Negative Alchemy? Corruption, Composition of Capital Flows and Currency Crises</x:v>
      </x:c>
      <x:c r="H19" s="25" t="str"/>
    </x:row>
    <x:row r="20" ht="44" customHeight="1">
      <x:c r="A20" s="24" t="str">
        <x:v>C-008</x:v>
      </x:c>
      <x:c r="B20" s="24" t="str">
        <x:v>E02</x:v>
      </x:c>
      <x:c r="C20" s="24" t="str">
        <x:v>no</x:v>
      </x:c>
      <x:c r="D20" s="24" t="str">
        <x:v>sí</x:v>
      </x:c>
      <x:c r="E20" s="25" t="str">
        <x:v>field_or_segmentation_check</x:v>
      </x:c>
      <x:c r="F20" s="25" t="n">
        <x:v>1</x:v>
      </x:c>
      <x:c r="G20" s="25" t="str">
        <x:v>Price Rigidities, Asymmetries, and Output Fluctuations</x:v>
      </x:c>
      <x:c r="H20" s="25" t="str">
        <x:v>C-008</x:v>
      </x:c>
    </x:row>
    <x:row r="21" ht="44" customHeight="1">
      <x:c r="A21" s="24" t="str">
        <x:v>C-009</x:v>
      </x:c>
      <x:c r="B21" s="24" t="str">
        <x:v>E02</x:v>
      </x:c>
      <x:c r="C21" s="24" t="str">
        <x:v>sí</x:v>
      </x:c>
      <x:c r="D21" s="24" t="str">
        <x:v>sí</x:v>
      </x:c>
      <x:c r="E21" s="25" t="str">
        <x:v>field_or_segmentation_check</x:v>
      </x:c>
      <x:c r="F21" s="25" t="n">
        <x:v>1</x:v>
      </x:c>
      <x:c r="G21" s="25" t="str">
        <x:v>Fear of Floating</x:v>
      </x:c>
      <x:c r="H21" s="25" t="str"/>
    </x:row>
    <x:row r="22" ht="44" customHeight="1">
      <x:c r="A22" s="24" t="str">
        <x:v>C-010</x:v>
      </x:c>
      <x:c r="B22" s="24" t="str">
        <x:v>E02</x:v>
      </x:c>
      <x:c r="C22" s="24" t="str">
        <x:v>no</x:v>
      </x:c>
      <x:c r="D22" s="24" t="str">
        <x:v>sí</x:v>
      </x:c>
      <x:c r="E22" s="25" t="str">
        <x:v>field_or_segmentation_check</x:v>
      </x:c>
      <x:c r="F22" s="25" t="n">
        <x:v>1</x:v>
      </x:c>
      <x:c r="G22" s="25" t="str">
        <x:v>Financial Frictions and Real Devaluations</x:v>
      </x:c>
      <x:c r="H22" s="25" t="str">
        <x:v>C-010</x:v>
      </x:c>
    </x:row>
    <x:row r="23" ht="44" customHeight="1">
      <x:c r="A23" s="24" t="str">
        <x:v>C-011</x:v>
      </x:c>
      <x:c r="B23" s="24" t="str">
        <x:v>E02</x:v>
      </x:c>
      <x:c r="C23" s="24" t="str">
        <x:v>sí</x:v>
      </x:c>
      <x:c r="D23" s="24" t="str">
        <x:v>sí</x:v>
      </x:c>
      <x:c r="E23" s="25" t="str">
        <x:v>field_or_segmentation_check</x:v>
      </x:c>
      <x:c r="F23" s="25" t="n">
        <x:v>1</x:v>
      </x:c>
      <x:c r="G23" s="25" t="str">
        <x:v>Mecanismos de Transmisión de la Política Monetaria y el Impacto de una Devaluación en el Nivel de Firmas</x:v>
      </x:c>
      <x:c r="H23" s="25" t="str"/>
    </x:row>
    <x:row r="24" ht="44" customHeight="1">
      <x:c r="A24" s="24" t="str">
        <x:v>C-012</x:v>
      </x:c>
      <x:c r="B24" s="24" t="str">
        <x:v>P01</x:v>
      </x:c>
      <x:c r="C24" s="24" t="str">
        <x:v>no</x:v>
      </x:c>
      <x:c r="D24" s="24" t="str">
        <x:v>sí</x:v>
      </x:c>
      <x:c r="E24" s="25" t="str">
        <x:v>field_or_segmentation_check</x:v>
      </x:c>
      <x:c r="F24" s="25" t="n">
        <x:v>1</x:v>
      </x:c>
      <x:c r="G24" s="25" t="str">
        <x:v>On the relation between robust and Bayesian decision making</x:v>
      </x:c>
      <x:c r="H24" s="25" t="str">
        <x:v>local_citation_grammar_v3</x:v>
      </x:c>
    </x:row>
    <x:row r="25" ht="44" customHeight="1">
      <x:c r="A25" s="24" t="str">
        <x:v>C-013</x:v>
      </x:c>
      <x:c r="B25" s="24" t="str">
        <x:v>P01</x:v>
      </x:c>
      <x:c r="C25" s="24" t="str">
        <x:v>no</x:v>
      </x:c>
      <x:c r="D25" s="24" t="str">
        <x:v>sí</x:v>
      </x:c>
      <x:c r="E25" s="25" t="str">
        <x:v>field_or_segmentation_check</x:v>
      </x:c>
      <x:c r="F25" s="25" t="n">
        <x:v>1</x:v>
      </x:c>
      <x:c r="G25" s="25" t="str">
        <x:v>Escaping Nash inflation</x:v>
      </x:c>
      <x:c r="H25" s="25" t="str">
        <x:v>local_citation_grammar_v3</x:v>
      </x:c>
    </x:row>
    <x:row r="26" ht="44" customHeight="1">
      <x:c r="A26" s="24" t="str">
        <x:v>C-014</x:v>
      </x:c>
      <x:c r="B26" s="24" t="str">
        <x:v>P01</x:v>
      </x:c>
      <x:c r="C26" s="24" t="str">
        <x:v>no</x:v>
      </x:c>
      <x:c r="D26" s="24" t="str">
        <x:v>sí</x:v>
      </x:c>
      <x:c r="E26" s="25" t="str">
        <x:v>field_or_segmentation_check</x:v>
      </x:c>
      <x:c r="F26" s="25" t="n">
        <x:v>1</x:v>
      </x:c>
      <x:c r="G26" s="25" t="str">
        <x:v>Monetary policy in a low pass-through environment</x:v>
      </x:c>
      <x:c r="H26" s="25" t="str">
        <x:v>local_citation_grammar_v3</x:v>
      </x:c>
    </x:row>
    <x:row r="27" ht="44" customHeight="1">
      <x:c r="A27" s="24" t="str">
        <x:v>C-015</x:v>
      </x:c>
      <x:c r="B27" s="24" t="str">
        <x:v>P02</x:v>
      </x:c>
      <x:c r="C27" s="24" t="str">
        <x:v>no</x:v>
      </x:c>
      <x:c r="D27" s="24" t="str">
        <x:v>sí</x:v>
      </x:c>
      <x:c r="E27" s="25" t="str">
        <x:v>field_or_segmentation_check</x:v>
      </x:c>
      <x:c r="F27" s="25" t="n">
        <x:v>1</x:v>
      </x:c>
      <x:c r="G27" s="25" t="str">
        <x:v>Strong Societies and Weak States: State-Society Relations and State Capabilities in the Third World</x:v>
      </x:c>
      <x:c r="H27" s="25" t="str">
        <x:v>local_citation_grammar_v3</x:v>
      </x:c>
    </x:row>
    <x:row r="28" ht="44" customHeight="1">
      <x:c r="A28" s="24" t="str">
        <x:v>C-016</x:v>
      </x:c>
      <x:c r="B28" s="24" t="str">
        <x:v>P02</x:v>
      </x:c>
      <x:c r="C28" s="24" t="str">
        <x:v>no</x:v>
      </x:c>
      <x:c r="D28" s="24" t="str">
        <x:v>sí</x:v>
      </x:c>
      <x:c r="E28" s="25" t="str">
        <x:v>field_or_segmentation_check</x:v>
      </x:c>
      <x:c r="F28" s="25" t="n">
        <x:v>1</x:v>
      </x:c>
      <x:c r="G28" s="25" t="str">
        <x:v>Theories of “bad policy”</x:v>
      </x:c>
      <x:c r="H28" s="25" t="str">
        <x:v>C-016</x:v>
      </x:c>
    </x:row>
    <x:row r="29" ht="44" customHeight="1">
      <x:c r="A29" s="24" t="str">
        <x:v>C-017</x:v>
      </x:c>
      <x:c r="B29" s="24" t="str">
        <x:v>P02</x:v>
      </x:c>
      <x:c r="C29" s="24" t="str">
        <x:v>no</x:v>
      </x:c>
      <x:c r="D29" s="24" t="str">
        <x:v>sí</x:v>
      </x:c>
      <x:c r="E29" s="25" t="str">
        <x:v>field_or_segmentation_check</x:v>
      </x:c>
      <x:c r="F29" s="25" t="n">
        <x:v>1</x:v>
      </x:c>
      <x:c r="G29" s="25" t="str">
        <x:v>The theory of tax evasion: A retrospective view</x:v>
      </x:c>
      <x:c r="H29" s="25" t="str">
        <x:v>local_citation_grammar_v3</x:v>
      </x:c>
    </x:row>
    <x:row r="30" ht="44" customHeight="1">
      <x:c r="A30" s="24" t="str">
        <x:v>C-018</x:v>
      </x:c>
      <x:c r="B30" s="24" t="str">
        <x:v>P02</x:v>
      </x:c>
      <x:c r="C30" s="24" t="str">
        <x:v>no</x:v>
      </x:c>
      <x:c r="D30" s="24" t="str">
        <x:v>sí</x:v>
      </x:c>
      <x:c r="E30" s="25" t="str">
        <x:v>field_or_segmentation_check</x:v>
      </x:c>
      <x:c r="F30" s="25" t="n">
        <x:v>1</x:v>
      </x:c>
      <x:c r="G30" s="25" t="str">
        <x:v>American government finance in the long run: 1790 to 1990</x:v>
      </x:c>
      <x:c r="H30" s="25" t="str">
        <x:v>C-018 | literal_citation_review_2026-09-16</x:v>
      </x:c>
    </x:row>
    <x:row r="31" ht="44" customHeight="1">
      <x:c r="A31" s="24" t="str">
        <x:v>C-019</x:v>
      </x:c>
      <x:c r="B31" s="24" t="str">
        <x:v>P03</x:v>
      </x:c>
      <x:c r="C31" s="24" t="str">
        <x:v>sí</x:v>
      </x:c>
      <x:c r="D31" s="24" t="str">
        <x:v>sí</x:v>
      </x:c>
      <x:c r="E31" s="25" t="str">
        <x:v>field_or_segmentation_check</x:v>
      </x:c>
      <x:c r="F31" s="25" t="n">
        <x:v>1</x:v>
      </x:c>
      <x:c r="G31" s="25" t="str">
        <x:v>Financial Intermediation, Investment Dynamics and Business Cycle Fluctuations</x:v>
      </x:c>
      <x:c r="H31" s="25" t="str"/>
    </x:row>
    <x:row r="32" ht="44" customHeight="1">
      <x:c r="A32" s="24" t="str">
        <x:v>C-020</x:v>
      </x:c>
      <x:c r="B32" s="24" t="str">
        <x:v>P03</x:v>
      </x:c>
      <x:c r="C32" s="24" t="str">
        <x:v>sí</x:v>
      </x:c>
      <x:c r="D32" s="24" t="str">
        <x:v>sí</x:v>
      </x:c>
      <x:c r="E32" s="25" t="str">
        <x:v>field_or_segmentation_check</x:v>
      </x:c>
      <x:c r="F32" s="25" t="n">
        <x:v>1</x:v>
      </x:c>
      <x:c r="G32" s="25" t="str">
        <x:v>On RothschildStiglitz as competitive pooling</x:v>
      </x:c>
      <x:c r="H32" s="25" t="str"/>
    </x:row>
    <x:row r="33" ht="44" customHeight="1">
      <x:c r="A33" s="24" t="str">
        <x:v>C-021</x:v>
      </x:c>
      <x:c r="B33" s="24" t="str">
        <x:v>P03</x:v>
      </x:c>
      <x:c r="C33" s="24" t="str">
        <x:v>sí</x:v>
      </x:c>
      <x:c r="D33" s="24" t="str">
        <x:v>sí</x:v>
      </x:c>
      <x:c r="E33" s="25" t="str">
        <x:v>field_or_segmentation_check</x:v>
      </x:c>
      <x:c r="F33" s="25" t="n">
        <x:v>1</x:v>
      </x:c>
      <x:c r="G33" s="25" t="str">
        <x:v>How Progressive Is the U.S. Federal Tax System? A Historical and International Perspective</x:v>
      </x:c>
      <x:c r="H33" s="25" t="str"/>
    </x:row>
    <x:row r="34" ht="44" customHeight="1">
      <x:c r="A34" s="24" t="str">
        <x:v>C-022</x:v>
      </x:c>
      <x:c r="B34" s="24" t="str">
        <x:v>P04</x:v>
      </x:c>
      <x:c r="C34" s="24" t="str">
        <x:v>sí</x:v>
      </x:c>
      <x:c r="D34" s="24" t="str">
        <x:v>sí</x:v>
      </x:c>
      <x:c r="E34" s="25" t="str">
        <x:v>field_or_segmentation_check</x:v>
      </x:c>
      <x:c r="F34" s="25" t="n">
        <x:v>1</x:v>
      </x:c>
      <x:c r="G34" s="25" t="str">
        <x:v>Substitution, Risk Aversion, and the Temporal Behavior of Consumption and Asset Returns: A Theoretical Framework</x:v>
      </x:c>
      <x:c r="H34" s="25" t="str"/>
    </x:row>
    <x:row r="35" ht="44" customHeight="1">
      <x:c r="A35" s="24" t="str">
        <x:v>C-023</x:v>
      </x:c>
      <x:c r="B35" s="24" t="str">
        <x:v>P04</x:v>
      </x:c>
      <x:c r="C35" s="24" t="str">
        <x:v>sí</x:v>
      </x:c>
      <x:c r="D35" s="24" t="str">
        <x:v>sí</x:v>
      </x:c>
      <x:c r="E35" s="25" t="str">
        <x:v>field_or_segmentation_check</x:v>
      </x:c>
      <x:c r="F35" s="25" t="n">
        <x:v>1</x:v>
      </x:c>
      <x:c r="G35" s="25" t="str">
        <x:v>Intermediary Asset Pricing</x:v>
      </x:c>
      <x:c r="H35" s="25" t="str"/>
    </x:row>
    <x:row r="36" ht="44" customHeight="1">
      <x:c r="A36" s="24" t="str">
        <x:v>C-024</x:v>
      </x:c>
      <x:c r="B36" s="24" t="str">
        <x:v>P05</x:v>
      </x:c>
      <x:c r="C36" s="24" t="str">
        <x:v>sí</x:v>
      </x:c>
      <x:c r="D36" s="24" t="str">
        <x:v>sí</x:v>
      </x:c>
      <x:c r="E36" s="25" t="str">
        <x:v>field_or_segmentation_check</x:v>
      </x:c>
      <x:c r="F36" s="25" t="n">
        <x:v>1</x:v>
      </x:c>
      <x:c r="G36" s="25" t="str">
        <x:v>The origins of aggregate fluctuations in a credit network economy</x:v>
      </x:c>
      <x:c r="H36" s="25" t="str"/>
    </x:row>
    <x:row r="37" ht="44" customHeight="1">
      <x:c r="A37" s="24" t="str">
        <x:v>C-025</x:v>
      </x:c>
      <x:c r="B37" s="24" t="str">
        <x:v>P05</x:v>
      </x:c>
      <x:c r="C37" s="24" t="str">
        <x:v>sí</x:v>
      </x:c>
      <x:c r="D37" s="24" t="str">
        <x:v>sí</x:v>
      </x:c>
      <x:c r="E37" s="25" t="str">
        <x:v>field_or_segmentation_check</x:v>
      </x:c>
      <x:c r="F37" s="25" t="n">
        <x:v>1</x:v>
      </x:c>
      <x:c r="G37" s="25" t="str">
        <x:v>HomeomorphismbetweenLeontiefandCobb-Douglasinput-outputmodels</x:v>
      </x:c>
      <x:c r="H37" s="25" t="str"/>
    </x:row>
    <x:row r="38" ht="44" customHeight="1">
      <x:c r="A38" s="24" t="str">
        <x:v>C-026</x:v>
      </x:c>
      <x:c r="B38" s="24" t="str">
        <x:v>P05</x:v>
      </x:c>
      <x:c r="C38" s="24" t="str">
        <x:v>sí</x:v>
      </x:c>
      <x:c r="D38" s="24" t="str">
        <x:v>sí</x:v>
      </x:c>
      <x:c r="E38" s="25" t="str">
        <x:v>field_or_segmentation_check</x:v>
      </x:c>
      <x:c r="F38" s="25" t="n">
        <x:v>1</x:v>
      </x:c>
      <x:c r="G38" s="25" t="str">
        <x:v>ProductionNetworks: APrimer</x:v>
      </x:c>
      <x:c r="H38" s="25" t="str"/>
    </x:row>
    <x:row r="39" ht="44" customHeight="1">
      <x:c r="A39" s="24" t="str">
        <x:v>C-027</x:v>
      </x:c>
      <x:c r="B39" s="24" t="str">
        <x:v>P05</x:v>
      </x:c>
      <x:c r="C39" s="24" t="str">
        <x:v>no</x:v>
      </x:c>
      <x:c r="D39" s="24" t="str">
        <x:v>sí</x:v>
      </x:c>
      <x:c r="E39" s="25" t="str">
        <x:v>field_or_segmentation_check</x:v>
      </x:c>
      <x:c r="F39" s="25" t="n">
        <x:v>1</x:v>
      </x:c>
      <x:c r="G39" s="25" t="str">
        <x:v>TheMicroOriginsofInternationalBusiness-CycleComovement</x:v>
      </x:c>
      <x:c r="H39" s="25" t="str">
        <x:v>C-027</x:v>
      </x:c>
    </x:row>
    <x:row r="40" ht="44" customHeight="1">
      <x:c r="A40" s="24" t="str">
        <x:v>C-028</x:v>
      </x:c>
      <x:c r="B40" s="24" t="str">
        <x:v>P05</x:v>
      </x:c>
      <x:c r="C40" s="24" t="str">
        <x:v>sí</x:v>
      </x:c>
      <x:c r="D40" s="24" t="str">
        <x:v>sí</x:v>
      </x:c>
      <x:c r="E40" s="25" t="str">
        <x:v>field_or_segmentation_check</x:v>
      </x:c>
      <x:c r="F40" s="25" t="n">
        <x:v>1</x:v>
      </x:c>
      <x:c r="G40" s="25" t="str">
        <x:v>Intermediate Goods and Weak Links in the Theory of Economic Development</x:v>
      </x:c>
      <x:c r="H40" s="25" t="str"/>
    </x:row>
    <x:row r="41" ht="44" customHeight="1">
      <x:c r="A41" s="24" t="str">
        <x:v>C-029</x:v>
      </x:c>
      <x:c r="B41" s="24" t="str">
        <x:v>P06</x:v>
      </x:c>
      <x:c r="C41" s="24" t="str">
        <x:v>no</x:v>
      </x:c>
      <x:c r="D41" s="24" t="str">
        <x:v>sí</x:v>
      </x:c>
      <x:c r="E41" s="25" t="str">
        <x:v>field_or_segmentation_check</x:v>
      </x:c>
      <x:c r="F41" s="25" t="n">
        <x:v>1</x:v>
      </x:c>
      <x:c r="G41" s="25" t="str">
        <x:v>Mark. Agencycosts,networthandbusinessfluctuations. The American Economic Review, 79(1):14–31, March</x:v>
      </x:c>
      <x:c r="H41" s="25" t="str">
        <x:v>local_citation_grammar_v3</x:v>
      </x:c>
    </x:row>
    <x:row r="42" ht="44" customHeight="1">
      <x:c r="A42" s="24" t="str">
        <x:v>C-030</x:v>
      </x:c>
      <x:c r="B42" s="24" t="str">
        <x:v>P06</x:v>
      </x:c>
      <x:c r="C42" s="24" t="str">
        <x:v>no</x:v>
      </x:c>
      <x:c r="D42" s="24" t="str">
        <x:v>sí</x:v>
      </x:c>
      <x:c r="E42" s="25" t="str">
        <x:v>field_or_segmentation_check</x:v>
      </x:c>
      <x:c r="F42" s="25" t="n">
        <x:v>1</x:v>
      </x:c>
      <x:c r="G42" s="25" t="str">
        <x:v>Financial intermediary-coalitions</x:v>
      </x:c>
      <x:c r="H42" s="25" t="str">
        <x:v>local_citation_grammar_v3</x:v>
      </x:c>
    </x:row>
    <x:row r="43" ht="44" customHeight="1">
      <x:c r="A43" s="24" t="str">
        <x:v>C-031</x:v>
      </x:c>
      <x:c r="B43" s="24" t="str">
        <x:v>P06</x:v>
      </x:c>
      <x:c r="C43" s="24" t="str">
        <x:v>no</x:v>
      </x:c>
      <x:c r="D43" s="24" t="str">
        <x:v>sí</x:v>
      </x:c>
      <x:c r="E43" s="25" t="str">
        <x:v>field_or_segmentation_check</x:v>
      </x:c>
      <x:c r="F43" s="25" t="n">
        <x:v>1</x:v>
      </x:c>
      <x:c r="G43" s="25" t="str">
        <x:v>Liquidity, business cycles, and monetary policy</x:v>
      </x:c>
      <x:c r="H43" s="25" t="str">
        <x:v>local_citation_grammar_v3</x:v>
      </x:c>
    </x:row>
    <x:row r="44" ht="44" customHeight="1">
      <x:c r="A44" s="24" t="str">
        <x:v>C-032</x:v>
      </x:c>
      <x:c r="B44" s="24" t="str">
        <x:v>P07</x:v>
      </x:c>
      <x:c r="C44" s="24" t="str">
        <x:v>sí</x:v>
      </x:c>
      <x:c r="D44" s="24" t="str">
        <x:v>sí</x:v>
      </x:c>
      <x:c r="E44" s="25" t="str">
        <x:v>field_or_segmentation_check</x:v>
      </x:c>
      <x:c r="F44" s="25" t="n">
        <x:v>1</x:v>
      </x:c>
      <x:c r="G44" s="25" t="str">
        <x:v>The Great Escape? A Quantitative Evaluation of the Fed’s Liquidity Facilities</x:v>
      </x:c>
      <x:c r="H44" s="25" t="str"/>
    </x:row>
    <x:row r="45" ht="44" customHeight="1">
      <x:c r="A45" s="24" t="str">
        <x:v>C-033</x:v>
      </x:c>
      <x:c r="B45" s="24" t="str">
        <x:v>P07</x:v>
      </x:c>
      <x:c r="C45" s="24" t="str">
        <x:v>sí</x:v>
      </x:c>
      <x:c r="D45" s="24" t="str">
        <x:v>sí</x:v>
      </x:c>
      <x:c r="E45" s="25" t="str">
        <x:v>field_or_segmentation_check</x:v>
      </x:c>
      <x:c r="F45" s="25" t="n">
        <x:v>1</x:v>
      </x:c>
      <x:c r="G45" s="25" t="str">
        <x:v>The Deposits Channel of Monetary Policy</x:v>
      </x:c>
      <x:c r="H45" s="25" t="str"/>
    </x:row>
    <x:row r="46" ht="44" customHeight="1">
      <x:c r="A46" s="24" t="str">
        <x:v>C-034</x:v>
      </x:c>
      <x:c r="B46" s="24" t="str">
        <x:v>P07</x:v>
      </x:c>
      <x:c r="C46" s="24" t="str">
        <x:v>sí</x:v>
      </x:c>
      <x:c r="D46" s="24" t="str">
        <x:v>sí</x:v>
      </x:c>
      <x:c r="E46" s="25" t="str">
        <x:v>field_or_segmentation_check</x:v>
      </x:c>
      <x:c r="F46" s="25" t="n">
        <x:v>1</x:v>
      </x:c>
      <x:c r="G46" s="25" t="str">
        <x:v>Understanding monetary policy implementation</x:v>
      </x:c>
      <x:c r="H46" s="25" t="str"/>
    </x:row>
    <x:row r="47" ht="44" customHeight="1">
      <x:c r="A47" s="24" t="str">
        <x:v>C-035</x:v>
      </x:c>
      <x:c r="B47" s="24" t="str">
        <x:v>P07</x:v>
      </x:c>
      <x:c r="C47" s="24" t="str">
        <x:v>sí</x:v>
      </x:c>
      <x:c r="D47" s="24" t="str">
        <x:v>sí</x:v>
      </x:c>
      <x:c r="E47" s="25" t="str">
        <x:v>field_or_segmentation_check</x:v>
      </x:c>
      <x:c r="F47" s="25" t="n">
        <x:v>1</x:v>
      </x:c>
      <x:c r="G47" s="25" t="str">
        <x:v>CreditMarketShocksandEconomic Fluctuations: Evidence from Corporate Bond and Stock Markets</x:v>
      </x:c>
      <x:c r="H47" s="25" t="str"/>
    </x:row>
    <x:row r="48" ht="44" customHeight="1">
      <x:c r="A48" s="24" t="str">
        <x:v>C-036</x:v>
      </x:c>
      <x:c r="B48" s="24" t="str">
        <x:v>P07</x:v>
      </x:c>
      <x:c r="C48" s="24" t="str">
        <x:v>sí</x:v>
      </x:c>
      <x:c r="D48" s="24" t="str">
        <x:v>sí</x:v>
      </x:c>
      <x:c r="E48" s="25" t="str">
        <x:v>field_or_segmentation_check</x:v>
      </x:c>
      <x:c r="F48" s="25" t="n">
        <x:v>1</x:v>
      </x:c>
      <x:c r="G48" s="25" t="str">
        <x:v>On Money as a Medium of Exchange</x:v>
      </x:c>
      <x:c r="H48" s="25" t="str"/>
    </x:row>
    <x:row r="49" ht="44" customHeight="1">
      <x:c r="A49" s="24" t="str">
        <x:v>C-037</x:v>
      </x:c>
      <x:c r="B49" s="24" t="str">
        <x:v>P07</x:v>
      </x:c>
      <x:c r="C49" s="24" t="str">
        <x:v>sí</x:v>
      </x:c>
      <x:c r="D49" s="24" t="str">
        <x:v>sí</x:v>
      </x:c>
      <x:c r="E49" s="25" t="str">
        <x:v>field_or_segmentation_check</x:v>
      </x:c>
      <x:c r="F49" s="25" t="n">
        <x:v>1</x:v>
      </x:c>
      <x:c r="G49" s="25" t="str">
        <x:v>Liquidity: A New Monetarist Perspective</x:v>
      </x:c>
      <x:c r="H49" s="25" t="str"/>
    </x:row>
    <x:row r="50" ht="44" customHeight="1">
      <x:c r="A50" s="24" t="str">
        <x:v>C-038</x:v>
      </x:c>
      <x:c r="B50" s="24" t="str">
        <x:v>P07</x:v>
      </x:c>
      <x:c r="C50" s="24" t="str">
        <x:v>sí</x:v>
      </x:c>
      <x:c r="D50" s="24" t="str">
        <x:v>sí</x:v>
      </x:c>
      <x:c r="E50" s="25" t="str">
        <x:v>field_or_segmentation_check</x:v>
      </x:c>
      <x:c r="F50" s="25" t="n">
        <x:v>1</x:v>
      </x:c>
      <x:c r="G50" s="25" t="str">
        <x:v>Unified Framework for Monetary Theory and Policy Analysis</x:v>
      </x:c>
      <x:c r="H50" s="25" t="str"/>
    </x:row>
    <x:row r="51" ht="44" customHeight="1">
      <x:c r="A51" s="24" t="str">
        <x:v>C-039</x:v>
      </x:c>
      <x:c r="B51" s="24" t="str">
        <x:v>P07</x:v>
      </x:c>
      <x:c r="C51" s="24" t="str">
        <x:v>no</x:v>
      </x:c>
      <x:c r="D51" s="24" t="str">
        <x:v>sí</x:v>
      </x:c>
      <x:c r="E51" s="25" t="str">
        <x:v>field_or_segmentation_check</x:v>
      </x:c>
      <x:c r="F51" s="25" t="n">
        <x:v>1</x:v>
      </x:c>
      <x:c r="G51" s="25" t="str">
        <x:v>Money, Payments, and Liquidity</x:v>
      </x:c>
      <x:c r="H51" s="25" t="str">
        <x:v>C-039</x:v>
      </x:c>
    </x:row>
    <x:row r="52" ht="44" customHeight="1">
      <x:c r="A52" s="24" t="str">
        <x:v>C-040</x:v>
      </x:c>
      <x:c r="B52" s="24" t="str">
        <x:v>P08</x:v>
      </x:c>
      <x:c r="C52" s="24" t="str">
        <x:v>sí</x:v>
      </x:c>
      <x:c r="D52" s="24" t="str">
        <x:v>sí</x:v>
      </x:c>
      <x:c r="E52" s="25" t="str">
        <x:v>field_or_segmentation_check</x:v>
      </x:c>
      <x:c r="F52" s="25" t="n">
        <x:v>1</x:v>
      </x:c>
      <x:c r="G52" s="25" t="str">
        <x:v>Servicingthepublicdebt: Theroleofexpectations</x:v>
      </x:c>
      <x:c r="H52" s="25" t="str"/>
    </x:row>
    <x:row r="53" ht="44" customHeight="1">
      <x:c r="A53" s="24" t="str">
        <x:v>C-041</x:v>
      </x:c>
      <x:c r="B53" s="24" t="str">
        <x:v>P08</x:v>
      </x:c>
      <x:c r="C53" s="24" t="str">
        <x:v>sí</x:v>
      </x:c>
      <x:c r="D53" s="24" t="str">
        <x:v>sí</x:v>
      </x:c>
      <x:c r="E53" s="25" t="str">
        <x:v>field_or_segmentation_check</x:v>
      </x:c>
      <x:c r="F53" s="25" t="n">
        <x:v>1</x:v>
      </x:c>
      <x:c r="G53" s="25" t="str">
        <x:v>Over-the-Counter Markets</x:v>
      </x:c>
      <x:c r="H53" s="25" t="str"/>
    </x:row>
    <x:row r="54" ht="44" customHeight="1">
      <x:c r="A54" s="24" t="str">
        <x:v>C-042</x:v>
      </x:c>
      <x:c r="B54" s="24" t="str">
        <x:v>P08</x:v>
      </x:c>
      <x:c r="C54" s="24" t="str">
        <x:v>no</x:v>
      </x:c>
      <x:c r="D54" s="24" t="str">
        <x:v>sí</x:v>
      </x:c>
      <x:c r="E54" s="25" t="str">
        <x:v>field_or_segmentation_check</x:v>
      </x:c>
      <x:c r="F54" s="25" t="n">
        <x:v>1</x:v>
      </x:c>
      <x:c r="G54" s="25" t="str">
        <x:v>Thistimeisdifferent: Eightcenturiesoffinancialfolly</x:v>
      </x:c>
      <x:c r="H54" s="25" t="str">
        <x:v>local_citation_grammar_v3</x:v>
      </x:c>
    </x:row>
    <x:row r="55" ht="44" customHeight="1">
      <x:c r="A55" s="24" t="str">
        <x:v>C-043</x:v>
      </x:c>
      <x:c r="B55" s="24" t="str">
        <x:v>P09</x:v>
      </x:c>
      <x:c r="C55" s="24" t="str">
        <x:v>sí</x:v>
      </x:c>
      <x:c r="D55" s="24" t="str">
        <x:v>sí</x:v>
      </x:c>
      <x:c r="E55" s="25" t="str">
        <x:v>field_or_segmentation_check</x:v>
      </x:c>
      <x:c r="F55" s="25" t="n">
        <x:v>1</x:v>
      </x:c>
      <x:c r="G55" s="25" t="str">
        <x:v>AsymmetricInformation,Adverse Selection,andthePricingofCMBS</x:v>
      </x:c>
      <x:c r="H55" s="25" t="str"/>
    </x:row>
    <x:row r="56" ht="44" customHeight="1">
      <x:c r="A56" s="24" t="str">
        <x:v>C-044</x:v>
      </x:c>
      <x:c r="B56" s="24" t="str">
        <x:v>P09</x:v>
      </x:c>
      <x:c r="C56" s="24" t="str">
        <x:v>sí</x:v>
      </x:c>
      <x:c r="D56" s="24" t="str">
        <x:v>sí</x:v>
      </x:c>
      <x:c r="E56" s="25" t="str">
        <x:v>field_or_segmentation_check</x:v>
      </x:c>
      <x:c r="F56" s="25" t="n">
        <x:v>1</x:v>
      </x:c>
      <x:c r="G56" s="25" t="str">
        <x:v>TheRunonRepoandtheFed’s Response</x:v>
      </x:c>
      <x:c r="H56" s="25" t="str"/>
    </x:row>
    <x:row r="57" ht="44" customHeight="1">
      <x:c r="A57" s="24" t="str">
        <x:v>C-045</x:v>
      </x:c>
      <x:c r="B57" s="24" t="str">
        <x:v>P09</x:v>
      </x:c>
      <x:c r="C57" s="24" t="str">
        <x:v>sí</x:v>
      </x:c>
      <x:c r="D57" s="24" t="str">
        <x:v>sí</x:v>
      </x:c>
      <x:c r="E57" s="25" t="str">
        <x:v>field_or_segmentation_check</x:v>
      </x:c>
      <x:c r="F57" s="25" t="n">
        <x:v>1</x:v>
      </x:c>
      <x:c r="G57" s="25" t="str">
        <x:v>UnderstandingtheRoleofDebtintheFinancialSystem</x:v>
      </x:c>
      <x:c r="H57" s="25" t="str"/>
    </x:row>
    <x:row r="58" ht="44" customHeight="1">
      <x:c r="A58" s="24" t="str">
        <x:v>C-046</x:v>
      </x:c>
      <x:c r="B58" s="24" t="str">
        <x:v>P09</x:v>
      </x:c>
      <x:c r="C58" s="24" t="str">
        <x:v>sí</x:v>
      </x:c>
      <x:c r="D58" s="24" t="str">
        <x:v>sí</x:v>
      </x:c>
      <x:c r="E58" s="25" t="str">
        <x:v>field_or_segmentation_check</x:v>
      </x:c>
      <x:c r="F58" s="25" t="n">
        <x:v>1</x:v>
      </x:c>
      <x:c r="G58" s="25" t="str">
        <x:v>ScreeningandAdverseSelectioninFrictionalMarkets</x:v>
      </x:c>
      <x:c r="H58" s="25" t="str"/>
    </x:row>
    <x:row r="59" ht="44" customHeight="1">
      <x:c r="A59" s="24" t="str">
        <x:v>C-047</x:v>
      </x:c>
      <x:c r="B59" s="24" t="str">
        <x:v>P10</x:v>
      </x:c>
      <x:c r="C59" s="24" t="str">
        <x:v>sí</x:v>
      </x:c>
      <x:c r="D59" s="24" t="str">
        <x:v>sí</x:v>
      </x:c>
      <x:c r="E59" s="25" t="str">
        <x:v>field_or_segmentation_check</x:v>
      </x:c>
      <x:c r="F59" s="25" t="n">
        <x:v>1</x:v>
      </x:c>
      <x:c r="G59" s="25" t="str">
        <x:v>Intermediary Leverage Cycles and Financial Stability</x:v>
      </x:c>
      <x:c r="H59" s="25" t="str"/>
    </x:row>
    <x:row r="60" ht="44" customHeight="1">
      <x:c r="A60" s="24" t="str">
        <x:v>C-048</x:v>
      </x:c>
      <x:c r="B60" s="24" t="str">
        <x:v>P10</x:v>
      </x:c>
      <x:c r="C60" s="24" t="str">
        <x:v>sí</x:v>
      </x:c>
      <x:c r="D60" s="24" t="str">
        <x:v>sí</x:v>
      </x:c>
      <x:c r="E60" s="25" t="str">
        <x:v>field_or_segmentation_check</x:v>
      </x:c>
      <x:c r="F60" s="25" t="n">
        <x:v>1</x:v>
      </x:c>
      <x:c r="G60" s="25" t="str">
        <x:v>Bank Capital and the Growth of Private Credit</x:v>
      </x:c>
      <x:c r="H60" s="25" t="str"/>
    </x:row>
    <x:row r="61" ht="44" customHeight="1">
      <x:c r="A61" s="24" t="str">
        <x:v>C-049</x:v>
      </x:c>
      <x:c r="B61" s="24" t="str">
        <x:v>P10</x:v>
      </x:c>
      <x:c r="C61" s="24" t="str">
        <x:v>sí</x:v>
      </x:c>
      <x:c r="D61" s="24" t="str">
        <x:v>sí</x:v>
      </x:c>
      <x:c r="E61" s="25" t="str">
        <x:v>field_or_segmentation_check</x:v>
      </x:c>
      <x:c r="F61" s="25" t="n">
        <x:v>1</x:v>
      </x:c>
      <x:c r="G61" s="25" t="str">
        <x:v>Common Risk Factors in the Returns on Stock and Bonds</x:v>
      </x:c>
      <x:c r="H61" s="25" t="str"/>
    </x:row>
    <x:row r="62" ht="44" customHeight="1">
      <x:c r="A62" s="24" t="str">
        <x:v>C-050</x:v>
      </x:c>
      <x:c r="B62" s="24" t="str">
        <x:v>P10</x:v>
      </x:c>
      <x:c r="C62" s="24" t="str">
        <x:v>sí</x:v>
      </x:c>
      <x:c r="D62" s="24" t="str">
        <x:v>sí</x:v>
      </x:c>
      <x:c r="E62" s="25" t="str">
        <x:v>field_or_segmentation_check</x:v>
      </x:c>
      <x:c r="F62" s="25" t="n">
        <x:v>1</x:v>
      </x:c>
      <x:c r="G62" s="25" t="str">
        <x:v>Banking,liquidity,andbankrunsinaninfinitehorizoneconomy</x:v>
      </x:c>
      <x:c r="H62" s="25" t="str"/>
    </x:row>
    <x:row r="63" ht="44" customHeight="1">
      <x:c r="A63" s="24" t="str">
        <x:v>C-051</x:v>
      </x:c>
      <x:c r="B63" s="24" t="str">
        <x:v>P10</x:v>
      </x:c>
      <x:c r="C63" s="24" t="str">
        <x:v>sí</x:v>
      </x:c>
      <x:c r="D63" s="24" t="str">
        <x:v>sí</x:v>
      </x:c>
      <x:c r="E63" s="25" t="str">
        <x:v>field_or_segmentation_check</x:v>
      </x:c>
      <x:c r="F63" s="25" t="n">
        <x:v>1</x:v>
      </x:c>
      <x:c r="G63" s="25" t="str">
        <x:v>Liquidity rules and credit booms</x:v>
      </x:c>
      <x:c r="H63" s="25" t="str"/>
    </x:row>
    <x:row r="64" ht="44" customHeight="1">
      <x:c r="A64" s="24" t="str">
        <x:v>C-052</x:v>
      </x:c>
      <x:c r="B64" s="24" t="str">
        <x:v>P10</x:v>
      </x:c>
      <x:c r="C64" s="24" t="str">
        <x:v>sí</x:v>
      </x:c>
      <x:c r="D64" s="24" t="str">
        <x:v>sí</x:v>
      </x:c>
      <x:c r="E64" s="25" t="str">
        <x:v>field_or_segmentation_check</x:v>
      </x:c>
      <x:c r="F64" s="25" t="n">
        <x:v>1</x:v>
      </x:c>
      <x:c r="G64" s="25" t="str">
        <x:v>Optimal Contracts and Competitive Markets with Costly State Verification</x:v>
      </x:c>
      <x:c r="H64" s="25" t="str"/>
    </x:row>
    <x:row r="65" ht="44" customHeight="1">
      <x:c r="A65" s="24" t="str">
        <x:v>C-053</x:v>
      </x:c>
      <x:c r="B65" s="24" t="str">
        <x:v>P11</x:v>
      </x:c>
      <x:c r="C65" s="24" t="str">
        <x:v>sí</x:v>
      </x:c>
      <x:c r="D65" s="24" t="str">
        <x:v>sí</x:v>
      </x:c>
      <x:c r="E65" s="25" t="str">
        <x:v>field_or_segmentation_check</x:v>
      </x:c>
      <x:c r="F65" s="25" t="n">
        <x:v>1</x:v>
      </x:c>
      <x:c r="G65" s="25" t="str">
        <x:v>Outputdynamicsinreal-business-cyclemodels</x:v>
      </x:c>
      <x:c r="H65" s="25" t="str"/>
    </x:row>
    <x:row r="66" ht="44" customHeight="1">
      <x:c r="A66" s="24" t="str">
        <x:v>C-054</x:v>
      </x:c>
      <x:c r="B66" s="24" t="str">
        <x:v>P11</x:v>
      </x:c>
      <x:c r="C66" s="24" t="str">
        <x:v>sí</x:v>
      </x:c>
      <x:c r="D66" s="24" t="str">
        <x:v>sí</x:v>
      </x:c>
      <x:c r="E66" s="25" t="str">
        <x:v>field_or_segmentation_check</x:v>
      </x:c>
      <x:c r="F66" s="25" t="n">
        <x:v>1</x:v>
      </x:c>
      <x:c r="G66" s="25" t="str">
        <x:v>Searchinmacroeconomicmodelsofthelabormarket</x:v>
      </x:c>
      <x:c r="H66" s="25" t="str"/>
    </x:row>
    <x:row r="67" ht="44" customHeight="1">
      <x:c r="A67" s="24" t="str">
        <x:v>C-055</x:v>
      </x:c>
      <x:c r="B67" s="24" t="str">
        <x:v>P11</x:v>
      </x:c>
      <x:c r="C67" s="24" t="str">
        <x:v>sí</x:v>
      </x:c>
      <x:c r="D67" s="24" t="str">
        <x:v>sí</x:v>
      </x:c>
      <x:c r="E67" s="25" t="str">
        <x:v>field_or_segmentation_check</x:v>
      </x:c>
      <x:c r="F67" s="25" t="n">
        <x:v>1</x:v>
      </x:c>
      <x:c r="G67" s="25" t="str">
        <x:v>OverconfidenceandSpeculativeBubbles</x:v>
      </x:c>
      <x:c r="H67" s="25" t="str"/>
    </x:row>
    <x:row r="68" ht="44" customHeight="1">
      <x:c r="A68" s="24" t="str">
        <x:v>C-056</x:v>
      </x:c>
      <x:c r="B68" s="24" t="str">
        <x:v>P11</x:v>
      </x:c>
      <x:c r="C68" s="24" t="str">
        <x:v>no</x:v>
      </x:c>
      <x:c r="D68" s="24" t="str">
        <x:v>sí</x:v>
      </x:c>
      <x:c r="E68" s="25" t="str">
        <x:v>field_or_segmentation_check</x:v>
      </x:c>
      <x:c r="F68" s="25" t="n">
        <x:v>1</x:v>
      </x:c>
      <x:c r="G68" s="25" t="str">
        <x:v>Labor Markets and Business Cycles CREI Lectures in Macroeconomics</x:v>
      </x:c>
      <x:c r="H68" s="25" t="str">
        <x:v>local_citation_grammar_v3</x:v>
      </x:c>
    </x:row>
    <x:row r="69" ht="44" customHeight="1">
      <x:c r="A69" s="24" t="str">
        <x:v>C-057</x:v>
      </x:c>
      <x:c r="B69" s="24" t="str">
        <x:v>P12</x:v>
      </x:c>
      <x:c r="C69" s="24" t="str">
        <x:v>sí</x:v>
      </x:c>
      <x:c r="D69" s="24" t="str">
        <x:v>sí</x:v>
      </x:c>
      <x:c r="E69" s="25" t="str">
        <x:v>field_or_segmentation_check</x:v>
      </x:c>
      <x:c r="F69" s="25" t="n">
        <x:v>1</x:v>
      </x:c>
      <x:c r="G69" s="25" t="str">
        <x:v>The Over-the-Counter Theory of the Fed Funds Market: A Primer</x:v>
      </x:c>
      <x:c r="H69" s="25" t="str"/>
    </x:row>
    <x:row r="70" ht="44" customHeight="1">
      <x:c r="A70" s="24" t="str">
        <x:v>C-058</x:v>
      </x:c>
      <x:c r="B70" s="24" t="str">
        <x:v>P12</x:v>
      </x:c>
      <x:c r="C70" s="24" t="str">
        <x:v>sí</x:v>
      </x:c>
      <x:c r="D70" s="24" t="str">
        <x:v>sí</x:v>
      </x:c>
      <x:c r="E70" s="25" t="str">
        <x:v>field_or_segmentation_check</x:v>
      </x:c>
      <x:c r="F70" s="25" t="n">
        <x:v>1</x:v>
      </x:c>
      <x:c r="G70" s="25" t="str">
        <x:v>Bankruns,fragility,andregulation</x:v>
      </x:c>
      <x:c r="H70" s="25" t="str"/>
    </x:row>
    <x:row r="71" ht="44" customHeight="1">
      <x:c r="A71" s="24" t="str">
        <x:v>C-059</x:v>
      </x:c>
      <x:c r="B71" s="24" t="str">
        <x:v>P12</x:v>
      </x:c>
      <x:c r="C71" s="24" t="str">
        <x:v>sí</x:v>
      </x:c>
      <x:c r="D71" s="24" t="str">
        <x:v>sí</x:v>
      </x:c>
      <x:c r="E71" s="25" t="str">
        <x:v>field_or_segmentation_check</x:v>
      </x:c>
      <x:c r="F71" s="25" t="n">
        <x:v>1</x:v>
      </x:c>
      <x:c r="G71" s="25" t="str">
        <x:v>CapitalMarketEquilibriumwithTransactionCosts</x:v>
      </x:c>
      <x:c r="H71" s="25" t="str"/>
    </x:row>
    <x:row r="72" ht="44" customHeight="1">
      <x:c r="A72" s="24" t="str">
        <x:v>C-060</x:v>
      </x:c>
      <x:c r="B72" s="24" t="str">
        <x:v>P12</x:v>
      </x:c>
      <x:c r="C72" s="24" t="str">
        <x:v>sí</x:v>
      </x:c>
      <x:c r="D72" s="24" t="str">
        <x:v>sí</x:v>
      </x:c>
      <x:c r="E72" s="25" t="str">
        <x:v>field_or_segmentation_check</x:v>
      </x:c>
      <x:c r="F72" s="25" t="n">
        <x:v>1</x:v>
      </x:c>
      <x:c r="G72" s="25" t="str">
        <x:v>ATheoryofLiquidityandRegulation ofFinancialIntermediation</x:v>
      </x:c>
      <x:c r="H72" s="25" t="str"/>
    </x:row>
    <x:row r="73" ht="44" customHeight="1">
      <x:c r="A73" s="24" t="str">
        <x:v>C-061</x:v>
      </x:c>
      <x:c r="B73" s="24" t="str">
        <x:v>P12</x:v>
      </x:c>
      <x:c r="C73" s="24" t="str">
        <x:v>sí</x:v>
      </x:c>
      <x:c r="D73" s="24" t="str">
        <x:v>sí</x:v>
      </x:c>
      <x:c r="E73" s="25" t="str">
        <x:v>field_or_segmentation_check</x:v>
      </x:c>
      <x:c r="F73" s="25" t="n">
        <x:v>1</x:v>
      </x:c>
      <x:c r="G73" s="25" t="str">
        <x:v>Demand Deposits, Trading Restrictions, and Risk Sharing</x:v>
      </x:c>
      <x:c r="H73" s="25" t="str"/>
    </x:row>
    <x:row r="74" ht="44" customHeight="1">
      <x:c r="A74" s="24" t="str">
        <x:v>C-062</x:v>
      </x:c>
      <x:c r="B74" s="24" t="str">
        <x:v>P13</x:v>
      </x:c>
      <x:c r="C74" s="24" t="str">
        <x:v>sí</x:v>
      </x:c>
      <x:c r="D74" s="24" t="str">
        <x:v>sí</x:v>
      </x:c>
      <x:c r="E74" s="25" t="str">
        <x:v>field_or_segmentation_check</x:v>
      </x:c>
      <x:c r="F74" s="25" t="n">
        <x:v>1</x:v>
      </x:c>
      <x:c r="G74" s="25" t="str">
        <x:v>Are Inflationary Shocks Regressive? A Feasible Set Approach</x:v>
      </x:c>
      <x:c r="H74" s="25" t="str"/>
    </x:row>
    <x:row r="75" ht="44" customHeight="1">
      <x:c r="A75" s="24" t="str">
        <x:v>C-063</x:v>
      </x:c>
      <x:c r="B75" s="24" t="str">
        <x:v>V01</x:v>
      </x:c>
      <x:c r="C75" s="24" t="str">
        <x:v>sí</x:v>
      </x:c>
      <x:c r="D75" s="24" t="str">
        <x:v>sí</x:v>
      </x:c>
      <x:c r="E75" s="25" t="str">
        <x:v>field_or_segmentation_check</x:v>
      </x:c>
      <x:c r="F75" s="25" t="n">
        <x:v>1</x:v>
      </x:c>
      <x:c r="G75" s="25" t="str">
        <x:v>Debt-Maturity Management with Liquidity Costs</x:v>
      </x:c>
      <x:c r="H75" s="25" t="str"/>
    </x:row>
    <x:row r="76" ht="44" customHeight="1">
      <x:c r="A76" s="24" t="str">
        <x:v>C-064</x:v>
      </x:c>
      <x:c r="B76" s="24" t="str">
        <x:v>V01</x:v>
      </x:c>
      <x:c r="C76" s="24" t="str">
        <x:v>sí</x:v>
      </x:c>
      <x:c r="D76" s="24" t="str">
        <x:v>sí</x:v>
      </x:c>
      <x:c r="E76" s="25" t="str">
        <x:v>field_or_segmentation_check</x:v>
      </x:c>
      <x:c r="F76" s="25" t="n">
        <x:v>1</x:v>
      </x:c>
      <x:c r="G76" s="25" t="str">
        <x:v>Competitive Bank Liability Design</x:v>
      </x:c>
      <x:c r="H76" s="25" t="str"/>
    </x:row>
    <x:row r="77" ht="44" customHeight="1">
      <x:c r="A77" s="24" t="str">
        <x:v>C-065</x:v>
      </x:c>
      <x:c r="B77" s="24" t="str">
        <x:v>V01</x:v>
      </x:c>
      <x:c r="C77" s="24" t="str">
        <x:v>no</x:v>
      </x:c>
      <x:c r="D77" s="24" t="str">
        <x:v>sí</x:v>
      </x:c>
      <x:c r="E77" s="25" t="str">
        <x:v>field_or_segmentation_check</x:v>
      </x:c>
      <x:c r="F77" s="25" t="n">
        <x:v>1</x:v>
      </x:c>
      <x:c r="G77" s="25" t="str">
        <x:v>Financial intermediation and credit policy in business cycle analysis</x:v>
      </x:c>
      <x:c r="H77" s="25" t="str">
        <x:v>C-065</x:v>
      </x:c>
    </x:row>
    <x:row r="78" ht="44" customHeight="1">
      <x:c r="A78" s="24" t="str">
        <x:v>C-066</x:v>
      </x:c>
      <x:c r="B78" s="24" t="str">
        <x:v>W02</x:v>
      </x:c>
      <x:c r="C78" s="24" t="str">
        <x:v>sí</x:v>
      </x:c>
      <x:c r="D78" s="24" t="str">
        <x:v>sí</x:v>
      </x:c>
      <x:c r="E78" s="25" t="str">
        <x:v>field_or_segmentation_check</x:v>
      </x:c>
      <x:c r="F78" s="25" t="n">
        <x:v>1</x:v>
      </x:c>
      <x:c r="G78" s="25" t="str">
        <x:v>A large central bankbalancesheet? FloorvscorridorsystemsinaNewKeynesianenvironment</x:v>
      </x:c>
      <x:c r="H78" s="25" t="str"/>
    </x:row>
    <x:row r="79" ht="44" customHeight="1">
      <x:c r="A79" s="24" t="str">
        <x:v>C-067</x:v>
      </x:c>
      <x:c r="B79" s="24" t="str">
        <x:v>W02</x:v>
      </x:c>
      <x:c r="C79" s="24" t="str">
        <x:v>sí</x:v>
      </x:c>
      <x:c r="D79" s="24" t="str">
        <x:v>sí</x:v>
      </x:c>
      <x:c r="E79" s="25" t="str">
        <x:v>field_or_segmentation_check</x:v>
      </x:c>
      <x:c r="F79" s="25" t="n">
        <x:v>1</x:v>
      </x:c>
      <x:c r="G79" s="25" t="str">
        <x:v>Monetary policy and the redistribution channel</x:v>
      </x:c>
      <x:c r="H79" s="25" t="str"/>
    </x:row>
    <x:row r="80" ht="44" customHeight="1">
      <x:c r="A80" s="24" t="str">
        <x:v>C-068</x:v>
      </x:c>
      <x:c r="B80" s="24" t="str">
        <x:v>W02</x:v>
      </x:c>
      <x:c r="C80" s="24" t="str">
        <x:v>sí</x:v>
      </x:c>
      <x:c r="D80" s="24" t="str">
        <x:v>sí</x:v>
      </x:c>
      <x:c r="E80" s="25" t="str">
        <x:v>field_or_segmentation_check</x:v>
      </x:c>
      <x:c r="F80" s="25" t="n">
        <x:v>1</x:v>
      </x:c>
      <x:c r="G80" s="25" t="str">
        <x:v>Money,credit and banking</x:v>
      </x:c>
      <x:c r="H80" s="25" t="str"/>
    </x:row>
    <x:row r="81" ht="44" customHeight="1">
      <x:c r="A81" s="24" t="str">
        <x:v>C-069</x:v>
      </x:c>
      <x:c r="B81" s="24" t="str">
        <x:v>W02</x:v>
      </x:c>
      <x:c r="C81" s="24" t="str">
        <x:v>no</x:v>
      </x:c>
      <x:c r="D81" s="24" t="str">
        <x:v>sí</x:v>
      </x:c>
      <x:c r="E81" s="25" t="str">
        <x:v>field_or_segmentation_check</x:v>
      </x:c>
      <x:c r="F81" s="25" t="n">
        <x:v>1</x:v>
      </x:c>
      <x:c r="G81" s="25" t="str">
        <x:v>ISBN-10: 0198716907</x:v>
      </x:c>
      <x:c r="H81" s="25" t="str">
        <x:v>local_citation_grammar_v3</x:v>
      </x:c>
    </x:row>
    <x:row r="82" ht="44" customHeight="1">
      <x:c r="A82" s="24" t="str">
        <x:v>C-070</x:v>
      </x:c>
      <x:c r="B82" s="24" t="str">
        <x:v>W02</x:v>
      </x:c>
      <x:c r="C82" s="24" t="str">
        <x:v>sí</x:v>
      </x:c>
      <x:c r="D82" s="24" t="str">
        <x:v>sí</x:v>
      </x:c>
      <x:c r="E82" s="25" t="str">
        <x:v>field_or_segmentation_check</x:v>
      </x:c>
      <x:c r="F82" s="25" t="n">
        <x:v>1</x:v>
      </x:c>
      <x:c r="G82" s="25" t="str">
        <x:v>MacroeconomicImplicationsofCOVID-19: Can Negative Supply Shocks Cause Demand Shortages?</x:v>
      </x:c>
      <x:c r="H82" s="25" t="str"/>
    </x:row>
    <x:row r="83" ht="44" customHeight="1">
      <x:c r="A83" s="24" t="str">
        <x:v>C-071</x:v>
      </x:c>
      <x:c r="B83" s="24" t="str">
        <x:v>W02</x:v>
      </x:c>
      <x:c r="C83" s="24" t="str">
        <x:v>sí</x:v>
      </x:c>
      <x:c r="D83" s="24" t="str">
        <x:v>sí</x:v>
      </x:c>
      <x:c r="E83" s="25" t="str">
        <x:v>field_or_segmentation_check</x:v>
      </x:c>
      <x:c r="F83" s="25" t="n">
        <x:v>1</x:v>
      </x:c>
      <x:c r="G83" s="25" t="str">
        <x:v>An heterogeneous-agentNew-Monetaristmodelwithanapplicationtounemployment</x:v>
      </x:c>
      <x:c r="H83" s="25" t="str"/>
    </x:row>
    <x:row r="84" ht="44" customHeight="1">
      <x:c r="A84" s="24" t="str">
        <x:v>C-072</x:v>
      </x:c>
      <x:c r="B84" s="24" t="str">
        <x:v>W02</x:v>
      </x:c>
      <x:c r="C84" s="24" t="str">
        <x:v>sí</x:v>
      </x:c>
      <x:c r="D84" s="24" t="str">
        <x:v>sí</x:v>
      </x:c>
      <x:c r="E84" s="25" t="str">
        <x:v>field_or_segmentation_check</x:v>
      </x:c>
      <x:c r="F84" s="25" t="n">
        <x:v>1</x:v>
      </x:c>
      <x:c r="G84" s="25" t="str">
        <x:v>Worker Churn at Establishments over the Business Cycle</x:v>
      </x:c>
      <x:c r="H84" s="25" t="str"/>
    </x:row>
    <x:row r="85" ht="44" customHeight="1">
      <x:c r="A85" s="24" t="str">
        <x:v>C-073</x:v>
      </x:c>
      <x:c r="B85" s="24" t="str">
        <x:v>W02</x:v>
      </x:c>
      <x:c r="C85" s="24" t="str">
        <x:v>sí</x:v>
      </x:c>
      <x:c r="D85" s="24" t="str">
        <x:v>sí</x:v>
      </x:c>
      <x:c r="E85" s="25" t="str">
        <x:v>field_or_segmentation_check</x:v>
      </x:c>
      <x:c r="F85" s="25" t="n">
        <x:v>1</x:v>
      </x:c>
      <x:c r="G85" s="25" t="str">
        <x:v>Refinancing and the transmission of monetary policy to consumption</x:v>
      </x:c>
      <x:c r="H85" s="25" t="str"/>
    </x:row>
    <x:row r="86" ht="44" customHeight="1">
      <x:c r="A86" s="24" t="str">
        <x:v>C-074</x:v>
      </x:c>
      <x:c r="B86" s="24" t="str">
        <x:v>W03</x:v>
      </x:c>
      <x:c r="C86" s="24" t="str">
        <x:v>sí</x:v>
      </x:c>
      <x:c r="D86" s="24" t="str">
        <x:v>sí</x:v>
      </x:c>
      <x:c r="E86" s="25" t="str">
        <x:v>field_or_segmentation_check</x:v>
      </x:c>
      <x:c r="F86" s="25" t="n">
        <x:v>1</x:v>
      </x:c>
      <x:c r="G86" s="25" t="str">
        <x:v>Whatfinancingdatarevealaboutdealerleverage</x:v>
      </x:c>
      <x:c r="H86" s="25" t="str"/>
    </x:row>
    <x:row r="87" ht="44" customHeight="1">
      <x:c r="A87" s="24" t="str">
        <x:v>C-075</x:v>
      </x:c>
      <x:c r="B87" s="24" t="str">
        <x:v>W03</x:v>
      </x:c>
      <x:c r="C87" s="24" t="str">
        <x:v>sí</x:v>
      </x:c>
      <x:c r="D87" s="24" t="str">
        <x:v>sí</x:v>
      </x:c>
      <x:c r="E87" s="25" t="str">
        <x:v>field_or_segmentation_check</x:v>
      </x:c>
      <x:c r="F87" s="25" t="n">
        <x:v>1</x:v>
      </x:c>
      <x:c r="G87" s="25" t="str">
        <x:v>A long-run risks explanation of predictability puzzlesinbondandcurrencymarkets</x:v>
      </x:c>
      <x:c r="H87" s="25" t="str"/>
    </x:row>
    <x:row r="88" ht="44" customHeight="1">
      <x:c r="A88" s="24" t="str">
        <x:v>C-076</x:v>
      </x:c>
      <x:c r="B88" s="24" t="str">
        <x:v>W03</x:v>
      </x:c>
      <x:c r="C88" s="24" t="str">
        <x:v>sí</x:v>
      </x:c>
      <x:c r="D88" s="24" t="str">
        <x:v>sí</x:v>
      </x:c>
      <x:c r="E88" s="25" t="str">
        <x:v>field_or_segmentation_check</x:v>
      </x:c>
      <x:c r="F88" s="25" t="n">
        <x:v>1</x:v>
      </x:c>
      <x:c r="G88" s="25" t="str">
        <x:v>Carrytradesandcurrencycrashes</x:v>
      </x:c>
      <x:c r="H88" s="25" t="str"/>
    </x:row>
    <x:row r="89" ht="44" customHeight="1">
      <x:c r="A89" s="24" t="str">
        <x:v>C-077</x:v>
      </x:c>
      <x:c r="B89" s="24" t="str">
        <x:v>W03</x:v>
      </x:c>
      <x:c r="C89" s="24" t="str">
        <x:v>sí</x:v>
      </x:c>
      <x:c r="D89" s="24" t="str">
        <x:v>sí</x:v>
      </x:c>
      <x:c r="E89" s="25" t="str">
        <x:v>field_or_segmentation_check</x:v>
      </x:c>
      <x:c r="F89" s="25" t="n">
        <x:v>1</x:v>
      </x:c>
      <x:c r="G89" s="25" t="str">
        <x:v>The flight to safety and international risk sharing</x:v>
      </x:c>
      <x:c r="H89" s="25" t="str"/>
    </x:row>
    <x:row r="90" ht="44" customHeight="1">
      <x:c r="A90" s="24" t="str">
        <x:v>C-078</x:v>
      </x:c>
      <x:c r="B90" s="24" t="str">
        <x:v>W03</x:v>
      </x:c>
      <x:c r="C90" s="24" t="str">
        <x:v>sí</x:v>
      </x:c>
      <x:c r="D90" s="24" t="str">
        <x:v>sí</x:v>
      </x:c>
      <x:c r="E90" s="25" t="str">
        <x:v>field_or_segmentation_check</x:v>
      </x:c>
      <x:c r="F90" s="25" t="n">
        <x:v>1</x:v>
      </x:c>
      <x:c r="G90" s="25" t="str">
        <x:v>Interestratesandcurrencypricesinatwo-countryworld</x:v>
      </x:c>
      <x:c r="H90" s="25" t="str"/>
    </x:row>
    <x:row r="91" ht="44" customHeight="1">
      <x:c r="A91" s="24" t="str">
        <x:v>C-079</x:v>
      </x:c>
      <x:c r="B91" s="24" t="str">
        <x:v>W04</x:v>
      </x:c>
      <x:c r="C91" s="24" t="str">
        <x:v>sí</x:v>
      </x:c>
      <x:c r="D91" s="24" t="str">
        <x:v>sí</x:v>
      </x:c>
      <x:c r="E91" s="25" t="str">
        <x:v>field_or_segmentation_check</x:v>
      </x:c>
      <x:c r="F91" s="25" t="n">
        <x:v>1</x:v>
      </x:c>
      <x:c r="G91" s="25" t="str">
        <x:v>Optimal taxation without state-contingent debt</x:v>
      </x:c>
      <x:c r="H91" s="25" t="str"/>
    </x:row>
    <x:row r="92" ht="44" customHeight="1">
      <x:c r="A92" s="24" t="str">
        <x:v>C-080</x:v>
      </x:c>
      <x:c r="B92" s="24" t="str">
        <x:v>W04</x:v>
      </x:c>
      <x:c r="C92" s="24" t="str">
        <x:v>sí</x:v>
      </x:c>
      <x:c r="D92" s="24" t="str">
        <x:v>sí</x:v>
      </x:c>
      <x:c r="E92" s="25" t="str">
        <x:v>field_or_segmentation_check</x:v>
      </x:c>
      <x:c r="F92" s="25" t="n">
        <x:v>1</x:v>
      </x:c>
      <x:c r="G92" s="25" t="str">
        <x:v>Escaping the great recession</x:v>
      </x:c>
      <x:c r="H92" s="25" t="str"/>
    </x:row>
    <x:row r="93" ht="44" customHeight="1">
      <x:c r="A93" s="24" t="str">
        <x:v>C-081</x:v>
      </x:c>
      <x:c r="B93" s="24" t="str">
        <x:v>W04</x:v>
      </x:c>
      <x:c r="C93" s="24" t="str">
        <x:v>sí</x:v>
      </x:c>
      <x:c r="D93" s="24" t="str">
        <x:v>sí</x:v>
      </x:c>
      <x:c r="E93" s="25" t="str">
        <x:v>field_or_segmentation_check</x:v>
      </x:c>
      <x:c r="F93" s="25" t="n">
        <x:v>1</x:v>
      </x:c>
      <x:c r="G93" s="25" t="str">
        <x:v>Fiscal Consequences of the US War on COVID</x:v>
      </x:c>
      <x:c r="H93" s="25" t="str"/>
    </x:row>
    <x:row r="94" ht="44" customHeight="1">
      <x:c r="A94" s="24" t="str">
        <x:v>C-082</x:v>
      </x:c>
      <x:c r="B94" s="24" t="str">
        <x:v>W04</x:v>
      </x:c>
      <x:c r="C94" s="24" t="str">
        <x:v>sí</x:v>
      </x:c>
      <x:c r="D94" s="24" t="str">
        <x:v>sí</x:v>
      </x:c>
      <x:c r="E94" s="25" t="str">
        <x:v>field_or_segmentation_check</x:v>
      </x:c>
      <x:c r="F94" s="25" t="n">
        <x:v>1</x:v>
      </x:c>
      <x:c r="G94" s="25" t="str">
        <x:v>FTPLandthematuritystructureofgovernmentdebtin the New-Keynesian Model</x:v>
      </x:c>
      <x:c r="H94" s="25" t="str"/>
    </x:row>
    <x:row r="95" ht="44" customHeight="1">
      <x:c r="A95" s="24" t="str">
        <x:v>C-083</x:v>
      </x:c>
      <x:c r="B95" s="24" t="str">
        <x:v>W04</x:v>
      </x:c>
      <x:c r="C95" s="24" t="str">
        <x:v>sí</x:v>
      </x:c>
      <x:c r="D95" s="24" t="str">
        <x:v>sí</x:v>
      </x:c>
      <x:c r="E95" s="25" t="str">
        <x:v>field_or_segmentation_check</x:v>
      </x:c>
      <x:c r="F95" s="25" t="n">
        <x:v>1</x:v>
      </x:c>
      <x:c r="G95" s="25" t="str">
        <x:v>Inflation is Conflict</x:v>
      </x:c>
      <x:c r="H95" s="25" t="str"/>
    </x:row>
    <x:row r="96" ht="44" customHeight="1">
      <x:c r="A96" s="24" t="str">
        <x:v>C-084</x:v>
      </x:c>
      <x:c r="B96" s="24" t="str">
        <x:v>W04</x:v>
      </x:c>
      <x:c r="C96" s="24" t="str">
        <x:v>sí</x:v>
      </x:c>
      <x:c r="D96" s="24" t="str">
        <x:v>sí</x:v>
      </x:c>
      <x:c r="E96" s="25" t="str">
        <x:v>field_or_segmentation_check</x:v>
      </x:c>
      <x:c r="F96" s="25" t="n">
        <x:v>1</x:v>
      </x:c>
      <x:c r="G96" s="25" t="str">
        <x:v>Wage Price Spirals</x:v>
      </x:c>
      <x:c r="H96" s="25" t="str"/>
    </x:row>
    <x:row r="97" ht="44" customHeight="1">
      <x:c r="A97" s="24" t="str">
        <x:v>C-085</x:v>
      </x:c>
      <x:c r="B97" s="24" t="str">
        <x:v>W04</x:v>
      </x:c>
      <x:c r="C97" s="24" t="str">
        <x:v>sí</x:v>
      </x:c>
      <x:c r="D97" s="24" t="str">
        <x:v>sí</x:v>
      </x:c>
      <x:c r="E97" s="25" t="str">
        <x:v>field_or_segmentation_check</x:v>
      </x:c>
      <x:c r="F97" s="25" t="n">
        <x:v>1</x:v>
      </x:c>
      <x:c r="G97" s="25" t="str">
        <x:v>What drives inflation? Lessons from disaggregated price data</x:v>
      </x:c>
      <x:c r="H97" s="25" t="str"/>
    </x:row>
    <x:row r="98" ht="44" customHeight="1">
      <x:c r="A98" s="24" t="str">
        <x:v>C-086</x:v>
      </x:c>
      <x:c r="B98" s="24" t="str">
        <x:v>W04</x:v>
      </x:c>
      <x:c r="C98" s="24" t="str">
        <x:v>no</x:v>
      </x:c>
      <x:c r="D98" s="24" t="str">
        <x:v>sí</x:v>
      </x:c>
      <x:c r="E98" s="25" t="str">
        <x:v>split_into_three</x:v>
      </x:c>
      <x:c r="F98" s="25" t="n">
        <x:v>3</x:v>
      </x:c>
      <x:c r="G98" s="25" t="str">
        <x:v>Public debt and the price level | Commentary: How should monetary policy be conducted in an era of price stability? | Optimal monetary stabilization policy</x:v>
      </x:c>
      <x:c r="H98" s="25" t="str">
        <x:v>C-086 | C-086 | C-086</x:v>
      </x:c>
    </x:row>
    <x:row r="99" ht="44" customHeight="1">
      <x:c r="A99" s="24" t="str">
        <x:v>C-087</x:v>
      </x:c>
      <x:c r="B99" s="24" t="str">
        <x:v>W05</x:v>
      </x:c>
      <x:c r="C99" s="24" t="str">
        <x:v>sí</x:v>
      </x:c>
      <x:c r="D99" s="24" t="str">
        <x:v>sí</x:v>
      </x:c>
      <x:c r="E99" s="25" t="str">
        <x:v>field_or_segmentation_check</x:v>
      </x:c>
      <x:c r="F99" s="25" t="n">
        <x:v>1</x:v>
      </x:c>
      <x:c r="G99" s="25" t="str">
        <x:v>Default Risk and Income Fluctuations in Emerging Economies</x:v>
      </x:c>
      <x:c r="H99" s="25" t="str"/>
    </x:row>
    <x:row r="100" ht="44" customHeight="1">
      <x:c r="A100" s="24" t="str">
        <x:v>C-088</x:v>
      </x:c>
      <x:c r="B100" s="24" t="str">
        <x:v>W05</x:v>
      </x:c>
      <x:c r="C100" s="24" t="str">
        <x:v>sí</x:v>
      </x:c>
      <x:c r="D100" s="24" t="str">
        <x:v>sí</x:v>
      </x:c>
      <x:c r="E100" s="25" t="str">
        <x:v>field_or_segmentation_check</x:v>
      </x:c>
      <x:c r="F100" s="25" t="n">
        <x:v>1</x:v>
      </x:c>
      <x:c r="G100" s="25" t="str">
        <x:v>Servicingthepublicdebt: Theroleofexpectations</x:v>
      </x:c>
      <x:c r="H100" s="25" t="str"/>
    </x:row>
    <x:row r="101" ht="44" customHeight="1">
      <x:c r="A101" s="24" t="str">
        <x:v>C-089</x:v>
      </x:c>
      <x:c r="B101" s="24" t="str">
        <x:v>W05</x:v>
      </x:c>
      <x:c r="C101" s="24" t="str">
        <x:v>sí</x:v>
      </x:c>
      <x:c r="D101" s="24" t="str">
        <x:v>sí</x:v>
      </x:c>
      <x:c r="E101" s="25" t="str">
        <x:v>field_or_segmentation_check</x:v>
      </x:c>
      <x:c r="F101" s="25" t="n">
        <x:v>1</x:v>
      </x:c>
      <x:c r="G101" s="25" t="str">
        <x:v>Maturity, indebtedness, and default risk</x:v>
      </x:c>
      <x:c r="H101" s="25" t="str"/>
    </x:row>
    <x:row r="102" ht="44" customHeight="1">
      <x:c r="A102" s="24" t="str">
        <x:v>C-090</x:v>
      </x:c>
      <x:c r="B102" s="24" t="str">
        <x:v>W05</x:v>
      </x:c>
      <x:c r="C102" s="24" t="str">
        <x:v>sí</x:v>
      </x:c>
      <x:c r="D102" s="24" t="str">
        <x:v>sí</x:v>
      </x:c>
      <x:c r="E102" s="25" t="str">
        <x:v>field_or_segmentation_check</x:v>
      </x:c>
      <x:c r="F102" s="25" t="n">
        <x:v>1</x:v>
      </x:c>
      <x:c r="G102" s="25" t="str">
        <x:v>Income and wealth heterogeneity in the macroeconomy</x:v>
      </x:c>
      <x:c r="H102" s="25" t="str"/>
    </x:row>
    <x:row r="103" ht="44" customHeight="1">
      <x:c r="A103" s="24" t="str">
        <x:v>C-091</x:v>
      </x:c>
      <x:c r="B103" s="24" t="str">
        <x:v>W05</x:v>
      </x:c>
      <x:c r="C103" s="24" t="str">
        <x:v>sí</x:v>
      </x:c>
      <x:c r="D103" s="24" t="str">
        <x:v>sí</x:v>
      </x:c>
      <x:c r="E103" s="25" t="str">
        <x:v>field_or_segmentation_check</x:v>
      </x:c>
      <x:c r="F103" s="25" t="n">
        <x:v>1</x:v>
      </x:c>
      <x:c r="G103" s="25" t="str">
        <x:v>AMachineLearningProjectionMethodfor Macro-FinanceModels</x:v>
      </x:c>
      <x:c r="H103" s="25" t="str"/>
    </x:row>
    <x:row r="104" ht="44" customHeight="1">
      <x:c r="A104" s="24" t="str">
        <x:v>C-092</x:v>
      </x:c>
      <x:c r="B104" s="24" t="str">
        <x:v>W06</x:v>
      </x:c>
      <x:c r="C104" s="24" t="str">
        <x:v>sí</x:v>
      </x:c>
      <x:c r="D104" s="24" t="str">
        <x:v>sí</x:v>
      </x:c>
      <x:c r="E104" s="25" t="str">
        <x:v>field_or_segmentation_check</x:v>
      </x:c>
      <x:c r="F104" s="25" t="n">
        <x:v>1</x:v>
      </x:c>
      <x:c r="G104" s="25" t="str">
        <x:v>Longer-run economic consequences of pandemics</x:v>
      </x:c>
      <x:c r="H104" s="25" t="str"/>
    </x:row>
    <x:row r="105" ht="44" customHeight="1">
      <x:c r="A105" s="24" t="str">
        <x:v>C-093</x:v>
      </x:c>
      <x:c r="B105" s="24" t="str">
        <x:v>W07</x:v>
      </x:c>
      <x:c r="C105" s="24" t="str">
        <x:v>sí</x:v>
      </x:c>
      <x:c r="D105" s="24" t="str">
        <x:v>sí</x:v>
      </x:c>
      <x:c r="E105" s="25" t="str">
        <x:v>field_or_segmentation_check</x:v>
      </x:c>
      <x:c r="F105" s="25" t="n">
        <x:v>1</x:v>
      </x:c>
      <x:c r="G105" s="25" t="str">
        <x:v>Philip G. Wright Meets the Econometricians: Instrumental Variables Before Its Time</x:v>
      </x:c>
      <x:c r="H105" s="25" t="str"/>
    </x:row>
    <x:row r="106" ht="44" customHeight="1">
      <x:c r="A106" s="24" t="str">
        <x:v>C-094</x:v>
      </x:c>
      <x:c r="B106" s="24" t="str">
        <x:v>W08</x:v>
      </x:c>
      <x:c r="C106" s="24" t="str">
        <x:v>sí</x:v>
      </x:c>
      <x:c r="D106" s="24" t="str">
        <x:v>sí</x:v>
      </x:c>
      <x:c r="E106" s="25" t="str">
        <x:v>field_or_segmentation_check</x:v>
      </x:c>
      <x:c r="F106" s="25" t="n">
        <x:v>1</x:v>
      </x:c>
      <x:c r="G106" s="25" t="str">
        <x:v>Trade Credit Defaults and Liquidity Provision by Firms</x:v>
      </x:c>
      <x:c r="H106" s="25" t="str"/>
    </x:row>
    <x:row r="107" ht="44" customHeight="1">
      <x:c r="A107" s="24" t="str">
        <x:v>C-095</x:v>
      </x:c>
      <x:c r="B107" s="24" t="str">
        <x:v>W08</x:v>
      </x:c>
      <x:c r="C107" s="24" t="str">
        <x:v>no</x:v>
      </x:c>
      <x:c r="D107" s="24" t="str">
        <x:v>sí</x:v>
      </x:c>
      <x:c r="E107" s="25" t="str">
        <x:v>field_or_segmentation_check</x:v>
      </x:c>
      <x:c r="F107" s="25" t="n">
        <x:v>1</x:v>
      </x:c>
      <x:c r="G107" s="25" t="str">
        <x:v>Local projections</x:v>
      </x:c>
      <x:c r="H107" s="25" t="str">
        <x:v>C-095</x:v>
      </x:c>
    </x:row>
    <x:row r="108" ht="44" customHeight="1">
      <x:c r="A108" s="24" t="str">
        <x:v>C-096</x:v>
      </x:c>
      <x:c r="B108" s="24" t="str">
        <x:v>W09</x:v>
      </x:c>
      <x:c r="C108" s="24" t="str">
        <x:v>sí</x:v>
      </x:c>
      <x:c r="D108" s="24" t="str">
        <x:v>sí</x:v>
      </x:c>
      <x:c r="E108" s="25" t="str">
        <x:v>field_or_segmentation_check</x:v>
      </x:c>
      <x:c r="F108" s="25" t="n">
        <x:v>1</x:v>
      </x:c>
      <x:c r="G108" s="25" t="str">
        <x:v>The mortgage creditchannel ofmacroeconomic transmission</x:v>
      </x:c>
      <x:c r="H108" s="25" t="str"/>
    </x:row>
    <x:row r="109" ht="44" customHeight="1">
      <x:c r="A109" s="24" t="str">
        <x:v>C-097</x:v>
      </x:c>
      <x:c r="B109" s="24" t="str">
        <x:v>W09</x:v>
      </x:c>
      <x:c r="C109" s="24" t="str">
        <x:v>sí</x:v>
      </x:c>
      <x:c r="D109" s="24" t="str">
        <x:v>sí</x:v>
      </x:c>
      <x:c r="E109" s="25" t="str">
        <x:v>field_or_segmentation_check</x:v>
      </x:c>
      <x:c r="F109" s="25" t="n">
        <x:v>1</x:v>
      </x:c>
      <x:c r="G109" s="25" t="str">
        <x:v>Bank Size, Bank Capital, and the Bank Lending Channel</x:v>
      </x:c>
      <x:c r="H109" s="25" t="str"/>
    </x:row>
    <x:row r="110" ht="44" customHeight="1">
      <x:c r="A110" s="24" t="str">
        <x:v>C-098</x:v>
      </x:c>
      <x:c r="B110" s="24" t="str">
        <x:v>W09</x:v>
      </x:c>
      <x:c r="C110" s="24" t="str">
        <x:v>sí</x:v>
      </x:c>
      <x:c r="D110" s="24" t="str">
        <x:v>sí</x:v>
      </x:c>
      <x:c r="E110" s="25" t="str">
        <x:v>field_or_segmentation_check</x:v>
      </x:c>
      <x:c r="F110" s="25" t="n">
        <x:v>1</x:v>
      </x:c>
      <x:c r="G110" s="25" t="str">
        <x:v>Optimalcapital structure,endogenousbankruptcy, and the termstructure ofcreditspreads</x:v>
      </x:c>
      <x:c r="H110" s="25" t="str"/>
    </x:row>
    <x:row r="111" ht="44" customHeight="1">
      <x:c r="A111" s="24" t="str">
        <x:v>C-099</x:v>
      </x:c>
      <x:c r="B111" s="24" t="str">
        <x:v>W10</x:v>
      </x:c>
      <x:c r="C111" s="24" t="str">
        <x:v>sí</x:v>
      </x:c>
      <x:c r="D111" s="24" t="str">
        <x:v>sí</x:v>
      </x:c>
      <x:c r="E111" s="25" t="str">
        <x:v>field_or_segmentation_check</x:v>
      </x:c>
      <x:c r="F111" s="25" t="n">
        <x:v>1</x:v>
      </x:c>
      <x:c r="G111" s="25" t="str">
        <x:v>Labor market search, the Taylor principle, and indeterminacy</x:v>
      </x:c>
      <x:c r="H111" s="25" t="str"/>
    </x:row>
    <x:row r="112" ht="44" customHeight="1">
      <x:c r="A112" s="24" t="str">
        <x:v>C-100</x:v>
      </x:c>
      <x:c r="B112" s="24" t="str">
        <x:v>W11</x:v>
      </x:c>
      <x:c r="C112" s="24" t="str">
        <x:v>sí</x:v>
      </x:c>
      <x:c r="D112" s="24" t="str">
        <x:v>sí</x:v>
      </x:c>
      <x:c r="E112" s="25" t="str">
        <x:v>field_or_segmentation_check</x:v>
      </x:c>
      <x:c r="F112" s="25" t="n">
        <x:v>1</x:v>
      </x:c>
      <x:c r="G112" s="25" t="str">
        <x:v>Bondconvenienceyieldsandexchangeratedynamics</x:v>
      </x:c>
      <x:c r="H112" s="25" t="str"/>
    </x:row>
    <x:row r="113">
      <x:c r="A113" s="23"/>
      <x:c r="B113" s="23"/>
      <x:c r="C113" s="23"/>
      <x:c r="D113" s="23"/>
      <x:c r="E113" s="23"/>
      <x:c r="F113" s="23"/>
      <x:c r="G113" s="23"/>
      <x:c r="H113" s="23"/>
    </x:row>
    <x:row r="114">
      <x:c r="A114" s="23"/>
      <x:c r="B114" s="23"/>
      <x:c r="C114" s="23"/>
      <x:c r="D114" s="23"/>
      <x:c r="E114" s="23"/>
      <x:c r="F114" s="23"/>
      <x:c r="G114" s="23"/>
      <x:c r="H114" s="23"/>
    </x:row>
    <x:row r="115">
      <x:c r="A115" s="23"/>
      <x:c r="B115" s="23"/>
      <x:c r="C115" s="23"/>
      <x:c r="D115" s="23"/>
      <x:c r="E115" s="23"/>
      <x:c r="F115" s="23"/>
      <x:c r="G115" s="23"/>
      <x:c r="H115" s="23"/>
    </x:row>
  </x:sheetData>
  <x:conditionalFormatting sqref="D13:D112">
    <x:cfRule type="containsText" dxfId="11" priority="1" operator="containsText" text="no"/>
    <x:cfRule type="containsText" dxfId="12" priority="2" operator="containsText" text="no"/>
    <x:cfRule type="containsText" dxfId="13" priority="3" operator="containsText" text="no"/>
    <x:cfRule type="containsText" dxfId="16" priority="4" operator="containsText" text="no"/>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pane ySplit="12" topLeftCell="A13" activePane="bottomLeft" state="frozen"/>
    </x:sheetView>
  </x:sheetViews>
  <x:sheetFormatPr defaultRowHeight="15"/>
  <x:cols>
    <x:col min="1" max="1" width="30" hidden="0" customWidth="1"/>
    <x:col min="2" max="2" width="15" hidden="0" customWidth="1"/>
    <x:col min="3" max="3" width="9" hidden="0" customWidth="1"/>
    <x:col min="4" max="4" width="30" hidden="0" customWidth="1"/>
    <x:col min="5" max="5" width="18" hidden="0" customWidth="1"/>
    <x:col min="6" max="6" width="15" hidden="0" customWidth="1"/>
    <x:col min="7" max="7" width="15" hidden="0" customWidth="1"/>
    <x:col min="8" max="8" width="15" hidden="0" customWidth="1"/>
    <x:col min="9" max="9" width="20" hidden="0" customWidth="1"/>
    <x:col min="10" max="10" width="22" hidden="0" customWidth="1"/>
    <x:col min="11" max="11" width="10" hidden="0" customWidth="1"/>
    <x:col min="12" max="12" width="70" hidden="0" customWidth="1"/>
    <x:col min="13" max="13" width="70" hidden="0" customWidth="1"/>
    <x:col min="14" max="14" width="95" hidden="0" customWidth="1"/>
    <x:col min="15" max="15" width="105" hidden="0" customWidth="1"/>
  </x:cols>
  <x:sheetData>
    <x:row r="1">
      <x:c r="A1" s="43" t="str">
        <x:v>Control de reserva posterior al enriquecimiento</x:v>
      </x:c>
      <x:c r="B1" s="23"/>
      <x:c r="C1" s="23"/>
      <x:c r="D1" s="23"/>
      <x:c r="E1" s="23"/>
      <x:c r="F1" s="23"/>
      <x:c r="G1" s="23"/>
      <x:c r="H1" s="23"/>
      <x:c r="I1" s="23"/>
      <x:c r="J1" s="23"/>
      <x:c r="K1" s="23"/>
      <x:c r="L1" s="23"/>
      <x:c r="M1" s="23"/>
      <x:c r="N1" s="23"/>
      <x:c r="O1" s="23"/>
    </x:row>
    <x:row r="2">
      <x:c r="A2" s="23" t="str">
        <x:v>100 filas que no coinciden literalmente con la muestra usada para desarrollar las correcciones.</x:v>
      </x:c>
      <x:c r="B2" s="23"/>
      <x:c r="C2" s="23"/>
      <x:c r="D2" s="23"/>
      <x:c r="E2" s="23"/>
      <x:c r="F2" s="23"/>
      <x:c r="G2" s="23"/>
      <x:c r="H2" s="23"/>
      <x:c r="I2" s="23"/>
      <x:c r="J2" s="23"/>
      <x:c r="K2" s="23"/>
      <x:c r="L2" s="23"/>
      <x:c r="M2" s="23"/>
      <x:c r="N2" s="23"/>
      <x:c r="O2" s="23"/>
    </x:row>
    <x:row r="3">
      <x:c r="A3" s="23" t="str">
        <x:v>La revisión sigue siendo asistida por Codex y no sustituye una auditoría humana externa.</x:v>
      </x:c>
      <x:c r="B3" s="23"/>
      <x:c r="C3" s="23"/>
      <x:c r="D3" s="23"/>
      <x:c r="E3" s="23"/>
      <x:c r="F3" s="23"/>
      <x:c r="G3" s="23"/>
      <x:c r="H3" s="23"/>
      <x:c r="I3" s="23"/>
      <x:c r="J3" s="23"/>
      <x:c r="K3" s="23"/>
      <x:c r="L3" s="23"/>
      <x:c r="M3" s="23"/>
      <x:c r="N3" s="23"/>
      <x:c r="O3" s="23"/>
    </x:row>
    <x:row r="4">
      <x:c r="A4" s="23"/>
      <x:c r="B4" s="23"/>
      <x:c r="C4" s="23"/>
      <x:c r="D4" s="23"/>
      <x:c r="E4" s="23"/>
      <x:c r="F4" s="23"/>
      <x:c r="G4" s="23"/>
      <x:c r="H4" s="23"/>
      <x:c r="I4" s="23"/>
      <x:c r="J4" s="23"/>
      <x:c r="K4" s="23"/>
      <x:c r="L4" s="23"/>
      <x:c r="M4" s="23"/>
      <x:c r="N4" s="23"/>
      <x:c r="O4" s="23"/>
    </x:row>
    <x:row r="5">
      <x:c r="A5" s="51" t="str">
        <x:v>Segmentación correcta</x:v>
      </x:c>
      <x:c r="B5" s="52" t="n">
        <x:v>97</x:v>
      </x:c>
      <x:c r="C5" s="23"/>
      <x:c r="D5" s="51" t="str">
        <x:v>Títulos incorrectos</x:v>
      </x:c>
      <x:c r="E5" s="52" t="n">
        <x:v>5</x:v>
      </x:c>
      <x:c r="F5" s="23"/>
      <x:c r="G5" s="23"/>
      <x:c r="H5" s="23"/>
      <x:c r="I5" s="23"/>
      <x:c r="J5" s="23"/>
      <x:c r="K5" s="23"/>
      <x:c r="L5" s="23"/>
      <x:c r="M5" s="23"/>
      <x:c r="N5" s="23"/>
      <x:c r="O5" s="23"/>
    </x:row>
    <x:row r="6">
      <x:c r="A6" s="53" t="str">
        <x:v>Apellido y año correctos</x:v>
      </x:c>
      <x:c r="B6" s="54" t="n">
        <x:v>95</x:v>
      </x:c>
      <x:c r="C6" s="23"/>
      <x:c r="D6" s="53" t="str">
        <x:v>Apellidos incorrectos</x:v>
      </x:c>
      <x:c r="E6" s="54" t="n">
        <x:v>2</x:v>
      </x:c>
      <x:c r="F6" s="23"/>
      <x:c r="G6" s="23"/>
      <x:c r="H6" s="23"/>
      <x:c r="I6" s="23"/>
      <x:c r="J6" s="23"/>
      <x:c r="K6" s="23"/>
      <x:c r="L6" s="23"/>
      <x:c r="M6" s="23"/>
      <x:c r="N6" s="23"/>
      <x:c r="O6" s="23"/>
    </x:row>
    <x:row r="7">
      <x:c r="A7" s="53" t="str">
        <x:v>También título utilizable</x:v>
      </x:c>
      <x:c r="B7" s="54" t="n">
        <x:v>90</x:v>
      </x:c>
      <x:c r="C7" s="23"/>
      <x:c r="D7" s="53" t="str">
        <x:v>Filas contaminadas</x:v>
      </x:c>
      <x:c r="E7" s="54" t="n">
        <x:v>3</x:v>
      </x:c>
      <x:c r="F7" s="23"/>
      <x:c r="G7" s="23"/>
      <x:c r="H7" s="23"/>
      <x:c r="I7" s="23"/>
      <x:c r="J7" s="23"/>
      <x:c r="K7" s="23"/>
      <x:c r="L7" s="23"/>
      <x:c r="M7" s="23"/>
      <x:c r="N7" s="23"/>
      <x:c r="O7" s="23"/>
    </x:row>
    <x:row r="8">
      <x:c r="A8" s="53" t="str">
        <x:v>Umbral</x:v>
      </x:c>
      <x:c r="B8" s="69" t="n">
        <x:v>0.95</x:v>
      </x:c>
      <x:c r="C8" s="23"/>
      <x:c r="D8" s="53" t="str">
        <x:v>Casos luego remediados</x:v>
      </x:c>
      <x:c r="E8" s="54" t="n">
        <x:v>100</x:v>
      </x:c>
      <x:c r="F8" s="23"/>
      <x:c r="G8" s="23"/>
      <x:c r="H8" s="23"/>
      <x:c r="I8" s="23"/>
      <x:c r="J8" s="23"/>
      <x:c r="K8" s="23"/>
      <x:c r="L8" s="23"/>
      <x:c r="M8" s="23"/>
      <x:c r="N8" s="23"/>
      <x:c r="O8" s="23"/>
    </x:row>
    <x:row r="9">
      <x:c r="A9" s="55" t="str">
        <x:v>Redes habilitadas</x:v>
      </x:c>
      <x:c r="B9" s="56" t="str">
        <x:v>no</x:v>
      </x:c>
      <x:c r="C9" s="23"/>
      <x:c r="D9" s="55" t="str">
        <x:v>Fallos de remediación</x:v>
      </x:c>
      <x:c r="E9" s="56" t="n">
        <x:v>0</x:v>
      </x:c>
      <x:c r="F9" s="23"/>
      <x:c r="G9" s="23"/>
      <x:c r="H9" s="23"/>
      <x:c r="I9" s="23"/>
      <x:c r="J9" s="23"/>
      <x:c r="K9" s="23"/>
      <x:c r="L9" s="23"/>
      <x:c r="M9" s="23"/>
      <x:c r="N9" s="23"/>
      <x:c r="O9" s="23"/>
    </x:row>
    <x:row r="10">
      <x:c r="A10" s="23"/>
      <x:c r="B10" s="23"/>
      <x:c r="C10" s="23"/>
      <x:c r="D10" s="23"/>
      <x:c r="E10" s="23"/>
      <x:c r="F10" s="23"/>
      <x:c r="G10" s="23"/>
      <x:c r="H10" s="23"/>
      <x:c r="I10" s="23"/>
      <x:c r="J10" s="23"/>
      <x:c r="K10" s="23"/>
      <x:c r="L10" s="23"/>
      <x:c r="M10" s="23"/>
      <x:c r="N10" s="23"/>
      <x:c r="O10" s="23"/>
    </x:row>
    <x:row r="11">
      <x:c r="A11" s="23" t="str">
        <x:v>El 90/100 es la estimación de la muestra de reserva antes de usarla para una segunda corrección; el 100/100 posterior es solo una regresión de casos conocidos.</x:v>
      </x:c>
      <x:c r="B11" s="23"/>
      <x:c r="C11" s="23"/>
      <x:c r="D11" s="23"/>
      <x:c r="E11" s="23"/>
      <x:c r="F11" s="23"/>
      <x:c r="G11" s="23"/>
      <x:c r="H11" s="23"/>
      <x:c r="I11" s="23"/>
      <x:c r="J11" s="23"/>
      <x:c r="K11" s="23"/>
      <x:c r="L11" s="23"/>
      <x:c r="M11" s="23"/>
      <x:c r="N11" s="23"/>
      <x:c r="O11" s="23"/>
    </x:row>
    <x:row r="12" ht="32" customHeight="1">
      <x:c r="A12" s="73" t="str">
        <x:v>Caso</x:v>
      </x:c>
      <x:c r="B12" s="73" t="str">
        <x:v>Documento</x:v>
      </x:c>
      <x:c r="C12" s="73" t="str">
        <x:v>Índice</x:v>
      </x:c>
      <x:c r="D12" s="73" t="str">
        <x:v>Página PDF</x:v>
      </x:c>
      <x:c r="E12" s="73" t="str">
        <x:v>Segmentación</x:v>
      </x:c>
      <x:c r="F12" s="73" t="str">
        <x:v>Apellido correcto</x:v>
      </x:c>
      <x:c r="G12" s="73" t="str">
        <x:v>Año correcto</x:v>
      </x:c>
      <x:c r="H12" s="73" t="str">
        <x:v>Título correcto</x:v>
      </x:c>
      <x:c r="I12" s="73" t="str">
        <x:v>Ficha utilizable</x:v>
      </x:c>
      <x:c r="J12" s="73" t="str">
        <x:v>Apellido</x:v>
      </x:c>
      <x:c r="K12" s="73" t="str">
        <x:v>Año</x:v>
      </x:c>
      <x:c r="L12" s="73" t="str">
        <x:v>Título</x:v>
      </x:c>
      <x:c r="M12" s="73" t="str">
        <x:v>Corrección</x:v>
      </x:c>
      <x:c r="N12" s="73" t="str">
        <x:v>Dictamen</x:v>
      </x:c>
      <x:c r="O12" s="73" t="str">
        <x:v>PDF fuente</x:v>
      </x:c>
    </x:row>
    <x:row r="13" ht="58" customHeight="1">
      <x:c r="A13" s="24" t="str">
        <x:v>H-001</x:v>
      </x:c>
      <x:c r="B13" s="24" t="str">
        <x:v>C01</x:v>
      </x:c>
      <x:c r="C13" s="24" t="n">
        <x:v>6</x:v>
      </x:c>
      <x:c r="D13" s="24" t="str">
        <x:v>9</x:v>
      </x:c>
      <x:c r="E13" s="24" t="str">
        <x:v>correcta</x:v>
      </x:c>
      <x:c r="F13" s="24" t="str">
        <x:v>sí</x:v>
      </x:c>
      <x:c r="G13" s="24" t="str">
        <x:v>sí</x:v>
      </x:c>
      <x:c r="H13" s="24" t="str">
        <x:v>no</x:v>
      </x:c>
      <x:c r="I13" s="24" t="str">
        <x:v>no</x:v>
      </x:c>
      <x:c r="J13" s="24" t="str">
        <x:v>Bigio</x:v>
      </x:c>
      <x:c r="K13" s="24" t="n">
        <x:v>2015</x:v>
      </x:c>
      <x:c r="L13" s="25" t="str">
        <x:v>doi: 10</x:v>
      </x:c>
      <x:c r="M13" s="25" t="str">
        <x:v>title: Endogenous liquidity and the business cycle</x:v>
      </x:c>
      <x:c r="N13" s="25" t="str">
        <x:v>Se aisló el inicio del DOI, no el título.</x:v>
      </x:c>
      <x:c r="O13" s="25" t="str">
        <x:v>saki_research/published_comments/bigio_discussion_optimal_supply_public_private_liquidity_azzimonti_yared.pdf</x:v>
      </x:c>
    </x:row>
    <x:row r="14" ht="58" customHeight="1">
      <x:c r="A14" s="24" t="str">
        <x:v>H-002</x:v>
      </x:c>
      <x:c r="B14" s="24" t="str">
        <x:v>C03</x:v>
      </x:c>
      <x:c r="C14" s="24" t="n">
        <x:v>4</x:v>
      </x:c>
      <x:c r="D14" s="24" t="str">
        <x:v>4</x:v>
      </x:c>
      <x:c r="E14" s="24" t="str">
        <x:v>correcta</x:v>
      </x:c>
      <x:c r="F14" s="24" t="str">
        <x:v>sí</x:v>
      </x:c>
      <x:c r="G14" s="24" t="str">
        <x:v>sí</x:v>
      </x:c>
      <x:c r="H14" s="24" t="str">
        <x:v>no</x:v>
      </x:c>
      <x:c r="I14" s="24" t="str">
        <x:v>no</x:v>
      </x:c>
      <x:c r="J14" s="24" t="str">
        <x:v>Velarde</x:v>
      </x:c>
      <x:c r="K14" s="24" t="n">
        <x:v>1992</x:v>
      </x:c>
      <x:c r="L14" s="25" t="str">
        <x:v>] Julio Velarde and Martha Ro dríguez</x:v>
      </x:c>
      <x:c r="M14" s="25" t="str">
        <x:v>title: El programa económico de agosto de 1990: evaluación del primer año</x:v>
      </x:c>
      <x:c r="N14" s="25" t="str">
        <x:v>Se aisló el bloque de autores posterior a la etiqueta BibTeX.</x:v>
      </x:c>
      <x:c r="O14" s="25" t="str">
        <x:v>saki_research/published_comments/bigio_monetary_fiscal_history_peru_1960_2017_martinelli_vega.pdf</x:v>
      </x:c>
    </x:row>
    <x:row r="15" ht="58" customHeight="1">
      <x:c r="A15" s="24" t="str">
        <x:v>H-003</x:v>
      </x:c>
      <x:c r="B15" s="24" t="str">
        <x:v>E01</x:v>
      </x:c>
      <x:c r="C15" s="24" t="n">
        <x:v>16</x:v>
      </x:c>
      <x:c r="D15" s="24" t="str">
        <x:v>20</x:v>
      </x:c>
      <x:c r="E15" s="24" t="str">
        <x:v>correcta</x:v>
      </x:c>
      <x:c r="F15" s="24" t="str">
        <x:v>sí</x:v>
      </x:c>
      <x:c r="G15" s="24" t="str">
        <x:v>sí</x:v>
      </x:c>
      <x:c r="H15" s="24" t="str">
        <x:v>sí</x:v>
      </x:c>
      <x:c r="I15" s="24" t="str">
        <x:v>sí</x:v>
      </x:c>
      <x:c r="J15" s="24" t="str">
        <x:v>Gupta</x:v>
      </x:c>
      <x:c r="K15" s="24" t="n">
        <x:v>2002</x:v>
      </x:c>
      <x:c r="L15" s="25" t="str">
        <x:v>Corruption and the Provision of Health Care and Education Services</x:v>
      </x:c>
      <x:c r="M15" s="25" t="str"/>
      <x:c r="N15" s="25" t="str">
        <x:v>Una referencia completa; apellido, año y título concuerdan con el PDF.</x:v>
      </x:c>
      <x:c r="O15" s="25" t="str">
        <x:v>saki_research/pre_phd_papers/bigio_ramirez_corrupcion_indicadores_desarrollo_pery_mundo_revision_empirica.pdf</x:v>
      </x:c>
    </x:row>
    <x:row r="16" ht="58" customHeight="1">
      <x:c r="A16" s="24" t="str">
        <x:v>H-004</x:v>
      </x:c>
      <x:c r="B16" s="24" t="str">
        <x:v>E01</x:v>
      </x:c>
      <x:c r="C16" s="24" t="n">
        <x:v>42</x:v>
      </x:c>
      <x:c r="D16" s="24" t="str">
        <x:v>22</x:v>
      </x:c>
      <x:c r="E16" s="24" t="str">
        <x:v>correcta</x:v>
      </x:c>
      <x:c r="F16" s="24" t="str">
        <x:v>sí</x:v>
      </x:c>
      <x:c r="G16" s="24" t="str">
        <x:v>sí</x:v>
      </x:c>
      <x:c r="H16" s="24" t="str">
        <x:v>sí</x:v>
      </x:c>
      <x:c r="I16" s="24" t="str">
        <x:v>sí</x:v>
      </x:c>
      <x:c r="J16" s="24" t="str">
        <x:v>Tanzi</x:v>
      </x:c>
      <x:c r="K16" s="24" t="n">
        <x:v>1994</x:v>
      </x:c>
      <x:c r="L16" s="25" t="str">
        <x:v>Corruption, Governmental Activities, and Markets</x:v>
      </x:c>
      <x:c r="M16" s="25" t="str"/>
      <x:c r="N16" s="25" t="str">
        <x:v>Una referencia completa; apellido, año y título concuerdan con el PDF.</x:v>
      </x:c>
      <x:c r="O16" s="25" t="str">
        <x:v>saki_research/pre_phd_papers/bigio_ramirez_corrupcion_indicadores_desarrollo_pery_mundo_revision_empirica.pdf</x:v>
      </x:c>
    </x:row>
    <x:row r="17" ht="58" customHeight="1">
      <x:c r="A17" s="24" t="str">
        <x:v>H-005</x:v>
      </x:c>
      <x:c r="B17" s="24" t="str">
        <x:v>E01</x:v>
      </x:c>
      <x:c r="C17" s="24" t="n">
        <x:v>48</x:v>
      </x:c>
      <x:c r="D17" s="24" t="str">
        <x:v>22</x:v>
      </x:c>
      <x:c r="E17" s="24" t="str">
        <x:v>correcta</x:v>
      </x:c>
      <x:c r="F17" s="24" t="str">
        <x:v>sí</x:v>
      </x:c>
      <x:c r="G17" s="24" t="str">
        <x:v>sí</x:v>
      </x:c>
      <x:c r="H17" s="24" t="str">
        <x:v>sí</x:v>
      </x:c>
      <x:c r="I17" s="24" t="str">
        <x:v>sí</x:v>
      </x:c>
      <x:c r="J17" s="24" t="str">
        <x:v>Taylor</x:v>
      </x:c>
      <x:c r="K17" s="24" t="n">
        <x:v>1972</x:v>
      </x:c>
      <x:c r="L17" s="25" t="str">
        <x:v>World Handbook of Political and Social Indicators</x:v>
      </x:c>
      <x:c r="M17" s="25" t="str"/>
      <x:c r="N17" s="25" t="str">
        <x:v>Una referencia completa; apellido, año y título concuerdan con el PDF.</x:v>
      </x:c>
      <x:c r="O17" s="25" t="str">
        <x:v>saki_research/pre_phd_papers/bigio_ramirez_corrupcion_indicadores_desarrollo_pery_mundo_revision_empirica.pdf</x:v>
      </x:c>
    </x:row>
    <x:row r="18" ht="58" customHeight="1">
      <x:c r="A18" s="24" t="str">
        <x:v>H-006</x:v>
      </x:c>
      <x:c r="B18" s="24" t="str">
        <x:v>E02</x:v>
      </x:c>
      <x:c r="C18" s="24" t="n">
        <x:v>5</x:v>
      </x:c>
      <x:c r="D18" s="24" t="str">
        <x:v>28</x:v>
      </x:c>
      <x:c r="E18" s="24" t="str">
        <x:v>correcta</x:v>
      </x:c>
      <x:c r="F18" s="24" t="str">
        <x:v>sí</x:v>
      </x:c>
      <x:c r="G18" s="24" t="str">
        <x:v>sí</x:v>
      </x:c>
      <x:c r="H18" s="24" t="str">
        <x:v>no</x:v>
      </x:c>
      <x:c r="I18" s="24" t="str">
        <x:v>no</x:v>
      </x:c>
      <x:c r="J18" s="24" t="str">
        <x:v>Bravo</x:v>
      </x:c>
      <x:c r="K18" s="24" t="n">
        <x:v>2002</x:v>
      </x:c>
      <x:c r="L18" s="25" t="str">
        <x:v>Una Revisión de la Transmisión Monetaria y el Pass-Through en Chile, Banco Central de Chile (Working Paper, no 149)</x:v>
      </x:c>
      <x:c r="M18" s="25" t="str">
        <x:v>title: Una Revisión de la Transmisión Monetaria y el Pass-Through en Chile</x:v>
      </x:c>
      <x:c r="N18" s="25" t="str">
        <x:v>El campo incluyó institución y número del documento.</x:v>
      </x:c>
      <x:c r="O18" s="25" t="str">
        <x:v>saki_research/pre_phd_papers/bigio_salas_non_linear_effects_monetary_policy_real_exchange_rate_shocks_partially_dollarized_economies_empirical_study_peru.pdf</x:v>
      </x:c>
    </x:row>
    <x:row r="19" ht="58" customHeight="1">
      <x:c r="A19" s="24" t="str">
        <x:v>H-007</x:v>
      </x:c>
      <x:c r="B19" s="24" t="str">
        <x:v>E02</x:v>
      </x:c>
      <x:c r="C19" s="24" t="n">
        <x:v>8</x:v>
      </x:c>
      <x:c r="D19" s="24" t="str">
        <x:v>28</x:v>
      </x:c>
      <x:c r="E19" s="24" t="str">
        <x:v>correcta</x:v>
      </x:c>
      <x:c r="F19" s="24" t="str">
        <x:v>sí</x:v>
      </x:c>
      <x:c r="G19" s="24" t="str">
        <x:v>sí</x:v>
      </x:c>
      <x:c r="H19" s="24" t="str">
        <x:v>sí</x:v>
      </x:c>
      <x:c r="I19" s="24" t="str">
        <x:v>sí</x:v>
      </x:c>
      <x:c r="J19" s="24" t="str">
        <x:v>Carranza</x:v>
      </x:c>
      <x:c r="K19" s="24" t="n">
        <x:v>2003</x:v>
      </x:c>
      <x:c r="L19" s="25" t="str">
        <x:v>Exchange rate volatility and economic performance in Peru: a firm level analysis</x:v>
      </x:c>
      <x:c r="M19" s="25" t="str"/>
      <x:c r="N19" s="25" t="str">
        <x:v>Una referencia completa; apellido, año y título concuerdan con el PDF.</x:v>
      </x:c>
      <x:c r="O19" s="25" t="str">
        <x:v>saki_research/pre_phd_papers/bigio_salas_non_linear_effects_monetary_policy_real_exchange_rate_shocks_partially_dollarized_economies_empirical_study_peru.pdf</x:v>
      </x:c>
    </x:row>
    <x:row r="20" ht="58" customHeight="1">
      <x:c r="A20" s="24" t="str">
        <x:v>H-008</x:v>
      </x:c>
      <x:c r="B20" s="24" t="str">
        <x:v>E02</x:v>
      </x:c>
      <x:c r="C20" s="24" t="n">
        <x:v>11</x:v>
      </x:c>
      <x:c r="D20" s="24" t="str">
        <x:v>29</x:v>
      </x:c>
      <x:c r="E20" s="24" t="str">
        <x:v>correcta</x:v>
      </x:c>
      <x:c r="F20" s="24" t="str">
        <x:v>sí</x:v>
      </x:c>
      <x:c r="G20" s="24" t="str">
        <x:v>sí</x:v>
      </x:c>
      <x:c r="H20" s="24" t="str">
        <x:v>no</x:v>
      </x:c>
      <x:c r="I20" s="24" t="str">
        <x:v>no</x:v>
      </x:c>
      <x:c r="J20" s="24" t="str">
        <x:v>Castro</x:v>
      </x:c>
      <x:c r="K20" s="24" t="n">
        <x:v>2000</x:v>
      </x:c>
      <x:c r="L20" s="25" t="str">
        <x:v>Uncovering Central Bank’s Monetary Policy Objectives: Going Beyond Fear of Floating, Centro de Investigación de la Universidad del Pacífico</x:v>
      </x:c>
      <x:c r="M20" s="25" t="str">
        <x:v>title: Uncovering Central Bank’s Monetary Policy Objectives: Going Beyond Fear of Floating</x:v>
      </x:c>
      <x:c r="N20" s="25" t="str">
        <x:v>El campo incluyó la institución editora.</x:v>
      </x:c>
      <x:c r="O20" s="25" t="str">
        <x:v>saki_research/pre_phd_papers/bigio_salas_non_linear_effects_monetary_policy_real_exchange_rate_shocks_partially_dollarized_economies_empirical_study_peru.pdf</x:v>
      </x:c>
    </x:row>
    <x:row r="21" ht="58" customHeight="1">
      <x:c r="A21" s="24" t="str">
        <x:v>H-009</x:v>
      </x:c>
      <x:c r="B21" s="24" t="str">
        <x:v>E02</x:v>
      </x:c>
      <x:c r="C21" s="24" t="n">
        <x:v>26</x:v>
      </x:c>
      <x:c r="D21" s="24" t="str">
        <x:v>30</x:v>
      </x:c>
      <x:c r="E21" s="24" t="str">
        <x:v>correcta</x:v>
      </x:c>
      <x:c r="F21" s="24" t="str">
        <x:v>sí</x:v>
      </x:c>
      <x:c r="G21" s="24" t="str">
        <x:v>sí</x:v>
      </x:c>
      <x:c r="H21" s="24" t="str">
        <x:v>sí</x:v>
      </x:c>
      <x:c r="I21" s="24" t="str">
        <x:v>sí</x:v>
      </x:c>
      <x:c r="J21" s="24" t="str">
        <x:v>Leybourne</x:v>
      </x:c>
      <x:c r="K21" s="24" t="n">
        <x:v>1998</x:v>
      </x:c>
      <x:c r="L21" s="25" t="str">
        <x:v>Unit Roots and Smooth Transitions</x:v>
      </x:c>
      <x:c r="M21" s="25" t="str"/>
      <x:c r="N21" s="25" t="str">
        <x:v>Una referencia completa; apellido, año y título concuerdan con el PDF.</x:v>
      </x:c>
      <x:c r="O21" s="25" t="str">
        <x:v>saki_research/pre_phd_papers/bigio_salas_non_linear_effects_monetary_policy_real_exchange_rate_shocks_partially_dollarized_economies_empirical_study_peru.pdf</x:v>
      </x:c>
    </x:row>
    <x:row r="22" ht="58" customHeight="1">
      <x:c r="A22" s="24" t="str">
        <x:v>H-010</x:v>
      </x:c>
      <x:c r="B22" s="24" t="str">
        <x:v>E02</x:v>
      </x:c>
      <x:c r="C22" s="24" t="n">
        <x:v>35</x:v>
      </x:c>
      <x:c r="D22" s="24" t="str">
        <x:v>30</x:v>
      </x:c>
      <x:c r="E22" s="24" t="str">
        <x:v>correcta</x:v>
      </x:c>
      <x:c r="F22" s="24" t="str">
        <x:v>sí</x:v>
      </x:c>
      <x:c r="G22" s="24" t="str">
        <x:v>sí</x:v>
      </x:c>
      <x:c r="H22" s="24" t="str">
        <x:v>no</x:v>
      </x:c>
      <x:c r="I22" s="24" t="str">
        <x:v>no</x:v>
      </x:c>
      <x:c r="J22" s="24" t="str">
        <x:v>Ravn</x:v>
      </x:c>
      <x:c r="K22" s="24" t="n">
        <x:v>1996</x:v>
      </x:c>
      <x:c r="L22" s="25" t="str">
        <x:v>A reconsideration of the empirical Evidence on the Asymmetric Effects of Money-Supply Shocks: Positive vs</x:v>
      </x:c>
      <x:c r="M22" s="25" t="str">
        <x:v>title: A reconsideration of the empirical Evidence on the Asymmetric Effects of Money-Supply Shocks: Positive vs. Negative or Big vs. Small?</x:v>
      </x:c>
      <x:c r="N22" s="25" t="str">
        <x:v>El título quedó cortado en la abreviatura «vs.»</x:v>
      </x:c>
      <x:c r="O22" s="25" t="str">
        <x:v>saki_research/pre_phd_papers/bigio_salas_non_linear_effects_monetary_policy_real_exchange_rate_shocks_partially_dollarized_economies_empirical_study_peru.pdf</x:v>
      </x:c>
    </x:row>
    <x:row r="23" ht="58" customHeight="1">
      <x:c r="A23" s="24" t="str">
        <x:v>H-011</x:v>
      </x:c>
      <x:c r="B23" s="24" t="str">
        <x:v>P01</x:v>
      </x:c>
      <x:c r="C23" s="24" t="n">
        <x:v>7</x:v>
      </x:c>
      <x:c r="D23" s="24" t="str">
        <x:v>28</x:v>
      </x:c>
      <x:c r="E23" s="24" t="str">
        <x:v>correcta</x:v>
      </x:c>
      <x:c r="F23" s="24" t="str">
        <x:v>sí</x:v>
      </x:c>
      <x:c r="G23" s="24" t="str">
        <x:v>sí</x:v>
      </x:c>
      <x:c r="H23" s="24" t="str">
        <x:v>sí</x:v>
      </x:c>
      <x:c r="I23" s="24" t="str">
        <x:v>sí</x:v>
      </x:c>
      <x:c r="J23" s="24" t="str">
        <x:v>Brainard</x:v>
      </x:c>
      <x:c r="K23" s="24" t="n">
        <x:v>1967</x:v>
      </x:c>
      <x:c r="L23" s="25" t="str">
        <x:v>Uncertainty and the effectiveness of policy</x:v>
      </x:c>
      <x:c r="M23" s="25" t="str"/>
      <x:c r="N23" s="25" t="str">
        <x:v>Una referencia completa; apellido, año y título concuerdan con el PDF.</x:v>
      </x:c>
      <x:c r="O23" s="25" t="str">
        <x:v>saki_research/published_papers/bigio_learning_under_fear_floating.pdf</x:v>
      </x:c>
    </x:row>
    <x:row r="24" ht="58" customHeight="1">
      <x:c r="A24" s="24" t="str">
        <x:v>H-012</x:v>
      </x:c>
      <x:c r="B24" s="24" t="str">
        <x:v>P01</x:v>
      </x:c>
      <x:c r="C24" s="24" t="n">
        <x:v>9</x:v>
      </x:c>
      <x:c r="D24" s="24" t="str">
        <x:v>28</x:v>
      </x:c>
      <x:c r="E24" s="24" t="str">
        <x:v>correcta</x:v>
      </x:c>
      <x:c r="F24" s="24" t="str">
        <x:v>sí</x:v>
      </x:c>
      <x:c r="G24" s="24" t="str">
        <x:v>sí</x:v>
      </x:c>
      <x:c r="H24" s="24" t="str">
        <x:v>sí</x:v>
      </x:c>
      <x:c r="I24" s="24" t="str">
        <x:v>sí</x:v>
      </x:c>
      <x:c r="J24" s="24" t="str">
        <x:v>Calvo</x:v>
      </x:c>
      <x:c r="K24" s="24" t="n">
        <x:v>2002</x:v>
      </x:c>
      <x:c r="L24" s="25" t="str">
        <x:v>Fear of floating</x:v>
      </x:c>
      <x:c r="M24" s="25" t="str"/>
      <x:c r="N24" s="25" t="str">
        <x:v>Una referencia completa; apellido, año y título concuerdan con el PDF.</x:v>
      </x:c>
      <x:c r="O24" s="25" t="str">
        <x:v>saki_research/published_papers/bigio_learning_under_fear_floating.pdf</x:v>
      </x:c>
    </x:row>
    <x:row r="25" ht="58" customHeight="1">
      <x:c r="A25" s="24" t="str">
        <x:v>H-013</x:v>
      </x:c>
      <x:c r="B25" s="24" t="str">
        <x:v>P01</x:v>
      </x:c>
      <x:c r="C25" s="24" t="n">
        <x:v>12</x:v>
      </x:c>
      <x:c r="D25" s="24" t="str">
        <x:v>28</x:v>
      </x:c>
      <x:c r="E25" s="24" t="str">
        <x:v>correcta</x:v>
      </x:c>
      <x:c r="F25" s="24" t="str">
        <x:v>sí</x:v>
      </x:c>
      <x:c r="G25" s="24" t="str">
        <x:v>sí</x:v>
      </x:c>
      <x:c r="H25" s="24" t="str">
        <x:v>sí</x:v>
      </x:c>
      <x:c r="I25" s="24" t="str">
        <x:v>sí</x:v>
      </x:c>
      <x:c r="J25" s="24" t="str">
        <x:v>Chang</x:v>
      </x:c>
      <x:c r="K25" s="24" t="n">
        <x:v>2000</x:v>
      </x:c>
      <x:c r="L25" s="25" t="str">
        <x:v>Exchange rate policy for developing countries</x:v>
      </x:c>
      <x:c r="M25" s="25" t="str"/>
      <x:c r="N25" s="25" t="str">
        <x:v>Una referencia completa; apellido, año y título concuerdan con el PDF.</x:v>
      </x:c>
      <x:c r="O25" s="25" t="str">
        <x:v>saki_research/published_papers/bigio_learning_under_fear_floating.pdf</x:v>
      </x:c>
    </x:row>
    <x:row r="26" ht="58" customHeight="1">
      <x:c r="A26" s="24" t="str">
        <x:v>H-014</x:v>
      </x:c>
      <x:c r="B26" s="24" t="str">
        <x:v>P01</x:v>
      </x:c>
      <x:c r="C26" s="24" t="n">
        <x:v>22</x:v>
      </x:c>
      <x:c r="D26" s="24" t="str">
        <x:v>28</x:v>
      </x:c>
      <x:c r="E26" s="24" t="str">
        <x:v>correcta</x:v>
      </x:c>
      <x:c r="F26" s="24" t="str">
        <x:v>sí</x:v>
      </x:c>
      <x:c r="G26" s="24" t="str">
        <x:v>sí</x:v>
      </x:c>
      <x:c r="H26" s="24" t="str">
        <x:v>sí</x:v>
      </x:c>
      <x:c r="I26" s="24" t="str">
        <x:v>sí</x:v>
      </x:c>
      <x:c r="J26" s="24" t="str">
        <x:v>Ellison</x:v>
      </x:c>
      <x:c r="K26" s="24" t="n">
        <x:v>2006</x:v>
      </x:c>
      <x:c r="L26" s="25" t="str">
        <x:v>The learning cost of interest rate reversals</x:v>
      </x:c>
      <x:c r="M26" s="25" t="str"/>
      <x:c r="N26" s="25" t="str">
        <x:v>Una referencia completa; apellido, año y título concuerdan con el PDF.</x:v>
      </x:c>
      <x:c r="O26" s="25" t="str">
        <x:v>saki_research/published_papers/bigio_learning_under_fear_floating.pdf</x:v>
      </x:c>
    </x:row>
    <x:row r="27" ht="58" customHeight="1">
      <x:c r="A27" s="24" t="str">
        <x:v>H-015</x:v>
      </x:c>
      <x:c r="B27" s="24" t="str">
        <x:v>P01</x:v>
      </x:c>
      <x:c r="C27" s="24" t="n">
        <x:v>26</x:v>
      </x:c>
      <x:c r="D27" s="24" t="str">
        <x:v>28</x:v>
      </x:c>
      <x:c r="E27" s="24" t="str">
        <x:v>correcta</x:v>
      </x:c>
      <x:c r="F27" s="24" t="str">
        <x:v>sí</x:v>
      </x:c>
      <x:c r="G27" s="24" t="str">
        <x:v>sí</x:v>
      </x:c>
      <x:c r="H27" s="24" t="str">
        <x:v>sí</x:v>
      </x:c>
      <x:c r="I27" s="24" t="str">
        <x:v>sí</x:v>
      </x:c>
      <x:c r="J27" s="24" t="str">
        <x:v>Gali</x:v>
      </x:c>
      <x:c r="K27" s="24" t="n">
        <x:v>2005</x:v>
      </x:c>
      <x:c r="L27" s="25" t="str">
        <x:v>Monetary policy and exchange rate volatility in a small open economy</x:v>
      </x:c>
      <x:c r="M27" s="25" t="str"/>
      <x:c r="N27" s="25" t="str">
        <x:v>Una referencia completa; apellido, año y título concuerdan con el PDF.</x:v>
      </x:c>
      <x:c r="O27" s="25" t="str">
        <x:v>saki_research/published_papers/bigio_learning_under_fear_floating.pdf</x:v>
      </x:c>
    </x:row>
    <x:row r="28" ht="58" customHeight="1">
      <x:c r="A28" s="24" t="str">
        <x:v>H-016</x:v>
      </x:c>
      <x:c r="B28" s="24" t="str">
        <x:v>P02</x:v>
      </x:c>
      <x:c r="C28" s="24" t="n">
        <x:v>50</x:v>
      </x:c>
      <x:c r="D28" s="24" t="str">
        <x:v>42</x:v>
      </x:c>
      <x:c r="E28" s="24" t="str">
        <x:v>correcta</x:v>
      </x:c>
      <x:c r="F28" s="24" t="str">
        <x:v>sí</x:v>
      </x:c>
      <x:c r="G28" s="24" t="str">
        <x:v>sí</x:v>
      </x:c>
      <x:c r="H28" s="24" t="str">
        <x:v>sí</x:v>
      </x:c>
      <x:c r="I28" s="24" t="str">
        <x:v>sí</x:v>
      </x:c>
      <x:c r="J28" s="24" t="str">
        <x:v>Thuronyi</x:v>
      </x:c>
      <x:c r="K28" s="24" t="n">
        <x:v>2004</x:v>
      </x:c>
      <x:c r="L28" s="25" t="str">
        <x:v>Presumptive taxation of the hard-to-tax</x:v>
      </x:c>
      <x:c r="M28" s="25" t="str"/>
      <x:c r="N28" s="25" t="str">
        <x:v>Una referencia completa; apellido, año y título concuerdan con el PDF.</x:v>
      </x:c>
      <x:c r="O28" s="25" t="str">
        <x:v>saki_research/published_papers/bigio_zilberman_optimal_self_employment_income_tax_enforcement.pdf</x:v>
      </x:c>
    </x:row>
    <x:row r="29" ht="58" customHeight="1">
      <x:c r="A29" s="24" t="str">
        <x:v>H-017</x:v>
      </x:c>
      <x:c r="B29" s="24" t="str">
        <x:v>P03</x:v>
      </x:c>
      <x:c r="C29" s="24" t="n">
        <x:v>20</x:v>
      </x:c>
      <x:c r="D29" s="24" t="str">
        <x:v>42-43</x:v>
      </x:c>
      <x:c r="E29" s="24" t="str">
        <x:v>contaminada</x:v>
      </x:c>
      <x:c r="F29" s="24" t="str">
        <x:v>sí</x:v>
      </x:c>
      <x:c r="G29" s="24" t="str">
        <x:v>sí</x:v>
      </x:c>
      <x:c r="H29" s="24" t="str">
        <x:v>sí</x:v>
      </x:c>
      <x:c r="I29" s="24" t="str">
        <x:v>no</x:v>
      </x:c>
      <x:c r="J29" s="24" t="str">
        <x:v>Gomes</x:v>
      </x:c>
      <x:c r="K29" s="24" t="n">
        <x:v>2001</x:v>
      </x:c>
      <x:c r="L29" s="25" t="str">
        <x:v>Financing Investment</x:v>
      </x:c>
      <x:c r="M29" s="25" t="str"/>
      <x:c r="N29" s="25" t="str">
        <x:v>Se añadió el encabezado de la página 43 después de la referencia de Gomes.</x:v>
      </x:c>
      <x:c r="O29" s="25" t="str">
        <x:v>saki_research/published_papers/bigio_endogenous_liquidity_business_cycle.pdf</x:v>
      </x:c>
    </x:row>
    <x:row r="30" ht="58" customHeight="1">
      <x:c r="A30" s="24" t="str">
        <x:v>H-018</x:v>
      </x:c>
      <x:c r="B30" s="24" t="str">
        <x:v>P03</x:v>
      </x:c>
      <x:c r="C30" s="24" t="n">
        <x:v>27</x:v>
      </x:c>
      <x:c r="D30" s="24" t="str">
        <x:v>43</x:v>
      </x:c>
      <x:c r="E30" s="24" t="str">
        <x:v>correcta</x:v>
      </x:c>
      <x:c r="F30" s="24" t="str">
        <x:v>sí</x:v>
      </x:c>
      <x:c r="G30" s="24" t="str">
        <x:v>sí</x:v>
      </x:c>
      <x:c r="H30" s="24" t="str">
        <x:v>sí</x:v>
      </x:c>
      <x:c r="I30" s="24" t="str">
        <x:v>sí</x:v>
      </x:c>
      <x:c r="J30" s="24" t="str">
        <x:v>Kurlat</x:v>
      </x:c>
      <x:c r="K30" s="24" t="n">
        <x:v>2013</x:v>
      </x:c>
      <x:c r="L30" s="25" t="str">
        <x:v>Lemons Markets and the Transmission of Aggregate Shocks</x:v>
      </x:c>
      <x:c r="M30" s="25" t="str"/>
      <x:c r="N30" s="25" t="str">
        <x:v>Una referencia completa; apellido, año y título concuerdan con el PDF.</x:v>
      </x:c>
      <x:c r="O30" s="25" t="str">
        <x:v>saki_research/published_papers/bigio_endogenous_liquidity_business_cycle.pdf</x:v>
      </x:c>
    </x:row>
    <x:row r="31" ht="58" customHeight="1">
      <x:c r="A31" s="24" t="str">
        <x:v>H-019</x:v>
      </x:c>
      <x:c r="B31" s="24" t="str">
        <x:v>P03</x:v>
      </x:c>
      <x:c r="C31" s="24" t="n">
        <x:v>33</x:v>
      </x:c>
      <x:c r="D31" s="24" t="str">
        <x:v>43-44</x:v>
      </x:c>
      <x:c r="E31" s="24" t="str">
        <x:v>contaminada</x:v>
      </x:c>
      <x:c r="F31" s="24" t="str">
        <x:v>sí</x:v>
      </x:c>
      <x:c r="G31" s="24" t="str">
        <x:v>sí</x:v>
      </x:c>
      <x:c r="H31" s="24" t="str">
        <x:v>sí</x:v>
      </x:c>
      <x:c r="I31" s="24" t="str">
        <x:v>no</x:v>
      </x:c>
      <x:c r="J31" s="24" t="str">
        <x:v>Shimer</x:v>
      </x:c>
      <x:c r="K31" s="24" t="n">
        <x:v>2009</x:v>
      </x:c>
      <x:c r="L31" s="25" t="str">
        <x:v>Convergence in Macroeconomics: The Labor Wedge</x:v>
      </x:c>
      <x:c r="M31" s="25" t="str"/>
      <x:c r="N31" s="25" t="str">
        <x:v>Se añadió el encabezado de la página 44 después de la referencia de Shimer.</x:v>
      </x:c>
      <x:c r="O31" s="25" t="str">
        <x:v>saki_research/published_papers/bigio_endogenous_liquidity_business_cycle.pdf</x:v>
      </x:c>
    </x:row>
    <x:row r="32" ht="58" customHeight="1">
      <x:c r="A32" s="24" t="str">
        <x:v>H-020</x:v>
      </x:c>
      <x:c r="B32" s="24" t="str">
        <x:v>P04</x:v>
      </x:c>
      <x:c r="C32" s="24" t="n">
        <x:v>9</x:v>
      </x:c>
      <x:c r="D32" s="24" t="str">
        <x:v>37</x:v>
      </x:c>
      <x:c r="E32" s="24" t="str">
        <x:v>correcta</x:v>
      </x:c>
      <x:c r="F32" s="24" t="str">
        <x:v>sí</x:v>
      </x:c>
      <x:c r="G32" s="24" t="str">
        <x:v>sí</x:v>
      </x:c>
      <x:c r="H32" s="24" t="str">
        <x:v>sí</x:v>
      </x:c>
      <x:c r="I32" s="24" t="str">
        <x:v>sí</x:v>
      </x:c>
      <x:c r="J32" s="24" t="str">
        <x:v>Croce</x:v>
      </x:c>
      <x:c r="K32" s="24" t="n">
        <x:v>2014</x:v>
      </x:c>
      <x:c r="L32" s="25" t="str">
        <x:v>Long-run productivity risk: A new hope for production-based asset pricing?</x:v>
      </x:c>
      <x:c r="M32" s="25" t="str"/>
      <x:c r="N32" s="25" t="str">
        <x:v>Una referencia completa; apellido, año y título concuerdan con el PDF.</x:v>
      </x:c>
      <x:c r="O32" s="25" t="str">
        <x:v>saki_research/published_papers/bigio_schneider_liquidity_shocks_business_cycles_asset_prices.pdf</x:v>
      </x:c>
    </x:row>
    <x:row r="33" ht="58" customHeight="1">
      <x:c r="A33" s="24" t="str">
        <x:v>H-021</x:v>
      </x:c>
      <x:c r="B33" s="24" t="str">
        <x:v>P05</x:v>
      </x:c>
      <x:c r="C33" s="24" t="n">
        <x:v>4</x:v>
      </x:c>
      <x:c r="D33" s="24" t="str">
        <x:v>50</x:v>
      </x:c>
      <x:c r="E33" s="24" t="str">
        <x:v>correcta</x:v>
      </x:c>
      <x:c r="F33" s="24" t="str">
        <x:v>sí</x:v>
      </x:c>
      <x:c r="G33" s="24" t="str">
        <x:v>sí</x:v>
      </x:c>
      <x:c r="H33" s="24" t="str">
        <x:v>sí</x:v>
      </x:c>
      <x:c r="I33" s="24" t="str">
        <x:v>sí</x:v>
      </x:c>
      <x:c r="J33" s="24" t="str">
        <x:v>Asker</x:v>
      </x:c>
      <x:c r="K33" s="24" t="n">
        <x:v>2014</x:v>
      </x:c>
      <x:c r="L33" s="25" t="str">
        <x:v>Dynamic Inputs and Resource (Mis)Allocation</x:v>
      </x:c>
      <x:c r="M33" s="25" t="str"/>
      <x:c r="N33" s="25" t="str">
        <x:v>Una referencia completa; apellido, año y título concuerdan con el PDF.</x:v>
      </x:c>
      <x:c r="O33" s="25" t="str">
        <x:v>saki_research/published_papers/bigio_lao_distortions_production_networks.pdf</x:v>
      </x:c>
    </x:row>
    <x:row r="34" ht="58" customHeight="1">
      <x:c r="A34" s="24" t="str">
        <x:v>H-022</x:v>
      </x:c>
      <x:c r="B34" s="24" t="str">
        <x:v>P05</x:v>
      </x:c>
      <x:c r="C34" s="24" t="n">
        <x:v>13</x:v>
      </x:c>
      <x:c r="D34" s="24" t="str">
        <x:v>51</x:v>
      </x:c>
      <x:c r="E34" s="24" t="str">
        <x:v>correcta</x:v>
      </x:c>
      <x:c r="F34" s="24" t="str">
        <x:v>sí</x:v>
      </x:c>
      <x:c r="G34" s="24" t="str">
        <x:v>sí</x:v>
      </x:c>
      <x:c r="H34" s="24" t="str">
        <x:v>sí</x:v>
      </x:c>
      <x:c r="I34" s="24" t="str">
        <x:v>sí</x:v>
      </x:c>
      <x:c r="J34" s="24" t="str">
        <x:v>Bigio</x:v>
      </x:c>
      <x:c r="K34" s="24" t="n">
        <x:v>2020</x:v>
      </x:c>
      <x:c r="L34" s="25" t="str">
        <x:v>Replication Data for: ‘Distortions in Production Networks’</x:v>
      </x:c>
      <x:c r="M34" s="25" t="str"/>
      <x:c r="N34" s="25" t="str">
        <x:v>Una referencia completa; apellido, año y título concuerdan con el PDF.</x:v>
      </x:c>
      <x:c r="O34" s="25" t="str">
        <x:v>saki_research/published_papers/bigio_lao_distortions_production_networks.pdf</x:v>
      </x:c>
    </x:row>
    <x:row r="35" ht="58" customHeight="1">
      <x:c r="A35" s="24" t="str">
        <x:v>H-023</x:v>
      </x:c>
      <x:c r="B35" s="24" t="str">
        <x:v>P05</x:v>
      </x:c>
      <x:c r="C35" s="24" t="n">
        <x:v>33</x:v>
      </x:c>
      <x:c r="D35" s="24" t="str">
        <x:v>52</x:v>
      </x:c>
      <x:c r="E35" s="24" t="str">
        <x:v>correcta</x:v>
      </x:c>
      <x:c r="F35" s="24" t="str">
        <x:v>sí</x:v>
      </x:c>
      <x:c r="G35" s="24" t="str">
        <x:v>sí</x:v>
      </x:c>
      <x:c r="H35" s="24" t="str">
        <x:v>sí</x:v>
      </x:c>
      <x:c r="I35" s="24" t="str">
        <x:v>sí</x:v>
      </x:c>
      <x:c r="J35" s="24" t="str">
        <x:v>Jermann</x:v>
      </x:c>
      <x:c r="K35" s="24" t="n">
        <x:v>2012</x:v>
      </x:c>
      <x:c r="L35" s="25" t="str">
        <x:v>Macroeconomic Effects of Financial Shocks</x:v>
      </x:c>
      <x:c r="M35" s="25" t="str"/>
      <x:c r="N35" s="25" t="str">
        <x:v>Una referencia completa; apellido, año y título concuerdan con el PDF.</x:v>
      </x:c>
      <x:c r="O35" s="25" t="str">
        <x:v>saki_research/published_papers/bigio_lao_distortions_production_networks.pdf</x:v>
      </x:c>
    </x:row>
    <x:row r="36" ht="58" customHeight="1">
      <x:c r="A36" s="24" t="str">
        <x:v>H-024</x:v>
      </x:c>
      <x:c r="B36" s="24" t="str">
        <x:v>P06</x:v>
      </x:c>
      <x:c r="C36" s="24" t="n">
        <x:v>24</x:v>
      </x:c>
      <x:c r="D36" s="24" t="str">
        <x:v>40</x:v>
      </x:c>
      <x:c r="E36" s="24" t="str">
        <x:v>correcta</x:v>
      </x:c>
      <x:c r="F36" s="24" t="str">
        <x:v>sí</x:v>
      </x:c>
      <x:c r="G36" s="24" t="str">
        <x:v>sí</x:v>
      </x:c>
      <x:c r="H36" s="24" t="str">
        <x:v>sí</x:v>
      </x:c>
      <x:c r="I36" s="24" t="str">
        <x:v>sí</x:v>
      </x:c>
      <x:c r="J36" s="24" t="str">
        <x:v>Eisfeldt</x:v>
      </x:c>
      <x:c r="K36" s="24" t="n">
        <x:v>2004</x:v>
      </x:c>
      <x:c r="L36" s="25" t="str">
        <x:v>Endogenous liquidity in asset markets</x:v>
      </x:c>
      <x:c r="M36" s="25" t="str"/>
      <x:c r="N36" s="25" t="str">
        <x:v>Una referencia completa; apellido, año y título concuerdan con el PDF.</x:v>
      </x:c>
      <x:c r="O36" s="25" t="str">
        <x:v>saki_research/published_papers/bigio_d_anvernas_financial_risk_capacity.pdf</x:v>
      </x:c>
    </x:row>
    <x:row r="37" ht="58" customHeight="1">
      <x:c r="A37" s="24" t="str">
        <x:v>H-025</x:v>
      </x:c>
      <x:c r="B37" s="24" t="str">
        <x:v>P06</x:v>
      </x:c>
      <x:c r="C37" s="24" t="n">
        <x:v>29</x:v>
      </x:c>
      <x:c r="D37" s="24" t="str">
        <x:v>41</x:v>
      </x:c>
      <x:c r="E37" s="24" t="str">
        <x:v>correcta</x:v>
      </x:c>
      <x:c r="F37" s="24" t="str">
        <x:v>sí</x:v>
      </x:c>
      <x:c r="G37" s="24" t="str">
        <x:v>sí</x:v>
      </x:c>
      <x:c r="H37" s="24" t="str">
        <x:v>sí</x:v>
      </x:c>
      <x:c r="I37" s="24" t="str">
        <x:v>sí</x:v>
      </x:c>
      <x:c r="J37" s="24" t="str">
        <x:v>Gennaioli</x:v>
      </x:c>
      <x:c r="K37" s="24" t="n">
        <x:v>2013</x:v>
      </x:c>
      <x:c r="L37" s="25" t="str">
        <x:v>A model of shadow banking</x:v>
      </x:c>
      <x:c r="M37" s="25" t="str"/>
      <x:c r="N37" s="25" t="str">
        <x:v>Una referencia completa; apellido, año y título concuerdan con el PDF.</x:v>
      </x:c>
      <x:c r="O37" s="25" t="str">
        <x:v>saki_research/published_papers/bigio_d_anvernas_financial_risk_capacity.pdf</x:v>
      </x:c>
    </x:row>
    <x:row r="38" ht="58" customHeight="1">
      <x:c r="A38" s="24" t="str">
        <x:v>H-026</x:v>
      </x:c>
      <x:c r="B38" s="24" t="str">
        <x:v>P06</x:v>
      </x:c>
      <x:c r="C38" s="24" t="n">
        <x:v>34</x:v>
      </x:c>
      <x:c r="D38" s="24" t="str">
        <x:v>41</x:v>
      </x:c>
      <x:c r="E38" s="24" t="str">
        <x:v>correcta</x:v>
      </x:c>
      <x:c r="F38" s="24" t="str">
        <x:v>sí</x:v>
      </x:c>
      <x:c r="G38" s="24" t="str">
        <x:v>sí</x:v>
      </x:c>
      <x:c r="H38" s="24" t="str">
        <x:v>sí</x:v>
      </x:c>
      <x:c r="I38" s="24" t="str">
        <x:v>sí</x:v>
      </x:c>
      <x:c r="J38" s="24" t="str">
        <x:v>Gromb</x:v>
      </x:c>
      <x:c r="K38" s="24" t="n">
        <x:v>2002</x:v>
      </x:c>
      <x:c r="L38" s="25" t="str">
        <x:v>Equilibrium and welfare in markets with financially constrained arbitrageurs</x:v>
      </x:c>
      <x:c r="M38" s="25" t="str"/>
      <x:c r="N38" s="25" t="str">
        <x:v>Una referencia completa; apellido, año y título concuerdan con el PDF.</x:v>
      </x:c>
      <x:c r="O38" s="25" t="str">
        <x:v>saki_research/published_papers/bigio_d_anvernas_financial_risk_capacity.pdf</x:v>
      </x:c>
    </x:row>
    <x:row r="39" ht="58" customHeight="1">
      <x:c r="A39" s="24" t="str">
        <x:v>H-027</x:v>
      </x:c>
      <x:c r="B39" s="24" t="str">
        <x:v>P06</x:v>
      </x:c>
      <x:c r="C39" s="24" t="n">
        <x:v>46</x:v>
      </x:c>
      <x:c r="D39" s="24" t="str">
        <x:v>42</x:v>
      </x:c>
      <x:c r="E39" s="24" t="str">
        <x:v>correcta</x:v>
      </x:c>
      <x:c r="F39" s="24" t="str">
        <x:v>sí</x:v>
      </x:c>
      <x:c r="G39" s="24" t="str">
        <x:v>sí</x:v>
      </x:c>
      <x:c r="H39" s="24" t="str">
        <x:v>sí</x:v>
      </x:c>
      <x:c r="I39" s="24" t="str">
        <x:v>sí</x:v>
      </x:c>
      <x:c r="J39" s="24" t="str">
        <x:v>Leland</x:v>
      </x:c>
      <x:c r="K39" s="24" t="n">
        <x:v>1977</x:v>
      </x:c>
      <x:c r="L39" s="25" t="str">
        <x:v>Informational asymmetries, financial structure, and financial intermediation</x:v>
      </x:c>
      <x:c r="M39" s="25" t="str"/>
      <x:c r="N39" s="25" t="str">
        <x:v>Una referencia completa; apellido, año y título concuerdan con el PDF.</x:v>
      </x:c>
      <x:c r="O39" s="25" t="str">
        <x:v>saki_research/published_papers/bigio_d_anvernas_financial_risk_capacity.pdf</x:v>
      </x:c>
    </x:row>
    <x:row r="40" ht="58" customHeight="1">
      <x:c r="A40" s="24" t="str">
        <x:v>H-028</x:v>
      </x:c>
      <x:c r="B40" s="24" t="str">
        <x:v>P06</x:v>
      </x:c>
      <x:c r="C40" s="24" t="n">
        <x:v>47</x:v>
      </x:c>
      <x:c r="D40" s="24" t="str">
        <x:v>42</x:v>
      </x:c>
      <x:c r="E40" s="24" t="str">
        <x:v>correcta</x:v>
      </x:c>
      <x:c r="F40" s="24" t="str">
        <x:v>sí</x:v>
      </x:c>
      <x:c r="G40" s="24" t="str">
        <x:v>sí</x:v>
      </x:c>
      <x:c r="H40" s="24" t="str">
        <x:v>sí</x:v>
      </x:c>
      <x:c r="I40" s="24" t="str">
        <x:v>sí</x:v>
      </x:c>
      <x:c r="J40" s="24" t="str">
        <x:v>Maggiori</x:v>
      </x:c>
      <x:c r="K40" s="24" t="n">
        <x:v>2017</x:v>
      </x:c>
      <x:c r="L40" s="25" t="str">
        <x:v>Financial intermediation, international risk sharing, and reserve currencies</x:v>
      </x:c>
      <x:c r="M40" s="25" t="str"/>
      <x:c r="N40" s="25" t="str">
        <x:v>Una referencia completa; apellido, año y título concuerdan con el PDF.</x:v>
      </x:c>
      <x:c r="O40" s="25" t="str">
        <x:v>saki_research/published_papers/bigio_d_anvernas_financial_risk_capacity.pdf</x:v>
      </x:c>
    </x:row>
    <x:row r="41" ht="58" customHeight="1">
      <x:c r="A41" s="24" t="str">
        <x:v>H-029</x:v>
      </x:c>
      <x:c r="B41" s="24" t="str">
        <x:v>P06</x:v>
      </x:c>
      <x:c r="C41" s="24" t="n">
        <x:v>53</x:v>
      </x:c>
      <x:c r="D41" s="24" t="str">
        <x:v>43</x:v>
      </x:c>
      <x:c r="E41" s="24" t="str">
        <x:v>correcta</x:v>
      </x:c>
      <x:c r="F41" s="24" t="str">
        <x:v>sí</x:v>
      </x:c>
      <x:c r="G41" s="24" t="str">
        <x:v>sí</x:v>
      </x:c>
      <x:c r="H41" s="24" t="str">
        <x:v>sí</x:v>
      </x:c>
      <x:c r="I41" s="24" t="str">
        <x:v>sí</x:v>
      </x:c>
      <x:c r="J41" s="24" t="str">
        <x:v>Ordonez</x:v>
      </x:c>
      <x:c r="K41" s="24" t="n">
        <x:v>2013</x:v>
      </x:c>
      <x:c r="L41" s="25" t="str">
        <x:v>The asymmetric effects of financial frictions</x:v>
      </x:c>
      <x:c r="M41" s="25" t="str"/>
      <x:c r="N41" s="25" t="str">
        <x:v>Una referencia completa; apellido, año y título concuerdan con el PDF.</x:v>
      </x:c>
      <x:c r="O41" s="25" t="str">
        <x:v>saki_research/published_papers/bigio_d_anvernas_financial_risk_capacity.pdf</x:v>
      </x:c>
    </x:row>
    <x:row r="42" ht="58" customHeight="1">
      <x:c r="A42" s="24" t="str">
        <x:v>H-030</x:v>
      </x:c>
      <x:c r="B42" s="24" t="str">
        <x:v>P07</x:v>
      </x:c>
      <x:c r="C42" s="24" t="n">
        <x:v>22</x:v>
      </x:c>
      <x:c r="D42" s="24" t="str">
        <x:v>46</x:v>
      </x:c>
      <x:c r="E42" s="24" t="str">
        <x:v>correcta</x:v>
      </x:c>
      <x:c r="F42" s="24" t="str">
        <x:v>sí</x:v>
      </x:c>
      <x:c r="G42" s="24" t="str">
        <x:v>sí</x:v>
      </x:c>
      <x:c r="H42" s="24" t="str">
        <x:v>sí</x:v>
      </x:c>
      <x:c r="I42" s="24" t="str">
        <x:v>sí</x:v>
      </x:c>
      <x:c r="J42" s="24" t="str">
        <x:v>Chen</x:v>
      </x:c>
      <x:c r="K42" s="24" t="n">
        <x:v>2017</x:v>
      </x:c>
      <x:c r="L42" s="25" t="str">
        <x:v>The Nexus of Monetary Policy and Shadow Banking in China</x:v>
      </x:c>
      <x:c r="M42" s="25" t="str"/>
      <x:c r="N42" s="25" t="str">
        <x:v>Una referencia completa; apellido, año y título concuerdan con el PDF.</x:v>
      </x:c>
      <x:c r="O42" s="25" t="str">
        <x:v>saki_research/published_papers/bianchi_bigio_banks_liquidity_management_monetary_policy.pdf</x:v>
      </x:c>
    </x:row>
    <x:row r="43" ht="58" customHeight="1">
      <x:c r="A43" s="24" t="str">
        <x:v>H-031</x:v>
      </x:c>
      <x:c r="B43" s="24" t="str">
        <x:v>P07</x:v>
      </x:c>
      <x:c r="C43" s="24" t="n">
        <x:v>41</x:v>
      </x:c>
      <x:c r="D43" s="24" t="str">
        <x:v>47</x:v>
      </x:c>
      <x:c r="E43" s="24" t="str">
        <x:v>correcta</x:v>
      </x:c>
      <x:c r="F43" s="24" t="str">
        <x:v>sí</x:v>
      </x:c>
      <x:c r="G43" s="24" t="str">
        <x:v>sí</x:v>
      </x:c>
      <x:c r="H43" s="24" t="str">
        <x:v>sí</x:v>
      </x:c>
      <x:c r="I43" s="24" t="str">
        <x:v>sí</x:v>
      </x:c>
      <x:c r="J43" s="24" t="str">
        <x:v>Gertler</x:v>
      </x:c>
      <x:c r="K43" s="24" t="n">
        <x:v>2011</x:v>
      </x:c>
      <x:c r="L43" s="25" t="str">
        <x:v>A Model of Unconventional Monetary Policy</x:v>
      </x:c>
      <x:c r="M43" s="25" t="str"/>
      <x:c r="N43" s="25" t="str">
        <x:v>Una referencia completa; apellido, año y título concuerdan con el PDF.</x:v>
      </x:c>
      <x:c r="O43" s="25" t="str">
        <x:v>saki_research/published_papers/bianchi_bigio_banks_liquidity_management_monetary_policy.pdf</x:v>
      </x:c>
    </x:row>
    <x:row r="44" ht="58" customHeight="1">
      <x:c r="A44" s="24" t="str">
        <x:v>H-032</x:v>
      </x:c>
      <x:c r="B44" s="24" t="str">
        <x:v>P07</x:v>
      </x:c>
      <x:c r="C44" s="24" t="n">
        <x:v>53</x:v>
      </x:c>
      <x:c r="D44" s="24" t="str">
        <x:v>48</x:v>
      </x:c>
      <x:c r="E44" s="24" t="str">
        <x:v>correcta</x:v>
      </x:c>
      <x:c r="F44" s="24" t="str">
        <x:v>sí</x:v>
      </x:c>
      <x:c r="G44" s="24" t="str">
        <x:v>sí</x:v>
      </x:c>
      <x:c r="H44" s="24" t="str">
        <x:v>sí</x:v>
      </x:c>
      <x:c r="I44" s="24" t="str">
        <x:v>sí</x:v>
      </x:c>
      <x:c r="J44" s="24" t="str">
        <x:v>Kiyotaki</x:v>
      </x:c>
      <x:c r="K44" s="24" t="n">
        <x:v>1997</x:v>
      </x:c>
      <x:c r="L44" s="25" t="str">
        <x:v>Credit Cycles</x:v>
      </x:c>
      <x:c r="M44" s="25" t="str"/>
      <x:c r="N44" s="25" t="str">
        <x:v>Una referencia completa; apellido, año y título concuerdan con el PDF.</x:v>
      </x:c>
      <x:c r="O44" s="25" t="str">
        <x:v>saki_research/published_papers/bianchi_bigio_banks_liquidity_management_monetary_policy.pdf</x:v>
      </x:c>
    </x:row>
    <x:row r="45" ht="58" customHeight="1">
      <x:c r="A45" s="24" t="str">
        <x:v>H-033</x:v>
      </x:c>
      <x:c r="B45" s="24" t="str">
        <x:v>P07</x:v>
      </x:c>
      <x:c r="C45" s="24" t="n">
        <x:v>68</x:v>
      </x:c>
      <x:c r="D45" s="24" t="str">
        <x:v>49</x:v>
      </x:c>
      <x:c r="E45" s="24" t="str">
        <x:v>correcta</x:v>
      </x:c>
      <x:c r="F45" s="24" t="str">
        <x:v>sí</x:v>
      </x:c>
      <x:c r="G45" s="24" t="str">
        <x:v>sí</x:v>
      </x:c>
      <x:c r="H45" s="24" t="str">
        <x:v>sí</x:v>
      </x:c>
      <x:c r="I45" s="24" t="str">
        <x:v>sí</x:v>
      </x:c>
      <x:c r="J45" s="24" t="str">
        <x:v>Smith</x:v>
      </x:c>
      <x:c r="K45" s="24" t="n">
        <x:v>2002</x:v>
      </x:c>
      <x:c r="L45" s="25" t="str">
        <x:v>Monetary policy, banking crises, and the Friedman rule</x:v>
      </x:c>
      <x:c r="M45" s="25" t="str"/>
      <x:c r="N45" s="25" t="str">
        <x:v>Una referencia completa; apellido, año y título concuerdan con el PDF.</x:v>
      </x:c>
      <x:c r="O45" s="25" t="str">
        <x:v>saki_research/published_papers/bianchi_bigio_banks_liquidity_management_monetary_policy.pdf</x:v>
      </x:c>
    </x:row>
    <x:row r="46" ht="58" customHeight="1">
      <x:c r="A46" s="24" t="str">
        <x:v>H-034</x:v>
      </x:c>
      <x:c r="B46" s="24" t="str">
        <x:v>P07</x:v>
      </x:c>
      <x:c r="C46" s="24" t="n">
        <x:v>77</x:v>
      </x:c>
      <x:c r="D46" s="24" t="str">
        <x:v>49</x:v>
      </x:c>
      <x:c r="E46" s="24" t="str">
        <x:v>correcta</x:v>
      </x:c>
      <x:c r="F46" s="24" t="str">
        <x:v>sí</x:v>
      </x:c>
      <x:c r="G46" s="24" t="str">
        <x:v>sí</x:v>
      </x:c>
      <x:c r="H46" s="24" t="str">
        <x:v>sí</x:v>
      </x:c>
      <x:c r="I46" s="24" t="str">
        <x:v>sí</x:v>
      </x:c>
      <x:c r="J46" s="24" t="str">
        <x:v>Williamson</x:v>
      </x:c>
      <x:c r="K46" s="24" t="n">
        <x:v>2012</x:v>
      </x:c>
      <x:c r="L46" s="25" t="str">
        <x:v>Liquidity, Monetary Policy, and the Financial Crisis: A New Monetarist Approach</x:v>
      </x:c>
      <x:c r="M46" s="25" t="str"/>
      <x:c r="N46" s="25" t="str">
        <x:v>Una referencia completa; apellido, año y título concuerdan con el PDF.</x:v>
      </x:c>
      <x:c r="O46" s="25" t="str">
        <x:v>saki_research/published_papers/bianchi_bigio_banks_liquidity_management_monetary_policy.pdf</x:v>
      </x:c>
    </x:row>
    <x:row r="47" ht="58" customHeight="1">
      <x:c r="A47" s="24" t="str">
        <x:v>H-035</x:v>
      </x:c>
      <x:c r="B47" s="24" t="str">
        <x:v>P08</x:v>
      </x:c>
      <x:c r="C47" s="24" t="n">
        <x:v>6</x:v>
      </x:c>
      <x:c r="D47" s="24" t="str">
        <x:v>43</x:v>
      </x:c>
      <x:c r="E47" s="24" t="str">
        <x:v>correcta</x:v>
      </x:c>
      <x:c r="F47" s="24" t="str">
        <x:v>sí</x:v>
      </x:c>
      <x:c r="G47" s="24" t="str">
        <x:v>sí</x:v>
      </x:c>
      <x:c r="H47" s="24" t="str">
        <x:v>sí</x:v>
      </x:c>
      <x:c r="I47" s="24" t="str">
        <x:v>sí</x:v>
      </x:c>
      <x:c r="J47" s="24" t="str">
        <x:v>Aiyagari</x:v>
      </x:c>
      <x:c r="K47" s="24" t="n">
        <x:v>2002</x:v>
      </x:c>
      <x:c r="L47" s="25" t="str">
        <x:v>Optimaltaxationwithoutstatecontingentdebt</x:v>
      </x:c>
      <x:c r="M47" s="25" t="str"/>
      <x:c r="N47" s="25" t="str">
        <x:v>Una referencia completa; apellido, año y título concuerdan con el PDF.</x:v>
      </x:c>
      <x:c r="O47" s="25" t="str">
        <x:v>saki_research/published_papers/bigio_nuno_passadore_debt_maturity_management_liquidity_costs.pdf</x:v>
      </x:c>
    </x:row>
    <x:row r="48" ht="58" customHeight="1">
      <x:c r="A48" s="24" t="str">
        <x:v>H-036</x:v>
      </x:c>
      <x:c r="B48" s="24" t="str">
        <x:v>P08</x:v>
      </x:c>
      <x:c r="C48" s="24" t="n">
        <x:v>23</x:v>
      </x:c>
      <x:c r="D48" s="24" t="str">
        <x:v>44</x:v>
      </x:c>
      <x:c r="E48" s="24" t="str">
        <x:v>correcta</x:v>
      </x:c>
      <x:c r="F48" s="24" t="str">
        <x:v>sí</x:v>
      </x:c>
      <x:c r="G48" s="24" t="str">
        <x:v>sí</x:v>
      </x:c>
      <x:c r="H48" s="24" t="str">
        <x:v>sí</x:v>
      </x:c>
      <x:c r="I48" s="24" t="str">
        <x:v>sí</x:v>
      </x:c>
      <x:c r="J48" s="24" t="str">
        <x:v>Cammack</x:v>
      </x:c>
      <x:c r="K48" s="24" t="n">
        <x:v>1991</x:v>
      </x:c>
      <x:c r="L48" s="25" t="str">
        <x:v>EvidenceonBiddingStrategiesandtheInformationinTreasuryBillAuctions</x:v>
      </x:c>
      <x:c r="M48" s="25" t="str"/>
      <x:c r="N48" s="25" t="str">
        <x:v>Una referencia completa; apellido, año y título concuerdan con el PDF.</x:v>
      </x:c>
      <x:c r="O48" s="25" t="str">
        <x:v>saki_research/published_papers/bigio_nuno_passadore_debt_maturity_management_liquidity_costs.pdf</x:v>
      </x:c>
    </x:row>
    <x:row r="49" ht="58" customHeight="1">
      <x:c r="A49" s="24" t="str">
        <x:v>H-037</x:v>
      </x:c>
      <x:c r="B49" s="24" t="str">
        <x:v>P08</x:v>
      </x:c>
      <x:c r="C49" s="24" t="n">
        <x:v>38</x:v>
      </x:c>
      <x:c r="D49" s="24" t="str">
        <x:v>45</x:v>
      </x:c>
      <x:c r="E49" s="24" t="str">
        <x:v>correcta</x:v>
      </x:c>
      <x:c r="F49" s="24" t="str">
        <x:v>sí</x:v>
      </x:c>
      <x:c r="G49" s="24" t="str">
        <x:v>sí</x:v>
      </x:c>
      <x:c r="H49" s="24" t="str">
        <x:v>sí</x:v>
      </x:c>
      <x:c r="I49" s="24" t="str">
        <x:v>sí</x:v>
      </x:c>
      <x:c r="J49" s="24" t="str">
        <x:v>Greenwood</x:v>
      </x:c>
      <x:c r="K49" s="24" t="n">
        <x:v>2015</x:v>
      </x:c>
      <x:c r="L49" s="25" t="str">
        <x:v>The Optimal Maturity of Government Debt</x:v>
      </x:c>
      <x:c r="M49" s="25" t="str"/>
      <x:c r="N49" s="25" t="str">
        <x:v>Una referencia completa; apellido, año y título concuerdan con el PDF.</x:v>
      </x:c>
      <x:c r="O49" s="25" t="str">
        <x:v>saki_research/published_papers/bigio_nuno_passadore_debt_maturity_management_liquidity_costs.pdf</x:v>
      </x:c>
    </x:row>
    <x:row r="50" ht="58" customHeight="1">
      <x:c r="A50" s="24" t="str">
        <x:v>H-038</x:v>
      </x:c>
      <x:c r="B50" s="24" t="str">
        <x:v>P08</x:v>
      </x:c>
      <x:c r="C50" s="24" t="n">
        <x:v>61</x:v>
      </x:c>
      <x:c r="D50" s="24" t="str">
        <x:v>47</x:v>
      </x:c>
      <x:c r="E50" s="24" t="str">
        <x:v>correcta</x:v>
      </x:c>
      <x:c r="F50" s="24" t="str">
        <x:v>sí</x:v>
      </x:c>
      <x:c r="G50" s="24" t="str">
        <x:v>sí</x:v>
      </x:c>
      <x:c r="H50" s="24" t="str">
        <x:v>sí</x:v>
      </x:c>
      <x:c r="I50" s="24" t="str">
        <x:v>sí</x:v>
      </x:c>
      <x:c r="J50" s="24" t="str">
        <x:v>Spindt</x:v>
      </x:c>
      <x:c r="K50" s="24" t="n">
        <x:v>1992</x:v>
      </x:c>
      <x:c r="L50" s="25" t="str">
        <x:v>AreUStreasurybillsunderpricedintheprimarymarket?</x:v>
      </x:c>
      <x:c r="M50" s="25" t="str"/>
      <x:c r="N50" s="25" t="str">
        <x:v>Una referencia completa; apellido, año y título concuerdan con el PDF.</x:v>
      </x:c>
      <x:c r="O50" s="25" t="str">
        <x:v>saki_research/published_papers/bigio_nuno_passadore_debt_maturity_management_liquidity_costs.pdf</x:v>
      </x:c>
    </x:row>
    <x:row r="51" ht="58" customHeight="1">
      <x:c r="A51" s="24" t="str">
        <x:v>H-039</x:v>
      </x:c>
      <x:c r="B51" s="24" t="str">
        <x:v>P09</x:v>
      </x:c>
      <x:c r="C51" s="24" t="n">
        <x:v>10</x:v>
      </x:c>
      <x:c r="D51" s="24" t="str">
        <x:v>36</x:v>
      </x:c>
      <x:c r="E51" s="24" t="str">
        <x:v>correcta</x:v>
      </x:c>
      <x:c r="F51" s="24" t="str">
        <x:v>sí</x:v>
      </x:c>
      <x:c r="G51" s="24" t="str">
        <x:v>sí</x:v>
      </x:c>
      <x:c r="H51" s="24" t="str">
        <x:v>sí</x:v>
      </x:c>
      <x:c r="I51" s="24" t="str">
        <x:v>sí</x:v>
      </x:c>
      <x:c r="J51" s="24" t="str">
        <x:v>Besanko</x:v>
      </x:c>
      <x:c r="K51" s="24" t="n">
        <x:v>1987</x:v>
      </x:c>
      <x:c r="L51" s="25" t="str">
        <x:v>CompetitiveEquilibriumintheCreditMarket underAsymmetricInformation</x:v>
      </x:c>
      <x:c r="M51" s="25" t="str"/>
      <x:c r="N51" s="25" t="str">
        <x:v>Una referencia completa; apellido, año y título concuerdan con el PDF.</x:v>
      </x:c>
      <x:c r="O51" s="25" t="str">
        <x:v>saki_research/published_papers/bigio_shi_repurchase_options_market_lemons.pdf</x:v>
      </x:c>
    </x:row>
    <x:row r="52" ht="58" customHeight="1">
      <x:c r="A52" s="24" t="str">
        <x:v>H-040</x:v>
      </x:c>
      <x:c r="B52" s="24" t="str">
        <x:v>P09</x:v>
      </x:c>
      <x:c r="C52" s="24" t="n">
        <x:v>16</x:v>
      </x:c>
      <x:c r="D52" s="24" t="str">
        <x:v>36</x:v>
      </x:c>
      <x:c r="E52" s="24" t="str">
        <x:v>correcta</x:v>
      </x:c>
      <x:c r="F52" s="24" t="str">
        <x:v>sí</x:v>
      </x:c>
      <x:c r="G52" s="24" t="str">
        <x:v>sí</x:v>
      </x:c>
      <x:c r="H52" s="24" t="str">
        <x:v>sí</x:v>
      </x:c>
      <x:c r="I52" s="24" t="str">
        <x:v>sí</x:v>
      </x:c>
      <x:c r="J52" s="24" t="str">
        <x:v>Dang</x:v>
      </x:c>
      <x:c r="K52" s="24" t="n">
        <x:v>2013</x:v>
      </x:c>
      <x:c r="L52" s="25" t="str">
        <x:v>HaircutsandRepoChains</x:v>
      </x:c>
      <x:c r="M52" s="25" t="str"/>
      <x:c r="N52" s="25" t="str">
        <x:v>Una referencia completa; apellido, año y título concuerdan con el PDF.</x:v>
      </x:c>
      <x:c r="O52" s="25" t="str">
        <x:v>saki_research/published_papers/bigio_shi_repurchase_options_market_lemons.pdf</x:v>
      </x:c>
    </x:row>
    <x:row r="53" ht="58" customHeight="1">
      <x:c r="A53" s="24" t="str">
        <x:v>H-041</x:v>
      </x:c>
      <x:c r="B53" s="24" t="str">
        <x:v>P09</x:v>
      </x:c>
      <x:c r="C53" s="24" t="n">
        <x:v>17</x:v>
      </x:c>
      <x:c r="D53" s="24" t="str">
        <x:v>36</x:v>
      </x:c>
      <x:c r="E53" s="24" t="str">
        <x:v>correcta</x:v>
      </x:c>
      <x:c r="F53" s="24" t="str">
        <x:v>sí</x:v>
      </x:c>
      <x:c r="G53" s="24" t="str">
        <x:v>sí</x:v>
      </x:c>
      <x:c r="H53" s="24" t="str">
        <x:v>sí</x:v>
      </x:c>
      <x:c r="I53" s="24" t="str">
        <x:v>sí</x:v>
      </x:c>
      <x:c r="J53" s="24" t="str">
        <x:v>Demarzo</x:v>
      </x:c>
      <x:c r="K53" s="24" t="n">
        <x:v>1999</x:v>
      </x:c>
      <x:c r="L53" s="25" t="str">
        <x:v>ALiquidity-BasedModelofSecurityDesign</x:v>
      </x:c>
      <x:c r="M53" s="25" t="str"/>
      <x:c r="N53" s="25" t="str">
        <x:v>Una referencia completa; apellido, año y título concuerdan con el PDF.</x:v>
      </x:c>
      <x:c r="O53" s="25" t="str">
        <x:v>saki_research/published_papers/bigio_shi_repurchase_options_market_lemons.pdf</x:v>
      </x:c>
    </x:row>
    <x:row r="54" ht="58" customHeight="1">
      <x:c r="A54" s="24" t="str">
        <x:v>H-042</x:v>
      </x:c>
      <x:c r="B54" s="24" t="str">
        <x:v>P09</x:v>
      </x:c>
      <x:c r="C54" s="24" t="n">
        <x:v>53</x:v>
      </x:c>
      <x:c r="D54" s="24" t="str">
        <x:v>39</x:v>
      </x:c>
      <x:c r="E54" s="24" t="str">
        <x:v>correcta</x:v>
      </x:c>
      <x:c r="F54" s="24" t="str">
        <x:v>sí</x:v>
      </x:c>
      <x:c r="G54" s="24" t="str">
        <x:v>sí</x:v>
      </x:c>
      <x:c r="H54" s="24" t="str">
        <x:v>sí</x:v>
      </x:c>
      <x:c r="I54" s="24" t="str">
        <x:v>sí</x:v>
      </x:c>
      <x:c r="J54" s="24" t="str">
        <x:v>Spence</x:v>
      </x:c>
      <x:c r="K54" s="24" t="n">
        <x:v>1978</x:v>
      </x:c>
      <x:c r="L54" s="25" t="str">
        <x:v>ProductDifferentiationandPerformanceinInsuranceMarkets</x:v>
      </x:c>
      <x:c r="M54" s="25" t="str"/>
      <x:c r="N54" s="25" t="str">
        <x:v>Una referencia completa; apellido, año y título concuerdan con el PDF.</x:v>
      </x:c>
      <x:c r="O54" s="25" t="str">
        <x:v>saki_research/published_papers/bigio_shi_repurchase_options_market_lemons.pdf</x:v>
      </x:c>
    </x:row>
    <x:row r="55" ht="58" customHeight="1">
      <x:c r="A55" s="24" t="str">
        <x:v>H-043</x:v>
      </x:c>
      <x:c r="B55" s="24" t="str">
        <x:v>P09</x:v>
      </x:c>
      <x:c r="C55" s="24" t="n">
        <x:v>54</x:v>
      </x:c>
      <x:c r="D55" s="24" t="str">
        <x:v>39</x:v>
      </x:c>
      <x:c r="E55" s="24" t="str">
        <x:v>correcta</x:v>
      </x:c>
      <x:c r="F55" s="24" t="str">
        <x:v>sí</x:v>
      </x:c>
      <x:c r="G55" s="24" t="str">
        <x:v>sí</x:v>
      </x:c>
      <x:c r="H55" s="24" t="str">
        <x:v>sí</x:v>
      </x:c>
      <x:c r="I55" s="24" t="str">
        <x:v>sí</x:v>
      </x:c>
      <x:c r="J55" s="24" t="str">
        <x:v>Stantcheva</x:v>
      </x:c>
      <x:c r="K55" s="24" t="n">
        <x:v>2014</x:v>
      </x:c>
      <x:c r="L55" s="25" t="str">
        <x:v>OptimalIncomeTaxationwithAdverseSelectionintheLabourMarket</x:v>
      </x:c>
      <x:c r="M55" s="25" t="str"/>
      <x:c r="N55" s="25" t="str">
        <x:v>Una referencia completa; apellido, año y título concuerdan con el PDF.</x:v>
      </x:c>
      <x:c r="O55" s="25" t="str">
        <x:v>saki_research/published_papers/bigio_shi_repurchase_options_market_lemons.pdf</x:v>
      </x:c>
    </x:row>
    <x:row r="56" ht="58" customHeight="1">
      <x:c r="A56" s="24" t="str">
        <x:v>H-044</x:v>
      </x:c>
      <x:c r="B56" s="24" t="str">
        <x:v>P10</x:v>
      </x:c>
      <x:c r="C56" s="24" t="n">
        <x:v>22</x:v>
      </x:c>
      <x:c r="D56" s="24" t="str">
        <x:v>44</x:v>
      </x:c>
      <x:c r="E56" s="24" t="str">
        <x:v>correcta</x:v>
      </x:c>
      <x:c r="F56" s="24" t="str">
        <x:v>sí</x:v>
      </x:c>
      <x:c r="G56" s="24" t="str">
        <x:v>sí</x:v>
      </x:c>
      <x:c r="H56" s="24" t="str">
        <x:v>sí</x:v>
      </x:c>
      <x:c r="I56" s="24" t="str">
        <x:v>sí</x:v>
      </x:c>
      <x:c r="J56" s="24" t="str">
        <x:v>Blattner</x:v>
      </x:c>
      <x:c r="K56" s="24" t="n">
        <x:v>2023</x:v>
      </x:c>
      <x:c r="L56" s="25" t="str">
        <x:v>When losses turn into loans: The cost of weak banks</x:v>
      </x:c>
      <x:c r="M56" s="25" t="str"/>
      <x:c r="N56" s="25" t="str">
        <x:v>Una referencia completa; apellido, año y título concuerdan con el PDF.</x:v>
      </x:c>
      <x:c r="O56" s="25" t="str">
        <x:v>saki_research/published_papers/begenau_bigio_majerovitz_vieyra_q_theory_banks.pdf</x:v>
      </x:c>
    </x:row>
    <x:row r="57" ht="58" customHeight="1">
      <x:c r="A57" s="24" t="str">
        <x:v>H-045</x:v>
      </x:c>
      <x:c r="B57" s="24" t="str">
        <x:v>P10</x:v>
      </x:c>
      <x:c r="C57" s="24" t="n">
        <x:v>30</x:v>
      </x:c>
      <x:c r="D57" s="24" t="str">
        <x:v>45</x:v>
      </x:c>
      <x:c r="E57" s="24" t="str">
        <x:v>correcta</x:v>
      </x:c>
      <x:c r="F57" s="24" t="str">
        <x:v>sí</x:v>
      </x:c>
      <x:c r="G57" s="24" t="str">
        <x:v>sí</x:v>
      </x:c>
      <x:c r="H57" s="24" t="str">
        <x:v>sí</x:v>
      </x:c>
      <x:c r="I57" s="24" t="str">
        <x:v>sí</x:v>
      </x:c>
      <x:c r="J57" s="24" t="str">
        <x:v>Corbae</x:v>
      </x:c>
      <x:c r="K57" s="24" t="n">
        <x:v>2018</x:v>
      </x:c>
      <x:c r="L57" s="25" t="str">
        <x:v>Competition, stability, and efficiency in financial markets</x:v>
      </x:c>
      <x:c r="M57" s="25" t="str"/>
      <x:c r="N57" s="25" t="str">
        <x:v>Una referencia completa; apellido, año y título concuerdan con el PDF.</x:v>
      </x:c>
      <x:c r="O57" s="25" t="str">
        <x:v>saki_research/published_papers/begenau_bigio_majerovitz_vieyra_q_theory_banks.pdf</x:v>
      </x:c>
    </x:row>
    <x:row r="58" ht="58" customHeight="1">
      <x:c r="A58" s="24" t="str">
        <x:v>H-046</x:v>
      </x:c>
      <x:c r="B58" s="24" t="str">
        <x:v>P10</x:v>
      </x:c>
      <x:c r="C58" s="24" t="n">
        <x:v>55</x:v>
      </x:c>
      <x:c r="D58" s="24" t="str">
        <x:v>46</x:v>
      </x:c>
      <x:c r="E58" s="24" t="str">
        <x:v>correcta</x:v>
      </x:c>
      <x:c r="F58" s="24" t="str">
        <x:v>sí</x:v>
      </x:c>
      <x:c r="G58" s="24" t="str">
        <x:v>sí</x:v>
      </x:c>
      <x:c r="H58" s="24" t="str">
        <x:v>sí</x:v>
      </x:c>
      <x:c r="I58" s="24" t="str">
        <x:v>sí</x:v>
      </x:c>
      <x:c r="J58" s="24" t="str">
        <x:v>Granja</x:v>
      </x:c>
      <x:c r="K58" s="24" t="n">
        <x:v>2023</x:v>
      </x:c>
      <x:c r="L58" s="25" t="str">
        <x:v>Current Expected Credit Losses and Consumer Loans</x:v>
      </x:c>
      <x:c r="M58" s="25" t="str"/>
      <x:c r="N58" s="25" t="str">
        <x:v>Una referencia completa; apellido, año y título concuerdan con el PDF.</x:v>
      </x:c>
      <x:c r="O58" s="25" t="str">
        <x:v>saki_research/published_papers/begenau_bigio_majerovitz_vieyra_q_theory_banks.pdf</x:v>
      </x:c>
    </x:row>
    <x:row r="59" ht="58" customHeight="1">
      <x:c r="A59" s="24" t="str">
        <x:v>H-047</x:v>
      </x:c>
      <x:c r="B59" s="24" t="str">
        <x:v>P10</x:v>
      </x:c>
      <x:c r="C59" s="24" t="n">
        <x:v>74</x:v>
      </x:c>
      <x:c r="D59" s="24" t="str">
        <x:v>47</x:v>
      </x:c>
      <x:c r="E59" s="24" t="str">
        <x:v>correcta</x:v>
      </x:c>
      <x:c r="F59" s="24" t="str">
        <x:v>sí</x:v>
      </x:c>
      <x:c r="G59" s="24" t="str">
        <x:v>sí</x:v>
      </x:c>
      <x:c r="H59" s="24" t="str">
        <x:v>sí</x:v>
      </x:c>
      <x:c r="I59" s="24" t="str">
        <x:v>sí</x:v>
      </x:c>
      <x:c r="J59" s="24" t="str">
        <x:v>Leland</x:v>
      </x:c>
      <x:c r="K59" s="24" t="n">
        <x:v>1996</x:v>
      </x:c>
      <x:c r="L59" s="25" t="str">
        <x:v>Optimal Capital Structure, Endogenous Bankruptcy, and the Term Structure of Credit Spreads</x:v>
      </x:c>
      <x:c r="M59" s="25" t="str"/>
      <x:c r="N59" s="25" t="str">
        <x:v>Una referencia completa; apellido, año y título concuerdan con el PDF.</x:v>
      </x:c>
      <x:c r="O59" s="25" t="str">
        <x:v>saki_research/published_papers/begenau_bigio_majerovitz_vieyra_q_theory_banks.pdf</x:v>
      </x:c>
    </x:row>
    <x:row r="60" ht="58" customHeight="1">
      <x:c r="A60" s="24" t="str">
        <x:v>H-048</x:v>
      </x:c>
      <x:c r="B60" s="24" t="str">
        <x:v>P11</x:v>
      </x:c>
      <x:c r="C60" s="24" t="n">
        <x:v>10</x:v>
      </x:c>
      <x:c r="D60" s="24" t="str">
        <x:v>49</x:v>
      </x:c>
      <x:c r="E60" s="24" t="str">
        <x:v>correcta</x:v>
      </x:c>
      <x:c r="F60" s="24" t="str">
        <x:v>sí</x:v>
      </x:c>
      <x:c r="G60" s="24" t="str">
        <x:v>sí</x:v>
      </x:c>
      <x:c r="H60" s="24" t="str">
        <x:v>sí</x:v>
      </x:c>
      <x:c r="I60" s="24" t="str">
        <x:v>sí</x:v>
      </x:c>
      <x:c r="J60" s="24" t="str">
        <x:v>Belo</x:v>
      </x:c>
      <x:c r="K60" s="24" t="n">
        <x:v>2023</x:v>
      </x:c>
      <x:c r="L60" s="25" t="str">
        <x:v>What drives firms’ hiring decisions? An asset pricing perspective</x:v>
      </x:c>
      <x:c r="M60" s="25" t="str"/>
      <x:c r="N60" s="25" t="str">
        <x:v>Una referencia completa; apellido, año y título concuerdan con el PDF.</x:v>
      </x:c>
      <x:c r="O60" s="25" t="str">
        <x:v>saki_research/published_papers/bigio_silva_zilberman_heterogeneous_beliefs_asset_prices_business_cycles.pdf</x:v>
      </x:c>
    </x:row>
    <x:row r="61" ht="58" customHeight="1">
      <x:c r="A61" s="24" t="str">
        <x:v>H-049</x:v>
      </x:c>
      <x:c r="B61" s="24" t="str">
        <x:v>P11</x:v>
      </x:c>
      <x:c r="C61" s="24" t="n">
        <x:v>21</x:v>
      </x:c>
      <x:c r="D61" s="24" t="str">
        <x:v>50</x:v>
      </x:c>
      <x:c r="E61" s="24" t="str">
        <x:v>correcta</x:v>
      </x:c>
      <x:c r="F61" s="24" t="str">
        <x:v>sí</x:v>
      </x:c>
      <x:c r="G61" s="24" t="str">
        <x:v>sí</x:v>
      </x:c>
      <x:c r="H61" s="24" t="str">
        <x:v>sí</x:v>
      </x:c>
      <x:c r="I61" s="24" t="str">
        <x:v>sí</x:v>
      </x:c>
      <x:c r="J61" s="24" t="str">
        <x:v>Buss</x:v>
      </x:c>
      <x:c r="K61" s="24" t="n">
        <x:v>2016</x:v>
      </x:c>
      <x:c r="L61" s="25" t="str">
        <x:v>The Intended and Unintended Consequences of Financial-market Regulations: A General-equilibrium Analysis</x:v>
      </x:c>
      <x:c r="M61" s="25" t="str"/>
      <x:c r="N61" s="25" t="str">
        <x:v>Una referencia completa; apellido, año y título concuerdan con el PDF.</x:v>
      </x:c>
      <x:c r="O61" s="25" t="str">
        <x:v>saki_research/published_papers/bigio_silva_zilberman_heterogeneous_beliefs_asset_prices_business_cycles.pdf</x:v>
      </x:c>
    </x:row>
    <x:row r="62" ht="58" customHeight="1">
      <x:c r="A62" s="24" t="str">
        <x:v>H-050</x:v>
      </x:c>
      <x:c r="B62" s="24" t="str">
        <x:v>P11</x:v>
      </x:c>
      <x:c r="C62" s="24" t="n">
        <x:v>35</x:v>
      </x:c>
      <x:c r="D62" s="24" t="str">
        <x:v>51</x:v>
      </x:c>
      <x:c r="E62" s="24" t="str">
        <x:v>correcta</x:v>
      </x:c>
      <x:c r="F62" s="24" t="str">
        <x:v>sí</x:v>
      </x:c>
      <x:c r="G62" s="24" t="str">
        <x:v>sí</x:v>
      </x:c>
      <x:c r="H62" s="24" t="str">
        <x:v>sí</x:v>
      </x:c>
      <x:c r="I62" s="24" t="str">
        <x:v>sí</x:v>
      </x:c>
      <x:c r="J62" s="24" t="str">
        <x:v>Detemple</x:v>
      </x:c>
      <x:c r="K62" s="24" t="n">
        <x:v>1994</x:v>
      </x:c>
      <x:c r="L62" s="25" t="str">
        <x:v>Intertemporal Asset Pricing with Heterogeneous Beliefs</x:v>
      </x:c>
      <x:c r="M62" s="25" t="str"/>
      <x:c r="N62" s="25" t="str">
        <x:v>Una referencia completa; apellido, año y título concuerdan con el PDF.</x:v>
      </x:c>
      <x:c r="O62" s="25" t="str">
        <x:v>saki_research/published_papers/bigio_silva_zilberman_heterogeneous_beliefs_asset_prices_business_cycles.pdf</x:v>
      </x:c>
    </x:row>
    <x:row r="63" ht="58" customHeight="1">
      <x:c r="A63" s="24" t="str">
        <x:v>H-051</x:v>
      </x:c>
      <x:c r="B63" s="24" t="str">
        <x:v>P11</x:v>
      </x:c>
      <x:c r="C63" s="24" t="n">
        <x:v>47</x:v>
      </x:c>
      <x:c r="D63" s="24" t="str">
        <x:v>52</x:v>
      </x:c>
      <x:c r="E63" s="24" t="str">
        <x:v>correcta</x:v>
      </x:c>
      <x:c r="F63" s="24" t="str">
        <x:v>sí</x:v>
      </x:c>
      <x:c r="G63" s="24" t="str">
        <x:v>sí</x:v>
      </x:c>
      <x:c r="H63" s="24" t="str">
        <x:v>sí</x:v>
      </x:c>
      <x:c r="I63" s="24" t="str">
        <x:v>sí</x:v>
      </x:c>
      <x:c r="J63" s="24" t="str">
        <x:v>Geanakoplos</x:v>
      </x:c>
      <x:c r="K63" s="24" t="n">
        <x:v>2003</x:v>
      </x:c>
      <x:c r="L63" s="25" t="str">
        <x:v>Liquidity, Default, and Crashes: Endogenous Contracts in General Equilibrium</x:v>
      </x:c>
      <x:c r="M63" s="25" t="str"/>
      <x:c r="N63" s="25" t="str">
        <x:v>Una referencia completa; apellido, año y título concuerdan con el PDF.</x:v>
      </x:c>
      <x:c r="O63" s="25" t="str">
        <x:v>saki_research/published_papers/bigio_silva_zilberman_heterogeneous_beliefs_asset_prices_business_cycles.pdf</x:v>
      </x:c>
    </x:row>
    <x:row r="64" ht="58" customHeight="1">
      <x:c r="A64" s="24" t="str">
        <x:v>H-052</x:v>
      </x:c>
      <x:c r="B64" s="24" t="str">
        <x:v>P11</x:v>
      </x:c>
      <x:c r="C64" s="24" t="n">
        <x:v>69</x:v>
      </x:c>
      <x:c r="D64" s="24" t="str">
        <x:v>53</x:v>
      </x:c>
      <x:c r="E64" s="24" t="str">
        <x:v>correcta</x:v>
      </x:c>
      <x:c r="F64" s="24" t="str">
        <x:v>sí</x:v>
      </x:c>
      <x:c r="G64" s="24" t="str">
        <x:v>sí</x:v>
      </x:c>
      <x:c r="H64" s="24" t="str">
        <x:v>sí</x:v>
      </x:c>
      <x:c r="I64" s="24" t="str">
        <x:v>sí</x:v>
      </x:c>
      <x:c r="J64" s="24" t="str">
        <x:v>Kydland</x:v>
      </x:c>
      <x:c r="K64" s="24" t="n">
        <x:v>1982</x:v>
      </x:c>
      <x:c r="L64" s="25" t="str">
        <x:v>Time to Build and Aggregate Fluctuations</x:v>
      </x:c>
      <x:c r="M64" s="25" t="str"/>
      <x:c r="N64" s="25" t="str">
        <x:v>Una referencia completa; apellido, año y título concuerdan con el PDF.</x:v>
      </x:c>
      <x:c r="O64" s="25" t="str">
        <x:v>saki_research/published_papers/bigio_silva_zilberman_heterogeneous_beliefs_asset_prices_business_cycles.pdf</x:v>
      </x:c>
    </x:row>
    <x:row r="65" ht="58" customHeight="1">
      <x:c r="A65" s="24" t="str">
        <x:v>H-053</x:v>
      </x:c>
      <x:c r="B65" s="24" t="str">
        <x:v>P11</x:v>
      </x:c>
      <x:c r="C65" s="24" t="n">
        <x:v>105</x:v>
      </x:c>
      <x:c r="D65" s="24" t="str">
        <x:v>55</x:v>
      </x:c>
      <x:c r="E65" s="24" t="str">
        <x:v>correcta</x:v>
      </x:c>
      <x:c r="F65" s="24" t="str">
        <x:v>sí</x:v>
      </x:c>
      <x:c r="G65" s="24" t="str">
        <x:v>sí</x:v>
      </x:c>
      <x:c r="H65" s="24" t="str">
        <x:v>sí</x:v>
      </x:c>
      <x:c r="I65" s="24" t="str">
        <x:v>sí</x:v>
      </x:c>
      <x:c r="J65" s="24" t="str">
        <x:v>Xiong</x:v>
      </x:c>
      <x:c r="K65" s="24" t="n">
        <x:v>2009</x:v>
      </x:c>
      <x:c r="L65" s="25" t="str">
        <x:v>HeterogeneousExpectationsandBondMarkets</x:v>
      </x:c>
      <x:c r="M65" s="25" t="str"/>
      <x:c r="N65" s="25" t="str">
        <x:v>Una referencia completa; apellido, año y título concuerdan con el PDF.</x:v>
      </x:c>
      <x:c r="O65" s="25" t="str">
        <x:v>saki_research/published_papers/bigio_silva_zilberman_heterogeneous_beliefs_asset_prices_business_cycles.pdf</x:v>
      </x:c>
    </x:row>
    <x:row r="66" ht="58" customHeight="1">
      <x:c r="A66" s="24" t="str">
        <x:v>H-054</x:v>
      </x:c>
      <x:c r="B66" s="24" t="str">
        <x:v>P12</x:v>
      </x:c>
      <x:c r="C66" s="24" t="n">
        <x:v>14</x:v>
      </x:c>
      <x:c r="D66" s="24" t="str">
        <x:v>43</x:v>
      </x:c>
      <x:c r="E66" s="24" t="str">
        <x:v>correcta</x:v>
      </x:c>
      <x:c r="F66" s="24" t="str">
        <x:v>sí</x:v>
      </x:c>
      <x:c r="G66" s="24" t="str">
        <x:v>sí</x:v>
      </x:c>
      <x:c r="H66" s="24" t="str">
        <x:v>sí</x:v>
      </x:c>
      <x:c r="I66" s="24" t="str">
        <x:v>sí</x:v>
      </x:c>
      <x:c r="J66" s="24" t="str">
        <x:v>Bianchi</x:v>
      </x:c>
      <x:c r="K66" s="24" t="n">
        <x:v>2022</x:v>
      </x:c>
      <x:c r="L66" s="25" t="str">
        <x:v>Banks,liquiditymanagement,andmonetarypolicy</x:v>
      </x:c>
      <x:c r="M66" s="25" t="str"/>
      <x:c r="N66" s="25" t="str">
        <x:v>Una referencia completa; apellido, año y título concuerdan con el PDF.</x:v>
      </x:c>
      <x:c r="O66" s="25" t="str">
        <x:v>saki_research/published_papers/bianchi_bigio_portfolio_choice_settlement_frictions_theory_endogenous_convenience_yields.pdf</x:v>
      </x:c>
    </x:row>
    <x:row r="67" ht="58" customHeight="1">
      <x:c r="A67" s="24" t="str">
        <x:v>H-055</x:v>
      </x:c>
      <x:c r="B67" s="24" t="str">
        <x:v>P12</x:v>
      </x:c>
      <x:c r="C67" s="24" t="n">
        <x:v>27</x:v>
      </x:c>
      <x:c r="D67" s="24" t="str">
        <x:v>44</x:v>
      </x:c>
      <x:c r="E67" s="24" t="str">
        <x:v>correcta</x:v>
      </x:c>
      <x:c r="F67" s="24" t="str">
        <x:v>sí</x:v>
      </x:c>
      <x:c r="G67" s="24" t="str">
        <x:v>sí</x:v>
      </x:c>
      <x:c r="H67" s="24" t="str">
        <x:v>sí</x:v>
      </x:c>
      <x:c r="I67" s="24" t="str">
        <x:v>sí</x:v>
      </x:c>
      <x:c r="J67" s="24" t="str">
        <x:v>He</x:v>
      </x:c>
      <x:c r="K67" s="24" t="n">
        <x:v>2014</x:v>
      </x:c>
      <x:c r="L67" s="25" t="str">
        <x:v>Endogenous liquidity and defaultable bonds</x:v>
      </x:c>
      <x:c r="M67" s="25" t="str"/>
      <x:c r="N67" s="25" t="str">
        <x:v>Una referencia completa; apellido, año y título concuerdan con el PDF.</x:v>
      </x:c>
      <x:c r="O67" s="25" t="str">
        <x:v>saki_research/published_papers/bianchi_bigio_portfolio_choice_settlement_frictions_theory_endogenous_convenience_yields.pdf</x:v>
      </x:c>
    </x:row>
    <x:row r="68" ht="58" customHeight="1">
      <x:c r="A68" s="24" t="str">
        <x:v>H-056</x:v>
      </x:c>
      <x:c r="B68" s="24" t="str">
        <x:v>P12</x:v>
      </x:c>
      <x:c r="C68" s="24" t="n">
        <x:v>34</x:v>
      </x:c>
      <x:c r="D68" s="24" t="str">
        <x:v>44</x:v>
      </x:c>
      <x:c r="E68" s="24" t="str">
        <x:v>correcta</x:v>
      </x:c>
      <x:c r="F68" s="24" t="str">
        <x:v>sí</x:v>
      </x:c>
      <x:c r="G68" s="24" t="str">
        <x:v>sí</x:v>
      </x:c>
      <x:c r="H68" s="24" t="str">
        <x:v>sí</x:v>
      </x:c>
      <x:c r="I68" s="24" t="str">
        <x:v>sí</x:v>
      </x:c>
      <x:c r="J68" s="24" t="str">
        <x:v>Kiyotaki</x:v>
      </x:c>
      <x:c r="K68" s="24" t="n">
        <x:v>1993</x:v>
      </x:c>
      <x:c r="L68" s="25" t="str">
        <x:v>Asearch-theoreticapproachtomonetaryeconomics</x:v>
      </x:c>
      <x:c r="M68" s="25" t="str"/>
      <x:c r="N68" s="25" t="str">
        <x:v>Una referencia completa; apellido, año y título concuerdan con el PDF.</x:v>
      </x:c>
      <x:c r="O68" s="25" t="str">
        <x:v>saki_research/published_papers/bianchi_bigio_portfolio_choice_settlement_frictions_theory_endogenous_convenience_yields.pdf</x:v>
      </x:c>
    </x:row>
    <x:row r="69" ht="58" customHeight="1">
      <x:c r="A69" s="24" t="str">
        <x:v>H-057</x:v>
      </x:c>
      <x:c r="B69" s="24" t="str">
        <x:v>P12</x:v>
      </x:c>
      <x:c r="C69" s="24" t="n">
        <x:v>40</x:v>
      </x:c>
      <x:c r="D69" s="24" t="str">
        <x:v>44</x:v>
      </x:c>
      <x:c r="E69" s="24" t="str">
        <x:v>correcta</x:v>
      </x:c>
      <x:c r="F69" s="24" t="str">
        <x:v>sí</x:v>
      </x:c>
      <x:c r="G69" s="24" t="str">
        <x:v>sí</x:v>
      </x:c>
      <x:c r="H69" s="24" t="str">
        <x:v>sí</x:v>
      </x:c>
      <x:c r="I69" s="24" t="str">
        <x:v>sí</x:v>
      </x:c>
      <x:c r="J69" s="24" t="str">
        <x:v>Lagos</x:v>
      </x:c>
      <x:c r="K69" s="24" t="n">
        <x:v>2017</x:v>
      </x:c>
      <x:c r="L69" s="25" t="str">
        <x:v>Liquidity: ANewMonetaristPerspective</x:v>
      </x:c>
      <x:c r="M69" s="25" t="str"/>
      <x:c r="N69" s="25" t="str">
        <x:v>Una referencia completa; apellido, año y título concuerdan con el PDF.</x:v>
      </x:c>
      <x:c r="O69" s="25" t="str">
        <x:v>saki_research/published_papers/bianchi_bigio_portfolio_choice_settlement_frictions_theory_endogenous_convenience_yields.pdf</x:v>
      </x:c>
    </x:row>
    <x:row r="70" ht="58" customHeight="1">
      <x:c r="A70" s="24" t="str">
        <x:v>H-058</x:v>
      </x:c>
      <x:c r="B70" s="24" t="str">
        <x:v>P12</x:v>
      </x:c>
      <x:c r="C70" s="24" t="n">
        <x:v>41</x:v>
      </x:c>
      <x:c r="D70" s="24" t="str">
        <x:v>44</x:v>
      </x:c>
      <x:c r="E70" s="24" t="str">
        <x:v>correcta</x:v>
      </x:c>
      <x:c r="F70" s="24" t="str">
        <x:v>sí</x:v>
      </x:c>
      <x:c r="G70" s="24" t="str">
        <x:v>sí</x:v>
      </x:c>
      <x:c r="H70" s="24" t="str">
        <x:v>sí</x:v>
      </x:c>
      <x:c r="I70" s="24" t="str">
        <x:v>sí</x:v>
      </x:c>
      <x:c r="J70" s="24" t="str">
        <x:v>Lenel</x:v>
      </x:c>
      <x:c r="K70" s="24" t="n">
        <x:v>2019</x:v>
      </x:c>
      <x:c r="L70" s="25" t="str">
        <x:v>Theshortratedisconnectinamonetary economy</x:v>
      </x:c>
      <x:c r="M70" s="25" t="str"/>
      <x:c r="N70" s="25" t="str">
        <x:v>Una referencia completa; apellido, año y título concuerdan con el PDF.</x:v>
      </x:c>
      <x:c r="O70" s="25" t="str">
        <x:v>saki_research/published_papers/bianchi_bigio_portfolio_choice_settlement_frictions_theory_endogenous_convenience_yields.pdf</x:v>
      </x:c>
    </x:row>
    <x:row r="71" ht="58" customHeight="1">
      <x:c r="A71" s="24" t="str">
        <x:v>H-059</x:v>
      </x:c>
      <x:c r="B71" s="24" t="str">
        <x:v>P12</x:v>
      </x:c>
      <x:c r="C71" s="24" t="n">
        <x:v>46</x:v>
      </x:c>
      <x:c r="D71" s="24" t="str">
        <x:v>45</x:v>
      </x:c>
      <x:c r="E71" s="24" t="str">
        <x:v>correcta</x:v>
      </x:c>
      <x:c r="F71" s="24" t="str">
        <x:v>sí</x:v>
      </x:c>
      <x:c r="G71" s="24" t="str">
        <x:v>sí</x:v>
      </x:c>
      <x:c r="H71" s="24" t="str">
        <x:v>sí</x:v>
      </x:c>
      <x:c r="I71" s="24" t="str">
        <x:v>sí</x:v>
      </x:c>
      <x:c r="J71" s="24" t="str">
        <x:v>Piazzesi</x:v>
      </x:c>
      <x:c r="K71" s="24" t="n">
        <x:v>2019</x:v>
      </x:c>
      <x:c r="L71" s="25" t="str">
        <x:v>MoneyandBankinginaNewKeynesianModel</x:v>
      </x:c>
      <x:c r="M71" s="25" t="str"/>
      <x:c r="N71" s="25" t="str">
        <x:v>Una referencia completa; apellido, año y título concuerdan con el PDF.</x:v>
      </x:c>
      <x:c r="O71" s="25" t="str">
        <x:v>saki_research/published_papers/bianchi_bigio_portfolio_choice_settlement_frictions_theory_endogenous_convenience_yields.pdf</x:v>
      </x:c>
    </x:row>
    <x:row r="72" ht="58" customHeight="1">
      <x:c r="A72" s="24" t="str">
        <x:v>H-060</x:v>
      </x:c>
      <x:c r="B72" s="24" t="str">
        <x:v>P13</x:v>
      </x:c>
      <x:c r="C72" s="24" t="n">
        <x:v>3</x:v>
      </x:c>
      <x:c r="D72" s="24" t="str">
        <x:v>27</x:v>
      </x:c>
      <x:c r="E72" s="24" t="str">
        <x:v>correcta</x:v>
      </x:c>
      <x:c r="F72" s="24" t="str">
        <x:v>sí</x:v>
      </x:c>
      <x:c r="G72" s="24" t="str">
        <x:v>sí</x:v>
      </x:c>
      <x:c r="H72" s="24" t="str">
        <x:v>sí</x:v>
      </x:c>
      <x:c r="I72" s="24" t="str">
        <x:v>sí</x:v>
      </x:c>
      <x:c r="J72" s="24" t="str">
        <x:v>Andersson</x:v>
      </x:c>
      <x:c r="K72" s="24" t="n">
        <x:v>2019</x:v>
      </x:c>
      <x:c r="L72" s="25" t="str">
        <x:v>Carbon taxes and CO2 emissions: Sweden as a case study</x:v>
      </x:c>
      <x:c r="M72" s="25" t="str"/>
      <x:c r="N72" s="25" t="str">
        <x:v>Una referencia completa; apellido, año y título concuerdan con el PDF.</x:v>
      </x:c>
      <x:c r="O72" s="25" t="str">
        <x:v>saki_research/published_papers/bigio_kanzig_sanchez_walsh_carbon_pricing_inequality_normative_pespective.pdf</x:v>
      </x:c>
    </x:row>
    <x:row r="73" ht="58" customHeight="1">
      <x:c r="A73" s="24" t="str">
        <x:v>H-061</x:v>
      </x:c>
      <x:c r="B73" s="24" t="str">
        <x:v>V01</x:v>
      </x:c>
      <x:c r="C73" s="24" t="n">
        <x:v>17</x:v>
      </x:c>
      <x:c r="D73" s="24" t="str">
        <x:v>21</x:v>
      </x:c>
      <x:c r="E73" s="24" t="str">
        <x:v>correcta</x:v>
      </x:c>
      <x:c r="F73" s="24" t="str">
        <x:v>sí</x:v>
      </x:c>
      <x:c r="G73" s="24" t="str">
        <x:v>sí</x:v>
      </x:c>
      <x:c r="H73" s="24" t="str">
        <x:v>sí</x:v>
      </x:c>
      <x:c r="I73" s="24" t="str">
        <x:v>sí</x:v>
      </x:c>
      <x:c r="J73" s="24" t="str">
        <x:v>Bianchi</x:v>
      </x:c>
      <x:c r="K73" s="24" t="n">
        <x:v>2026</x:v>
      </x:c>
      <x:c r="L73" s="25" t="str">
        <x:v>Portfolio Choice and Settlement Frictions: A Theory of Endogenous Convenience Yields</x:v>
      </x:c>
      <x:c r="M73" s="25" t="str"/>
      <x:c r="N73" s="25" t="str">
        <x:v>Una referencia completa; apellido, año y título concuerdan con el PDF.</x:v>
      </x:c>
      <x:c r="O73" s="25" t="str">
        <x:v>saki_research/research_vision/research_vision.pdf</x:v>
      </x:c>
    </x:row>
    <x:row r="74" ht="58" customHeight="1">
      <x:c r="A74" s="24" t="str">
        <x:v>H-062</x:v>
      </x:c>
      <x:c r="B74" s="24" t="str">
        <x:v>V01</x:v>
      </x:c>
      <x:c r="C74" s="24" t="n">
        <x:v>42</x:v>
      </x:c>
      <x:c r="D74" s="24" t="str">
        <x:v>22</x:v>
      </x:c>
      <x:c r="E74" s="24" t="str">
        <x:v>correcta</x:v>
      </x:c>
      <x:c r="F74" s="24" t="str">
        <x:v>sí</x:v>
      </x:c>
      <x:c r="G74" s="24" t="str">
        <x:v>sí</x:v>
      </x:c>
      <x:c r="H74" s="24" t="str">
        <x:v>sí</x:v>
      </x:c>
      <x:c r="I74" s="24" t="str">
        <x:v>sí</x:v>
      </x:c>
      <x:c r="J74" s="24" t="str">
        <x:v>d’Avernas</x:v>
      </x:c>
      <x:c r="K74" s="24" t="n">
        <x:v>2024</x:v>
      </x:c>
      <x:c r="L74" s="25" t="str">
        <x:v>Treasury Bill Shortages and the Pricing of Short-Term Assets</x:v>
      </x:c>
      <x:c r="M74" s="25" t="str"/>
      <x:c r="N74" s="25" t="str">
        <x:v>Una referencia completa; apellido, año y título concuerdan con el PDF.</x:v>
      </x:c>
      <x:c r="O74" s="25" t="str">
        <x:v>saki_research/research_vision/research_vision.pdf</x:v>
      </x:c>
    </x:row>
    <x:row r="75" ht="58" customHeight="1">
      <x:c r="A75" s="24" t="str">
        <x:v>H-063</x:v>
      </x:c>
      <x:c r="B75" s="24" t="str">
        <x:v>V01</x:v>
      </x:c>
      <x:c r="C75" s="24" t="n">
        <x:v>48</x:v>
      </x:c>
      <x:c r="D75" s="24" t="str">
        <x:v>22</x:v>
      </x:c>
      <x:c r="E75" s="24" t="str">
        <x:v>correcta</x:v>
      </x:c>
      <x:c r="F75" s="24" t="str">
        <x:v>sí</x:v>
      </x:c>
      <x:c r="G75" s="24" t="str">
        <x:v>sí</x:v>
      </x:c>
      <x:c r="H75" s="24" t="str">
        <x:v>sí</x:v>
      </x:c>
      <x:c r="I75" s="24" t="str">
        <x:v>sí</x:v>
      </x:c>
      <x:c r="J75" s="24" t="str">
        <x:v>Gabaix</x:v>
      </x:c>
      <x:c r="K75" s="24" t="n">
        <x:v>2015</x:v>
      </x:c>
      <x:c r="L75" s="25" t="str">
        <x:v>International Liquidity and Exchange Rate Dynamics</x:v>
      </x:c>
      <x:c r="M75" s="25" t="str"/>
      <x:c r="N75" s="25" t="str">
        <x:v>Una referencia completa; apellido, año y título concuerdan con el PDF.</x:v>
      </x:c>
      <x:c r="O75" s="25" t="str">
        <x:v>saki_research/research_vision/research_vision.pdf</x:v>
      </x:c>
    </x:row>
    <x:row r="76" ht="58" customHeight="1">
      <x:c r="A76" s="24" t="str">
        <x:v>H-064</x:v>
      </x:c>
      <x:c r="B76" s="24" t="str">
        <x:v>V01</x:v>
      </x:c>
      <x:c r="C76" s="24" t="n">
        <x:v>54</x:v>
      </x:c>
      <x:c r="D76" s="24" t="str">
        <x:v>23</x:v>
      </x:c>
      <x:c r="E76" s="24" t="str">
        <x:v>correcta</x:v>
      </x:c>
      <x:c r="F76" s="24" t="str">
        <x:v>sí</x:v>
      </x:c>
      <x:c r="G76" s="24" t="str">
        <x:v>sí</x:v>
      </x:c>
      <x:c r="H76" s="24" t="str">
        <x:v>sí</x:v>
      </x:c>
      <x:c r="I76" s="24" t="str">
        <x:v>sí</x:v>
      </x:c>
      <x:c r="J76" s="24" t="str">
        <x:v>Gorton</x:v>
      </x:c>
      <x:c r="K76" s="24" t="n">
        <x:v>1990</x:v>
      </x:c>
      <x:c r="L76" s="25" t="str">
        <x:v>Financial Intermediaries and Liquidity Creation</x:v>
      </x:c>
      <x:c r="M76" s="25" t="str"/>
      <x:c r="N76" s="25" t="str">
        <x:v>Una referencia completa; apellido, año y título concuerdan con el PDF.</x:v>
      </x:c>
      <x:c r="O76" s="25" t="str">
        <x:v>saki_research/research_vision/research_vision.pdf</x:v>
      </x:c>
    </x:row>
    <x:row r="77" ht="58" customHeight="1">
      <x:c r="A77" s="24" t="str">
        <x:v>H-065</x:v>
      </x:c>
      <x:c r="B77" s="24" t="str">
        <x:v>V01</x:v>
      </x:c>
      <x:c r="C77" s="24" t="n">
        <x:v>74</x:v>
      </x:c>
      <x:c r="D77" s="24" t="str">
        <x:v>24</x:v>
      </x:c>
      <x:c r="E77" s="24" t="str">
        <x:v>contaminada</x:v>
      </x:c>
      <x:c r="F77" s="24" t="str">
        <x:v>sí</x:v>
      </x:c>
      <x:c r="G77" s="24" t="str">
        <x:v>sí</x:v>
      </x:c>
      <x:c r="H77" s="24" t="str">
        <x:v>sí</x:v>
      </x:c>
      <x:c r="I77" s="24" t="str">
        <x:v>no</x:v>
      </x:c>
      <x:c r="J77" s="24" t="str">
        <x:v>Zetlin-Jones</x:v>
      </x:c>
      <x:c r="K77" s="24" t="n">
        <x:v>2012</x:v>
      </x:c>
      <x:c r="L77" s="25" t="str">
        <x:v>External Financing and the Role of Financial Frictions over the Business Cycle: Measurement and Theory</x:v>
      </x:c>
      <x:c r="M77" s="25" t="str"/>
      <x:c r="N77" s="25" t="str">
        <x:v>La entrada de Zetlin-Jones incorporó la tabla PAPERS &amp; WORK IN PROGRESS que sigue a la bibliografía.</x:v>
      </x:c>
      <x:c r="O77" s="25" t="str">
        <x:v>saki_research/research_vision/research_vision.pdf</x:v>
      </x:c>
    </x:row>
    <x:row r="78" ht="58" customHeight="1">
      <x:c r="A78" s="24" t="str">
        <x:v>H-066</x:v>
      </x:c>
      <x:c r="B78" s="24" t="str">
        <x:v>W02</x:v>
      </x:c>
      <x:c r="C78" s="24" t="n">
        <x:v>5</x:v>
      </x:c>
      <x:c r="D78" s="24" t="str">
        <x:v>41</x:v>
      </x:c>
      <x:c r="E78" s="24" t="str">
        <x:v>correcta</x:v>
      </x:c>
      <x:c r="F78" s="24" t="str">
        <x:v>sí</x:v>
      </x:c>
      <x:c r="G78" s="24" t="str">
        <x:v>sí</x:v>
      </x:c>
      <x:c r="H78" s="24" t="str">
        <x:v>sí</x:v>
      </x:c>
      <x:c r="I78" s="24" t="str">
        <x:v>sí</x:v>
      </x:c>
      <x:c r="J78" s="24" t="str">
        <x:v>Aiyagari</x:v>
      </x:c>
      <x:c r="K78" s="24" t="n">
        <x:v>1994</x:v>
      </x:c>
      <x:c r="L78" s="25" t="str">
        <x:v>Uninsured Idiosyncratic Risk and Aggregate Saving</x:v>
      </x:c>
      <x:c r="M78" s="25" t="str"/>
      <x:c r="N78" s="25" t="str">
        <x:v>Una referencia completa; apellido, año y título concuerdan con el PDF.</x:v>
      </x:c>
      <x:c r="O78" s="25" t="str">
        <x:v>saki_research/working_papers/bigio_sannikov_model_credit_money_interest_prices.pdf</x:v>
      </x:c>
    </x:row>
    <x:row r="79" ht="58" customHeight="1">
      <x:c r="A79" s="24" t="str">
        <x:v>H-067</x:v>
      </x:c>
      <x:c r="B79" s="24" t="str">
        <x:v>W02</x:v>
      </x:c>
      <x:c r="C79" s="24" t="n">
        <x:v>10</x:v>
      </x:c>
      <x:c r="D79" s="24" t="str">
        <x:v>41</x:v>
      </x:c>
      <x:c r="E79" s="24" t="str">
        <x:v>correcta</x:v>
      </x:c>
      <x:c r="F79" s="24" t="str">
        <x:v>sí</x:v>
      </x:c>
      <x:c r="G79" s="24" t="str">
        <x:v>sí</x:v>
      </x:c>
      <x:c r="H79" s="24" t="str">
        <x:v>sí</x:v>
      </x:c>
      <x:c r="I79" s="24" t="str">
        <x:v>sí</x:v>
      </x:c>
      <x:c r="J79" s="24" t="str">
        <x:v>Benigno</x:v>
      </x:c>
      <x:c r="K79" s="24" t="n">
        <x:v>2021</x:v>
      </x:c>
      <x:c r="L79" s="25" t="str">
        <x:v>Interest, Reserves and Prices</x:v>
      </x:c>
      <x:c r="M79" s="25" t="str"/>
      <x:c r="N79" s="25" t="str">
        <x:v>Una referencia completa; apellido, año y título concuerdan con el PDF.</x:v>
      </x:c>
      <x:c r="O79" s="25" t="str">
        <x:v>saki_research/working_papers/bigio_sannikov_model_credit_money_interest_prices.pdf</x:v>
      </x:c>
    </x:row>
    <x:row r="80" ht="58" customHeight="1">
      <x:c r="A80" s="24" t="str">
        <x:v>H-068</x:v>
      </x:c>
      <x:c r="B80" s="24" t="str">
        <x:v>W02</x:v>
      </x:c>
      <x:c r="C80" s="24" t="n">
        <x:v>39</x:v>
      </x:c>
      <x:c r="D80" s="24" t="str">
        <x:v>44</x:v>
      </x:c>
      <x:c r="E80" s="24" t="str">
        <x:v>correcta</x:v>
      </x:c>
      <x:c r="F80" s="24" t="str">
        <x:v>sí</x:v>
      </x:c>
      <x:c r="G80" s="24" t="str">
        <x:v>sí</x:v>
      </x:c>
      <x:c r="H80" s="24" t="str">
        <x:v>sí</x:v>
      </x:c>
      <x:c r="I80" s="24" t="str">
        <x:v>sí</x:v>
      </x:c>
      <x:c r="J80" s="24" t="str">
        <x:v>Hubmer</x:v>
      </x:c>
      <x:c r="K80" s="24" t="n">
        <x:v>2020</x:v>
      </x:c>
      <x:c r="L80" s="25" t="str">
        <x:v>SourcesofU.S.Wealth Inequality: Past, Present, and Future</x:v>
      </x:c>
      <x:c r="M80" s="25" t="str"/>
      <x:c r="N80" s="25" t="str">
        <x:v>Una referencia completa; apellido, año y título concuerdan con el PDF.</x:v>
      </x:c>
      <x:c r="O80" s="25" t="str">
        <x:v>saki_research/working_papers/bigio_sannikov_model_credit_money_interest_prices.pdf</x:v>
      </x:c>
    </x:row>
    <x:row r="81" ht="58" customHeight="1">
      <x:c r="A81" s="24" t="str">
        <x:v>H-069</x:v>
      </x:c>
      <x:c r="B81" s="24" t="str">
        <x:v>W02</x:v>
      </x:c>
      <x:c r="C81" s="24" t="n">
        <x:v>42</x:v>
      </x:c>
      <x:c r="D81" s="24" t="str">
        <x:v>44</x:v>
      </x:c>
      <x:c r="E81" s="24" t="str">
        <x:v>correcta</x:v>
      </x:c>
      <x:c r="F81" s="24" t="str">
        <x:v>sí</x:v>
      </x:c>
      <x:c r="G81" s="24" t="str">
        <x:v>sí</x:v>
      </x:c>
      <x:c r="H81" s="24" t="str">
        <x:v>sí</x:v>
      </x:c>
      <x:c r="I81" s="24" t="str">
        <x:v>sí</x:v>
      </x:c>
      <x:c r="J81" s="24" t="str">
        <x:v>Kashyap</x:v>
      </x:c>
      <x:c r="K81" s="24" t="n">
        <x:v>2000</x:v>
      </x:c>
      <x:c r="L81" s="25" t="str">
        <x:v>What Do a Million Observations on Banks Say about the Transmission of Monetary Policy?</x:v>
      </x:c>
      <x:c r="M81" s="25" t="str"/>
      <x:c r="N81" s="25" t="str">
        <x:v>Una referencia completa; apellido, año y título concuerdan con el PDF.</x:v>
      </x:c>
      <x:c r="O81" s="25" t="str">
        <x:v>saki_research/working_papers/bigio_sannikov_model_credit_money_interest_prices.pdf</x:v>
      </x:c>
    </x:row>
    <x:row r="82" ht="58" customHeight="1">
      <x:c r="A82" s="24" t="str">
        <x:v>H-070</x:v>
      </x:c>
      <x:c r="B82" s="24" t="str">
        <x:v>W02</x:v>
      </x:c>
      <x:c r="C82" s="24" t="n">
        <x:v>51</x:v>
      </x:c>
      <x:c r="D82" s="24" t="str">
        <x:v>45</x:v>
      </x:c>
      <x:c r="E82" s="24" t="str">
        <x:v>correcta</x:v>
      </x:c>
      <x:c r="F82" s="24" t="str">
        <x:v>sí</x:v>
      </x:c>
      <x:c r="G82" s="24" t="str">
        <x:v>sí</x:v>
      </x:c>
      <x:c r="H82" s="24" t="str">
        <x:v>sí</x:v>
      </x:c>
      <x:c r="I82" s="24" t="str">
        <x:v>sí</x:v>
      </x:c>
      <x:c r="J82" s="24" t="str">
        <x:v>Piazzesi</x:v>
      </x:c>
      <x:c r="K82" s="24" t="n">
        <x:v>2019</x:v>
      </x:c>
      <x:c r="L82" s="25" t="str">
        <x:v>Money and banking in a New Keynesian model</x:v>
      </x:c>
      <x:c r="M82" s="25" t="str"/>
      <x:c r="N82" s="25" t="str">
        <x:v>Una referencia completa; apellido, año y título concuerdan con el PDF.</x:v>
      </x:c>
      <x:c r="O82" s="25" t="str">
        <x:v>saki_research/working_papers/bigio_sannikov_model_credit_money_interest_prices.pdf</x:v>
      </x:c>
    </x:row>
    <x:row r="83" ht="58" customHeight="1">
      <x:c r="A83" s="24" t="str">
        <x:v>H-071</x:v>
      </x:c>
      <x:c r="B83" s="24" t="str">
        <x:v>W02</x:v>
      </x:c>
      <x:c r="C83" s="24" t="n">
        <x:v>58</x:v>
      </x:c>
      <x:c r="D83" s="24" t="str">
        <x:v>45</x:v>
      </x:c>
      <x:c r="E83" s="24" t="str">
        <x:v>correcta</x:v>
      </x:c>
      <x:c r="F83" s="24" t="str">
        <x:v>sí</x:v>
      </x:c>
      <x:c r="G83" s="24" t="str">
        <x:v>sí</x:v>
      </x:c>
      <x:c r="H83" s="24" t="str">
        <x:v>sí</x:v>
      </x:c>
      <x:c r="I83" s="24" t="str">
        <x:v>sí</x:v>
      </x:c>
      <x:c r="J83" s="24" t="str">
        <x:v>Ulate</x:v>
      </x:c>
      <x:c r="K83" s="24" t="n">
        <x:v>2020</x:v>
      </x:c>
      <x:c r="L83" s="25" t="str">
        <x:v>Going Negative at the Zero Lower Bound: The Effects of Negative Nominal Interest Rates</x:v>
      </x:c>
      <x:c r="M83" s="25" t="str"/>
      <x:c r="N83" s="25" t="str">
        <x:v>Una referencia completa; apellido, año y título concuerdan con el PDF.</x:v>
      </x:c>
      <x:c r="O83" s="25" t="str">
        <x:v>saki_research/working_papers/bigio_sannikov_model_credit_money_interest_prices.pdf</x:v>
      </x:c>
    </x:row>
    <x:row r="84" ht="58" customHeight="1">
      <x:c r="A84" s="24" t="str">
        <x:v>H-072</x:v>
      </x:c>
      <x:c r="B84" s="24" t="str">
        <x:v>W03</x:v>
      </x:c>
      <x:c r="C84" s="24" t="n">
        <x:v>15</x:v>
      </x:c>
      <x:c r="D84" s="24" t="str">
        <x:v>34</x:v>
      </x:c>
      <x:c r="E84" s="24" t="str">
        <x:v>correcta</x:v>
      </x:c>
      <x:c r="F84" s="24" t="str">
        <x:v>sí</x:v>
      </x:c>
      <x:c r="G84" s="24" t="str">
        <x:v>sí</x:v>
      </x:c>
      <x:c r="H84" s="24" t="str">
        <x:v>sí</x:v>
      </x:c>
      <x:c r="I84" s="24" t="str">
        <x:v>sí</x:v>
      </x:c>
      <x:c r="J84" s="24" t="str">
        <x:v>Bohorquez</x:v>
      </x:c>
      <x:c r="K84" s="24" t="n">
        <x:v>2023</x:v>
      </x:c>
      <x:c r="L84" s="25" t="str">
        <x:v>TheDollarandGlobalFinancialCollapse</x:v>
      </x:c>
      <x:c r="M84" s="25" t="str"/>
      <x:c r="N84" s="25" t="str">
        <x:v>Una referencia completa; apellido, año y título concuerdan con el PDF.</x:v>
      </x:c>
      <x:c r="O84" s="25" t="str">
        <x:v>saki_research/working_papers/bianchi_bigio_engel_scrambling_dollars_international_liquidity_banks_exchange_rate.pdf</x:v>
      </x:c>
    </x:row>
    <x:row r="85" ht="58" customHeight="1">
      <x:c r="A85" s="24" t="str">
        <x:v>H-073</x:v>
      </x:c>
      <x:c r="B85" s="24" t="str">
        <x:v>W04</x:v>
      </x:c>
      <x:c r="C85" s="24" t="n">
        <x:v>13</x:v>
      </x:c>
      <x:c r="D85" s="24" t="str">
        <x:v>44</x:v>
      </x:c>
      <x:c r="E85" s="24" t="str">
        <x:v>correcta</x:v>
      </x:c>
      <x:c r="F85" s="24" t="str">
        <x:v>sí</x:v>
      </x:c>
      <x:c r="G85" s="24" t="str">
        <x:v>sí</x:v>
      </x:c>
      <x:c r="H85" s="24" t="str">
        <x:v>sí</x:v>
      </x:c>
      <x:c r="I85" s="24" t="str">
        <x:v>sí</x:v>
      </x:c>
      <x:c r="J85" s="24" t="str">
        <x:v>Blanchard</x:v>
      </x:c>
      <x:c r="K85" s="24" t="n">
        <x:v>2023</x:v>
      </x:c>
      <x:c r="L85" s="25" t="str">
        <x:v>What Caused the US Pandemic-Era Inflation?</x:v>
      </x:c>
      <x:c r="M85" s="25" t="str"/>
      <x:c r="N85" s="25" t="str">
        <x:v>Una referencia completa; apellido, año y título concuerdan con el PDF.</x:v>
      </x:c>
      <x:c r="O85" s="25" t="str">
        <x:v>saki_research/working_papers/bigio_caramp_silva_sticky_inflation_monetary_policy_debt_drags_inflation_expectations.pdf</x:v>
      </x:c>
    </x:row>
    <x:row r="86" ht="58" customHeight="1">
      <x:c r="A86" s="24" t="str">
        <x:v>H-074</x:v>
      </x:c>
      <x:c r="B86" s="24" t="str">
        <x:v>W04</x:v>
      </x:c>
      <x:c r="C86" s="24" t="n">
        <x:v>14</x:v>
      </x:c>
      <x:c r="D86" s="24" t="str">
        <x:v>44</x:v>
      </x:c>
      <x:c r="E86" s="24" t="str">
        <x:v>correcta</x:v>
      </x:c>
      <x:c r="F86" s="24" t="str">
        <x:v>sí</x:v>
      </x:c>
      <x:c r="G86" s="24" t="str">
        <x:v>sí</x:v>
      </x:c>
      <x:c r="H86" s="24" t="str">
        <x:v>sí</x:v>
      </x:c>
      <x:c r="I86" s="24" t="str">
        <x:v>sí</x:v>
      </x:c>
      <x:c r="J86" s="24" t="str">
        <x:v>Bocola</x:v>
      </x:c>
      <x:c r="K86" s="24" t="n">
        <x:v>2024</x:v>
      </x:c>
      <x:c r="L86" s="25" t="str">
        <x:v>Bond market views of the fed</x:v>
      </x:c>
      <x:c r="M86" s="25" t="str"/>
      <x:c r="N86" s="25" t="str">
        <x:v>Una referencia completa; apellido, año y título concuerdan con el PDF.</x:v>
      </x:c>
      <x:c r="O86" s="25" t="str">
        <x:v>saki_research/working_papers/bigio_caramp_silva_sticky_inflation_monetary_policy_debt_drags_inflation_expectations.pdf</x:v>
      </x:c>
    </x:row>
    <x:row r="87" ht="58" customHeight="1">
      <x:c r="A87" s="24" t="str">
        <x:v>H-075</x:v>
      </x:c>
      <x:c r="B87" s="24" t="str">
        <x:v>W04</x:v>
      </x:c>
      <x:c r="C87" s="24" t="n">
        <x:v>19</x:v>
      </x:c>
      <x:c r="D87" s="24" t="str">
        <x:v>44</x:v>
      </x:c>
      <x:c r="E87" s="24" t="str">
        <x:v>correcta</x:v>
      </x:c>
      <x:c r="F87" s="24" t="str">
        <x:v>sí</x:v>
      </x:c>
      <x:c r="G87" s="24" t="str">
        <x:v>sí</x:v>
      </x:c>
      <x:c r="H87" s="24" t="str">
        <x:v>sí</x:v>
      </x:c>
      <x:c r="I87" s="24" t="str">
        <x:v>sí</x:v>
      </x:c>
      <x:c r="J87" s="24" t="str">
        <x:v>Chung</x:v>
      </x:c>
      <x:c r="K87" s="24" t="n">
        <x:v>2007</x:v>
      </x:c>
      <x:c r="L87" s="25" t="str">
        <x:v>Monetary and fiscal policy switching</x:v>
      </x:c>
      <x:c r="M87" s="25" t="str"/>
      <x:c r="N87" s="25" t="str">
        <x:v>Una referencia completa; apellido, año y título concuerdan con el PDF.</x:v>
      </x:c>
      <x:c r="O87" s="25" t="str">
        <x:v>saki_research/working_papers/bigio_caramp_silva_sticky_inflation_monetary_policy_debt_drags_inflation_expectations.pdf</x:v>
      </x:c>
    </x:row>
    <x:row r="88" ht="58" customHeight="1">
      <x:c r="A88" s="24" t="str">
        <x:v>H-076</x:v>
      </x:c>
      <x:c r="B88" s="24" t="str">
        <x:v>W04</x:v>
      </x:c>
      <x:c r="C88" s="24" t="n">
        <x:v>28</x:v>
      </x:c>
      <x:c r="D88" s="24" t="str">
        <x:v>45</x:v>
      </x:c>
      <x:c r="E88" s="24" t="str">
        <x:v>correcta</x:v>
      </x:c>
      <x:c r="F88" s="24" t="str">
        <x:v>sí</x:v>
      </x:c>
      <x:c r="G88" s="24" t="str">
        <x:v>sí</x:v>
      </x:c>
      <x:c r="H88" s="24" t="str">
        <x:v>sí</x:v>
      </x:c>
      <x:c r="I88" s="24" t="str">
        <x:v>sí</x:v>
      </x:c>
      <x:c r="J88" s="24" t="str">
        <x:v>Gagliardone</x:v>
      </x:c>
      <x:c r="K88" s="24" t="n">
        <x:v>2023</x:v>
      </x:c>
      <x:c r="L88" s="25" t="str">
        <x:v>Oil Prices, Monetary Policy and Inflation Surges</x:v>
      </x:c>
      <x:c r="M88" s="25" t="str"/>
      <x:c r="N88" s="25" t="str">
        <x:v>Una referencia completa; apellido, año y título concuerdan con el PDF.</x:v>
      </x:c>
      <x:c r="O88" s="25" t="str">
        <x:v>saki_research/working_papers/bigio_caramp_silva_sticky_inflation_monetary_policy_debt_drags_inflation_expectations.pdf</x:v>
      </x:c>
    </x:row>
    <x:row r="89" ht="58" customHeight="1">
      <x:c r="A89" s="24" t="str">
        <x:v>H-077</x:v>
      </x:c>
      <x:c r="B89" s="24" t="str">
        <x:v>W04</x:v>
      </x:c>
      <x:c r="C89" s="24" t="n">
        <x:v>38</x:v>
      </x:c>
      <x:c r="D89" s="24" t="str">
        <x:v>46</x:v>
      </x:c>
      <x:c r="E89" s="24" t="str">
        <x:v>correcta</x:v>
      </x:c>
      <x:c r="F89" s="24" t="str">
        <x:v>sí</x:v>
      </x:c>
      <x:c r="G89" s="24" t="str">
        <x:v>sí</x:v>
      </x:c>
      <x:c r="H89" s="24" t="str">
        <x:v>sí</x:v>
      </x:c>
      <x:c r="I89" s="24" t="str">
        <x:v>sí</x:v>
      </x:c>
      <x:c r="J89" s="24" t="str">
        <x:v>Hazell</x:v>
      </x:c>
      <x:c r="K89" s="24" t="n">
        <x:v>2024</x:v>
      </x:c>
      <x:c r="L89" s="25" t="str">
        <x:v>Do Deficits Cause Inflation?, A High Frequency Narrative Approach</x:v>
      </x:c>
      <x:c r="M89" s="25" t="str"/>
      <x:c r="N89" s="25" t="str">
        <x:v>Una referencia completa; apellido, año y título concuerdan con el PDF.</x:v>
      </x:c>
      <x:c r="O89" s="25" t="str">
        <x:v>saki_research/working_papers/bigio_caramp_silva_sticky_inflation_monetary_policy_debt_drags_inflation_expectations.pdf</x:v>
      </x:c>
    </x:row>
    <x:row r="90" ht="58" customHeight="1">
      <x:c r="A90" s="24" t="str">
        <x:v>H-078</x:v>
      </x:c>
      <x:c r="B90" s="24" t="str">
        <x:v>W04</x:v>
      </x:c>
      <x:c r="C90" s="24" t="n">
        <x:v>39</x:v>
      </x:c>
      <x:c r="D90" s="24" t="str">
        <x:v>46</x:v>
      </x:c>
      <x:c r="E90" s="24" t="str">
        <x:v>correcta</x:v>
      </x:c>
      <x:c r="F90" s="24" t="str">
        <x:v>sí</x:v>
      </x:c>
      <x:c r="G90" s="24" t="str">
        <x:v>sí</x:v>
      </x:c>
      <x:c r="H90" s="24" t="str">
        <x:v>sí</x:v>
      </x:c>
      <x:c r="I90" s="24" t="str">
        <x:v>sí</x:v>
      </x:c>
      <x:c r="J90" s="24" t="str">
        <x:v>Hazell</x:v>
      </x:c>
      <x:c r="K90" s="24" t="n">
        <x:v>2022</x:v>
      </x:c>
      <x:c r="L90" s="25" t="str">
        <x:v>The slope of the Phillips Curve: evidencefrom USstates</x:v>
      </x:c>
      <x:c r="M90" s="25" t="str"/>
      <x:c r="N90" s="25" t="str">
        <x:v>Una referencia completa; apellido, año y título concuerdan con el PDF.</x:v>
      </x:c>
      <x:c r="O90" s="25" t="str">
        <x:v>saki_research/working_papers/bigio_caramp_silva_sticky_inflation_monetary_policy_debt_drags_inflation_expectations.pdf</x:v>
      </x:c>
    </x:row>
    <x:row r="91" ht="58" customHeight="1">
      <x:c r="A91" s="24" t="str">
        <x:v>H-079</x:v>
      </x:c>
      <x:c r="B91" s="24" t="str">
        <x:v>W04</x:v>
      </x:c>
      <x:c r="C91" s="24" t="n">
        <x:v>52</x:v>
      </x:c>
      <x:c r="D91" s="24" t="str">
        <x:v>47</x:v>
      </x:c>
      <x:c r="E91" s="24" t="str">
        <x:v>correcta</x:v>
      </x:c>
      <x:c r="F91" s="24" t="str">
        <x:v>sí</x:v>
      </x:c>
      <x:c r="G91" s="24" t="str">
        <x:v>sí</x:v>
      </x:c>
      <x:c r="H91" s="24" t="str">
        <x:v>sí</x:v>
      </x:c>
      <x:c r="I91" s="24" t="str">
        <x:v>sí</x:v>
      </x:c>
      <x:c r="J91" s="24" t="str">
        <x:v>Michaillat</x:v>
      </x:c>
      <x:c r="K91" s="24" t="n">
        <x:v>2024</x:v>
      </x:c>
      <x:c r="L91" s="25" t="str">
        <x:v>MoenMeetsRotemberg: AnEarthlyModelofthe Divine Coincidence</x:v>
      </x:c>
      <x:c r="M91" s="25" t="str"/>
      <x:c r="N91" s="25" t="str">
        <x:v>Una referencia completa; apellido, año y título concuerdan con el PDF.</x:v>
      </x:c>
      <x:c r="O91" s="25" t="str">
        <x:v>saki_research/working_papers/bigio_caramp_silva_sticky_inflation_monetary_policy_debt_drags_inflation_expectations.pdf</x:v>
      </x:c>
    </x:row>
    <x:row r="92" ht="58" customHeight="1">
      <x:c r="A92" s="24" t="str">
        <x:v>H-080</x:v>
      </x:c>
      <x:c r="B92" s="24" t="str">
        <x:v>W05</x:v>
      </x:c>
      <x:c r="C92" s="24" t="n">
        <x:v>1</x:v>
      </x:c>
      <x:c r="D92" s="24" t="str">
        <x:v>35</x:v>
      </x:c>
      <x:c r="E92" s="24" t="str">
        <x:v>correcta</x:v>
      </x:c>
      <x:c r="F92" s="24" t="str">
        <x:v>sí</x:v>
      </x:c>
      <x:c r="G92" s="24" t="str">
        <x:v>sí</x:v>
      </x:c>
      <x:c r="H92" s="24" t="str">
        <x:v>sí</x:v>
      </x:c>
      <x:c r="I92" s="24" t="str">
        <x:v>sí</x:v>
      </x:c>
      <x:c r="J92" s="24" t="str">
        <x:v>Aguiar</x:v>
      </x:c>
      <x:c r="K92" s="24" t="n">
        <x:v>2006</x:v>
      </x:c>
      <x:c r="L92" s="25" t="str">
        <x:v>Defaultable debt, interest rates and the current account</x:v>
      </x:c>
      <x:c r="M92" s="25" t="str"/>
      <x:c r="N92" s="25" t="str">
        <x:v>Una referencia completa; apellido, año y título concuerdan con el PDF.</x:v>
      </x:c>
      <x:c r="O92" s="25" t="str">
        <x:v>saki_research/working_papers/bigio_nuno_decomposing_optimal_debt_maturity.pdf</x:v>
      </x:c>
    </x:row>
    <x:row r="93" ht="58" customHeight="1">
      <x:c r="A93" s="24" t="str">
        <x:v>H-081</x:v>
      </x:c>
      <x:c r="B93" s="24" t="str">
        <x:v>W05</x:v>
      </x:c>
      <x:c r="C93" s="24" t="n">
        <x:v>35</x:v>
      </x:c>
      <x:c r="D93" s="24" t="str">
        <x:v>38</x:v>
      </x:c>
      <x:c r="E93" s="24" t="str">
        <x:v>correcta</x:v>
      </x:c>
      <x:c r="F93" s="24" t="str">
        <x:v>sí</x:v>
      </x:c>
      <x:c r="G93" s="24" t="str">
        <x:v>sí</x:v>
      </x:c>
      <x:c r="H93" s="24" t="str">
        <x:v>sí</x:v>
      </x:c>
      <x:c r="I93" s="24" t="str">
        <x:v>sí</x:v>
      </x:c>
      <x:c r="J93" s="24" t="str">
        <x:v>Krishnamurthy</x:v>
      </x:c>
      <x:c r="K93" s="24" t="n">
        <x:v>2012</x:v>
      </x:c>
      <x:c r="L93" s="25" t="str">
        <x:v>The aggregate demand for treasury debt</x:v>
      </x:c>
      <x:c r="M93" s="25" t="str"/>
      <x:c r="N93" s="25" t="str">
        <x:v>Una referencia completa; apellido, año y título concuerdan con el PDF.</x:v>
      </x:c>
      <x:c r="O93" s="25" t="str">
        <x:v>saki_research/working_papers/bigio_nuno_decomposing_optimal_debt_maturity.pdf</x:v>
      </x:c>
    </x:row>
    <x:row r="94" ht="58" customHeight="1">
      <x:c r="A94" s="24" t="str">
        <x:v>H-082</x:v>
      </x:c>
      <x:c r="B94" s="24" t="str">
        <x:v>W06</x:v>
      </x:c>
      <x:c r="C94" s="24" t="n">
        <x:v>3</x:v>
      </x:c>
      <x:c r="D94" s="24" t="str">
        <x:v>25</x:v>
      </x:c>
      <x:c r="E94" s="24" t="str">
        <x:v>correcta</x:v>
      </x:c>
      <x:c r="F94" s="24" t="str">
        <x:v>sí</x:v>
      </x:c>
      <x:c r="G94" s="24" t="str">
        <x:v>sí</x:v>
      </x:c>
      <x:c r="H94" s="24" t="str">
        <x:v>sí</x:v>
      </x:c>
      <x:c r="I94" s="24" t="str">
        <x:v>sí</x:v>
      </x:c>
      <x:c r="J94" s="24" t="str">
        <x:v>Barro</x:v>
      </x:c>
      <x:c r="K94" s="24" t="n">
        <x:v>2020</x:v>
      </x:c>
      <x:c r="L94" s="25" t="str">
        <x:v>The coronavirus and the great influenza pandemic: Lessonsfromthe“spanishflu"forthecoronavirus’spotentialeffectsonmortalityandeconomicactivity</x:v>
      </x:c>
      <x:c r="M94" s="25" t="str"/>
      <x:c r="N94" s="25" t="str">
        <x:v>Una referencia completa; apellido, año y título concuerdan con el PDF.</x:v>
      </x:c>
      <x:c r="O94" s="25" t="str">
        <x:v>saki_research/working_papers/bigio_zhang_zilberman_transfers_credit_policy_macroeconomic_policy_trade_offs_during_covid_19.pdf</x:v>
      </x:c>
    </x:row>
    <x:row r="95" ht="58" customHeight="1">
      <x:c r="A95" s="24" t="str">
        <x:v>H-083</x:v>
      </x:c>
      <x:c r="B95" s="24" t="str">
        <x:v>W06</x:v>
      </x:c>
      <x:c r="C95" s="24" t="n">
        <x:v>21</x:v>
      </x:c>
      <x:c r="D95" s="24" t="str">
        <x:v>26</x:v>
      </x:c>
      <x:c r="E95" s="24" t="str">
        <x:v>correcta</x:v>
      </x:c>
      <x:c r="F95" s="24" t="str">
        <x:v>sí</x:v>
      </x:c>
      <x:c r="G95" s="24" t="str">
        <x:v>sí</x:v>
      </x:c>
      <x:c r="H95" s="24" t="str">
        <x:v>sí</x:v>
      </x:c>
      <x:c r="I95" s="24" t="str">
        <x:v>sí</x:v>
      </x:c>
      <x:c r="J95" s="24" t="str">
        <x:v>Werning</x:v>
      </x:c>
      <x:c r="K95" s="24" t="n">
        <x:v>2015</x:v>
      </x:c>
      <x:c r="L95" s="25" t="str">
        <x:v>Incomplete Markets and Aggregate Demand</x:v>
      </x:c>
      <x:c r="M95" s="25" t="str"/>
      <x:c r="N95" s="25" t="str">
        <x:v>Una referencia completa; apellido, año y título concuerdan con el PDF.</x:v>
      </x:c>
      <x:c r="O95" s="25" t="str">
        <x:v>saki_research/working_papers/bigio_zhang_zilberman_transfers_credit_policy_macroeconomic_policy_trade_offs_during_covid_19.pdf</x:v>
      </x:c>
    </x:row>
    <x:row r="96" ht="58" customHeight="1">
      <x:c r="A96" s="24" t="str">
        <x:v>H-084</x:v>
      </x:c>
      <x:c r="B96" s="24" t="str">
        <x:v>W07</x:v>
      </x:c>
      <x:c r="C96" s="24" t="n">
        <x:v>2</x:v>
      </x:c>
      <x:c r="D96" s="24" t="str">
        <x:v>41</x:v>
      </x:c>
      <x:c r="E96" s="24" t="str">
        <x:v>correcta</x:v>
      </x:c>
      <x:c r="F96" s="24" t="str">
        <x:v>no</x:v>
      </x:c>
      <x:c r="G96" s="24" t="str">
        <x:v>sí</x:v>
      </x:c>
      <x:c r="H96" s="24" t="str">
        <x:v>sí</x:v>
      </x:c>
      <x:c r="I96" s="24" t="str">
        <x:v>no</x:v>
      </x:c>
      <x:c r="J96" s="24" t="str">
        <x:v>DomenicoGiannone</x:v>
      </x:c>
      <x:c r="K96" s="24" t="n">
        <x:v>2023</x:v>
      </x:c>
      <x:c r="L96" s="25" t="str">
        <x:v>Scarce,Abundant, or Ample? A Time-Varying Model of the Reserve Demand Curve</x:v>
      </x:c>
      <x:c r="M96" s="25" t="str">
        <x:v>surname: Giannone</x:v>
      </x:c>
      <x:c r="N96" s="25" t="str">
        <x:v>El campo conserva nombre y apellido concatenados; el apellido inicial es Giannone.</x:v>
      </x:c>
      <x:c r="O96" s="25" t="str">
        <x:v>saki_research/working_papers/bigio_d_erasmo_yepez_monetary_policy_implementation_regimes_reserve_demand_us.pdf</x:v>
      </x:c>
    </x:row>
    <x:row r="97" ht="58" customHeight="1">
      <x:c r="A97" s="24" t="str">
        <x:v>H-085</x:v>
      </x:c>
      <x:c r="B97" s="24" t="str">
        <x:v>W07</x:v>
      </x:c>
      <x:c r="C97" s="24" t="n">
        <x:v>6</x:v>
      </x:c>
      <x:c r="D97" s="24" t="str">
        <x:v>41</x:v>
      </x:c>
      <x:c r="E97" s="24" t="str">
        <x:v>correcta</x:v>
      </x:c>
      <x:c r="F97" s="24" t="str">
        <x:v>sí</x:v>
      </x:c>
      <x:c r="G97" s="24" t="str">
        <x:v>sí</x:v>
      </x:c>
      <x:c r="H97" s="24" t="str">
        <x:v>sí</x:v>
      </x:c>
      <x:c r="I97" s="24" t="str">
        <x:v>sí</x:v>
      </x:c>
      <x:c r="J97" s="24" t="str">
        <x:v>Baumol</x:v>
      </x:c>
      <x:c r="K97" s="24" t="n">
        <x:v>1952</x:v>
      </x:c>
      <x:c r="L97" s="25" t="str">
        <x:v>The Transactions Demand for Cash: An Inventory Theoretic Approach</x:v>
      </x:c>
      <x:c r="M97" s="25" t="str"/>
      <x:c r="N97" s="25" t="str">
        <x:v>Una referencia completa; apellido, año y título concuerdan con el PDF.</x:v>
      </x:c>
      <x:c r="O97" s="25" t="str">
        <x:v>saki_research/working_papers/bigio_d_erasmo_yepez_monetary_policy_implementation_regimes_reserve_demand_us.pdf</x:v>
      </x:c>
    </x:row>
    <x:row r="98" ht="58" customHeight="1">
      <x:c r="A98" s="24" t="str">
        <x:v>H-086</x:v>
      </x:c>
      <x:c r="B98" s="24" t="str">
        <x:v>W07</x:v>
      </x:c>
      <x:c r="C98" s="24" t="n">
        <x:v>20</x:v>
      </x:c>
      <x:c r="D98" s="24" t="str">
        <x:v>42</x:v>
      </x:c>
      <x:c r="E98" s="24" t="str">
        <x:v>correcta</x:v>
      </x:c>
      <x:c r="F98" s="24" t="str">
        <x:v>sí</x:v>
      </x:c>
      <x:c r="G98" s="24" t="str">
        <x:v>sí</x:v>
      </x:c>
      <x:c r="H98" s="24" t="str">
        <x:v>sí</x:v>
      </x:c>
      <x:c r="I98" s="24" t="str">
        <x:v>sí</x:v>
      </x:c>
      <x:c r="J98" s="24" t="str">
        <x:v>Gordon</x:v>
      </x:c>
      <x:c r="K98" s="24" t="n">
        <x:v>1994</x:v>
      </x:c>
      <x:c r="L98" s="25" t="str">
        <x:v>The Dynamic Impacts of Monetary Policy: An Exercise in Tentative Identification</x:v>
      </x:c>
      <x:c r="M98" s="25" t="str"/>
      <x:c r="N98" s="25" t="str">
        <x:v>Una referencia completa; apellido, año y título concuerdan con el PDF.</x:v>
      </x:c>
      <x:c r="O98" s="25" t="str">
        <x:v>saki_research/working_papers/bigio_d_erasmo_yepez_monetary_policy_implementation_regimes_reserve_demand_us.pdf</x:v>
      </x:c>
    </x:row>
    <x:row r="99" ht="58" customHeight="1">
      <x:c r="A99" s="24" t="str">
        <x:v>H-087</x:v>
      </x:c>
      <x:c r="B99" s="24" t="str">
        <x:v>W07</x:v>
      </x:c>
      <x:c r="C99" s="24" t="n">
        <x:v>25</x:v>
      </x:c>
      <x:c r="D99" s="24" t="str">
        <x:v>42</x:v>
      </x:c>
      <x:c r="E99" s="24" t="str">
        <x:v>correcta</x:v>
      </x:c>
      <x:c r="F99" s="24" t="str">
        <x:v>sí</x:v>
      </x:c>
      <x:c r="G99" s="24" t="str">
        <x:v>sí</x:v>
      </x:c>
      <x:c r="H99" s="24" t="str">
        <x:v>sí</x:v>
      </x:c>
      <x:c r="I99" s="24" t="str">
        <x:v>sí</x:v>
      </x:c>
      <x:c r="J99" s="24" t="str">
        <x:v>Ireland</x:v>
      </x:c>
      <x:c r="K99" s="24" t="n">
        <x:v>2009</x:v>
      </x:c>
      <x:c r="L99" s="25" t="str">
        <x:v>On the Welfare Cost of Inflation and the Recent Behavior of Money Demand</x:v>
      </x:c>
      <x:c r="M99" s="25" t="str"/>
      <x:c r="N99" s="25" t="str">
        <x:v>Una referencia completa; apellido, año y título concuerdan con el PDF.</x:v>
      </x:c>
      <x:c r="O99" s="25" t="str">
        <x:v>saki_research/working_papers/bigio_d_erasmo_yepez_monetary_policy_implementation_regimes_reserve_demand_us.pdf</x:v>
      </x:c>
    </x:row>
    <x:row r="100" ht="58" customHeight="1">
      <x:c r="A100" s="24" t="str">
        <x:v>H-088</x:v>
      </x:c>
      <x:c r="B100" s="24" t="str">
        <x:v>W08</x:v>
      </x:c>
      <x:c r="C100" s="24" t="n">
        <x:v>45</x:v>
      </x:c>
      <x:c r="D100" s="24" t="str">
        <x:v>53</x:v>
      </x:c>
      <x:c r="E100" s="24" t="str">
        <x:v>correcta</x:v>
      </x:c>
      <x:c r="F100" s="24" t="str">
        <x:v>sí</x:v>
      </x:c>
      <x:c r="G100" s="24" t="str">
        <x:v>sí</x:v>
      </x:c>
      <x:c r="H100" s="24" t="str">
        <x:v>sí</x:v>
      </x:c>
      <x:c r="I100" s="24" t="str">
        <x:v>sí</x:v>
      </x:c>
      <x:c r="J100" s="24" t="str">
        <x:v>Shi</x:v>
      </x:c>
      <x:c r="K100" s="24" t="n">
        <x:v>1997</x:v>
      </x:c>
      <x:c r="L100" s="25" t="str">
        <x:v>A Divisible Search Model of Fiat Money</x:v>
      </x:c>
      <x:c r="M100" s="25" t="str"/>
      <x:c r="N100" s="25" t="str">
        <x:v>Una referencia completa; apellido, año y título concuerdan con el PDF.</x:v>
      </x:c>
      <x:c r="O100" s="25" t="str">
        <x:v>saki_research/working_papers/bigio_mendez_patten_theory_payments_chain_crises.pdf</x:v>
      </x:c>
    </x:row>
    <x:row r="101" ht="58" customHeight="1">
      <x:c r="A101" s="24" t="str">
        <x:v>H-089</x:v>
      </x:c>
      <x:c r="B101" s="24" t="str">
        <x:v>W09</x:v>
      </x:c>
      <x:c r="C101" s="24" t="n">
        <x:v>12</x:v>
      </x:c>
      <x:c r="D101" s="24" t="str">
        <x:v>37</x:v>
      </x:c>
      <x:c r="E101" s="24" t="str">
        <x:v>correcta</x:v>
      </x:c>
      <x:c r="F101" s="24" t="str">
        <x:v>sí</x:v>
      </x:c>
      <x:c r="G101" s="24" t="str">
        <x:v>sí</x:v>
      </x:c>
      <x:c r="H101" s="24" t="str">
        <x:v>sí</x:v>
      </x:c>
      <x:c r="I101" s="24" t="str">
        <x:v>sí</x:v>
      </x:c>
      <x:c r="J101" s="24" t="str">
        <x:v>Clerc</x:v>
      </x:c>
      <x:c r="K101" s="24" t="n">
        <x:v>2015</x:v>
      </x:c>
      <x:c r="L101" s="25" t="str">
        <x:v>Capital regulation in a macroeconomic model with three layers of default</x:v>
      </x:c>
      <x:c r="M101" s="25" t="str"/>
      <x:c r="N101" s="25" t="str">
        <x:v>Una referencia completa; apellido, año y título concuerdan con el PDF.</x:v>
      </x:c>
      <x:c r="O101" s="25" t="str">
        <x:v>saki_research/working_papers/abad_bigio_garcia_villegas_marbet_nuno_heterogeneous_bank_lending_channel_monetary_policy.pdf</x:v>
      </x:c>
    </x:row>
    <x:row r="102" ht="58" customHeight="1">
      <x:c r="A102" s="24" t="str">
        <x:v>H-090</x:v>
      </x:c>
      <x:c r="B102" s="24" t="str">
        <x:v>W09</x:v>
      </x:c>
      <x:c r="C102" s="24" t="n">
        <x:v>23</x:v>
      </x:c>
      <x:c r="D102" s="24" t="str">
        <x:v>37</x:v>
      </x:c>
      <x:c r="E102" s="24" t="str">
        <x:v>correcta</x:v>
      </x:c>
      <x:c r="F102" s="24" t="str">
        <x:v>sí</x:v>
      </x:c>
      <x:c r="G102" s="24" t="str">
        <x:v>sí</x:v>
      </x:c>
      <x:c r="H102" s="24" t="str">
        <x:v>sí</x:v>
      </x:c>
      <x:c r="I102" s="24" t="str">
        <x:v>sí</x:v>
      </x:c>
      <x:c r="J102" s="24" t="str">
        <x:v>Gertler</x:v>
      </x:c>
      <x:c r="K102" s="24" t="n">
        <x:v>2011</x:v>
      </x:c>
      <x:c r="L102" s="25" t="str">
        <x:v>A model of unconventional monetary policy</x:v>
      </x:c>
      <x:c r="M102" s="25" t="str"/>
      <x:c r="N102" s="25" t="str">
        <x:v>Una referencia completa; apellido, año y título concuerdan con el PDF.</x:v>
      </x:c>
      <x:c r="O102" s="25" t="str">
        <x:v>saki_research/working_papers/abad_bigio_garcia_villegas_marbet_nuno_heterogeneous_bank_lending_channel_monetary_policy.pdf</x:v>
      </x:c>
    </x:row>
    <x:row r="103" ht="58" customHeight="1">
      <x:c r="A103" s="24" t="str">
        <x:v>H-091</x:v>
      </x:c>
      <x:c r="B103" s="24" t="str">
        <x:v>W09</x:v>
      </x:c>
      <x:c r="C103" s="24" t="n">
        <x:v>30</x:v>
      </x:c>
      <x:c r="D103" s="24" t="str">
        <x:v>38</x:v>
      </x:c>
      <x:c r="E103" s="24" t="str">
        <x:v>correcta</x:v>
      </x:c>
      <x:c r="F103" s="24" t="str">
        <x:v>sí</x:v>
      </x:c>
      <x:c r="G103" s="24" t="str">
        <x:v>sí</x:v>
      </x:c>
      <x:c r="H103" s="24" t="str">
        <x:v>sí</x:v>
      </x:c>
      <x:c r="I103" s="24" t="str">
        <x:v>sí</x:v>
      </x:c>
      <x:c r="J103" s="24" t="str">
        <x:v>Jamilov</x:v>
      </x:c>
      <x:c r="K103" s="24" t="n">
        <x:v>2025</x:v>
      </x:c>
      <x:c r="L103" s="25" t="str">
        <x:v>Bewley banks</x:v>
      </x:c>
      <x:c r="M103" s="25" t="str"/>
      <x:c r="N103" s="25" t="str">
        <x:v>Una referencia completa; apellido, año y título concuerdan con el PDF.</x:v>
      </x:c>
      <x:c r="O103" s="25" t="str">
        <x:v>saki_research/working_papers/abad_bigio_garcia_villegas_marbet_nuno_heterogeneous_bank_lending_channel_monetary_policy.pdf</x:v>
      </x:c>
    </x:row>
    <x:row r="104" ht="58" customHeight="1">
      <x:c r="A104" s="24" t="str">
        <x:v>H-092</x:v>
      </x:c>
      <x:c r="B104" s="24" t="str">
        <x:v>W09</x:v>
      </x:c>
      <x:c r="C104" s="24" t="n">
        <x:v>31</x:v>
      </x:c>
      <x:c r="D104" s="24" t="str">
        <x:v>38</x:v>
      </x:c>
      <x:c r="E104" s="24" t="str">
        <x:v>correcta</x:v>
      </x:c>
      <x:c r="F104" s="24" t="str">
        <x:v>no</x:v>
      </x:c>
      <x:c r="G104" s="24" t="str">
        <x:v>sí</x:v>
      </x:c>
      <x:c r="H104" s="24" t="str">
        <x:v>sí</x:v>
      </x:c>
      <x:c r="I104" s="24" t="str">
        <x:v>no</x:v>
      </x:c>
      <x:c r="J104" s="24" t="str">
        <x:v>Jaroci</x:v>
      </x:c>
      <x:c r="K104" s="24" t="n">
        <x:v>2020</x:v>
      </x:c>
      <x:c r="L104" s="25" t="str">
        <x:v>Deconstructingmonetarypolicysurprises—therole of information shocks</x:v>
      </x:c>
      <x:c r="M104" s="25" t="str">
        <x:v>surname: Jarociński</x:v>
      </x:c>
      <x:c r="N104" s="25" t="str">
        <x:v>El campo quedó truncado por la marca diacrítica separada del PDF.</x:v>
      </x:c>
      <x:c r="O104" s="25" t="str">
        <x:v>saki_research/working_papers/abad_bigio_garcia_villegas_marbet_nuno_heterogeneous_bank_lending_channel_monetary_policy.pdf</x:v>
      </x:c>
    </x:row>
    <x:row r="105" ht="58" customHeight="1">
      <x:c r="A105" s="24" t="str">
        <x:v>H-093</x:v>
      </x:c>
      <x:c r="B105" s="24" t="str">
        <x:v>W10</x:v>
      </x:c>
      <x:c r="C105" s="24" t="n">
        <x:v>8</x:v>
      </x:c>
      <x:c r="D105" s="24" t="str">
        <x:v>19</x:v>
      </x:c>
      <x:c r="E105" s="24" t="str">
        <x:v>correcta</x:v>
      </x:c>
      <x:c r="F105" s="24" t="str">
        <x:v>sí</x:v>
      </x:c>
      <x:c r="G105" s="24" t="str">
        <x:v>sí</x:v>
      </x:c>
      <x:c r="H105" s="24" t="str">
        <x:v>sí</x:v>
      </x:c>
      <x:c r="I105" s="24" t="str">
        <x:v>sí</x:v>
      </x:c>
      <x:c r="J105" s="24" t="str">
        <x:v>Carlstrom</x:v>
      </x:c>
      <x:c r="K105" s="24" t="n">
        <x:v>2005</x:v>
      </x:c>
      <x:c r="L105" s="25" t="str">
        <x:v>Investment and interest rate policy: a discrete time analysis</x:v>
      </x:c>
      <x:c r="M105" s="25" t="str"/>
      <x:c r="N105" s="25" t="str">
        <x:v>Una referencia completa; apellido, año y título concuerdan con el PDF.</x:v>
      </x:c>
      <x:c r="O105" s="25" t="str">
        <x:v>saki_research/working_papers/bigio_ishide_new_keynesian_economics_through_extensive_margin.pdf</x:v>
      </x:c>
    </x:row>
    <x:row r="106" ht="58" customHeight="1">
      <x:c r="A106" s="24" t="str">
        <x:v>H-094</x:v>
      </x:c>
      <x:c r="B106" s="24" t="str">
        <x:v>W10</x:v>
      </x:c>
      <x:c r="C106" s="24" t="n">
        <x:v>15</x:v>
      </x:c>
      <x:c r="D106" s="24" t="str">
        <x:v>20</x:v>
      </x:c>
      <x:c r="E106" s="24" t="str">
        <x:v>correcta</x:v>
      </x:c>
      <x:c r="F106" s="24" t="str">
        <x:v>sí</x:v>
      </x:c>
      <x:c r="G106" s="24" t="str">
        <x:v>sí</x:v>
      </x:c>
      <x:c r="H106" s="24" t="str">
        <x:v>sí</x:v>
      </x:c>
      <x:c r="I106" s="24" t="str">
        <x:v>sí</x:v>
      </x:c>
      <x:c r="J106" s="24" t="str">
        <x:v>Mankiw</x:v>
      </x:c>
      <x:c r="K106" s="24" t="n">
        <x:v>2002</x:v>
      </x:c>
      <x:c r="L106" s="25" t="str">
        <x:v>Sticky information versus sticky prices: a proposal to replace the New Keynesian Phillips curve</x:v>
      </x:c>
      <x:c r="M106" s="25" t="str"/>
      <x:c r="N106" s="25" t="str">
        <x:v>Una referencia completa; apellido, año y título concuerdan con el PDF.</x:v>
      </x:c>
      <x:c r="O106" s="25" t="str">
        <x:v>saki_research/working_papers/bigio_ishide_new_keynesian_economics_through_extensive_margin.pdf</x:v>
      </x:c>
    </x:row>
    <x:row r="107" ht="58" customHeight="1">
      <x:c r="A107" s="24" t="str">
        <x:v>H-095</x:v>
      </x:c>
      <x:c r="B107" s="24" t="str">
        <x:v>W10</x:v>
      </x:c>
      <x:c r="C107" s="24" t="n">
        <x:v>16</x:v>
      </x:c>
      <x:c r="D107" s="24" t="str">
        <x:v>20</x:v>
      </x:c>
      <x:c r="E107" s="24" t="str">
        <x:v>correcta</x:v>
      </x:c>
      <x:c r="F107" s="24" t="str">
        <x:v>sí</x:v>
      </x:c>
      <x:c r="G107" s="24" t="str">
        <x:v>sí</x:v>
      </x:c>
      <x:c r="H107" s="24" t="str">
        <x:v>sí</x:v>
      </x:c>
      <x:c r="I107" s="24" t="str">
        <x:v>sí</x:v>
      </x:c>
      <x:c r="J107" s="24" t="str">
        <x:v>Mankiw</x:v>
      </x:c>
      <x:c r="K107" s="24" t="n">
        <x:v>2007</x:v>
      </x:c>
      <x:c r="L107" s="25" t="str">
        <x:v>Sticky information in general equilibrium</x:v>
      </x:c>
      <x:c r="M107" s="25" t="str"/>
      <x:c r="N107" s="25" t="str">
        <x:v>Una referencia completa; apellido, año y título concuerdan con el PDF.</x:v>
      </x:c>
      <x:c r="O107" s="25" t="str">
        <x:v>saki_research/working_papers/bigio_ishide_new_keynesian_economics_through_extensive_margin.pdf</x:v>
      </x:c>
    </x:row>
    <x:row r="108" ht="58" customHeight="1">
      <x:c r="A108" s="24" t="str">
        <x:v>H-096</x:v>
      </x:c>
      <x:c r="B108" s="24" t="str">
        <x:v>W10</x:v>
      </x:c>
      <x:c r="C108" s="24" t="n">
        <x:v>22</x:v>
      </x:c>
      <x:c r="D108" s="24" t="str">
        <x:v>20</x:v>
      </x:c>
      <x:c r="E108" s="24" t="str">
        <x:v>correcta</x:v>
      </x:c>
      <x:c r="F108" s="24" t="str">
        <x:v>sí</x:v>
      </x:c>
      <x:c r="G108" s="24" t="str">
        <x:v>sí</x:v>
      </x:c>
      <x:c r="H108" s="24" t="str">
        <x:v>sí</x:v>
      </x:c>
      <x:c r="I108" s="24" t="str">
        <x:v>sí</x:v>
      </x:c>
      <x:c r="J108" s="24" t="str">
        <x:v>Rupert</x:v>
      </x:c>
      <x:c r="K108" s="24" t="n">
        <x:v>2019</x:v>
      </x:c>
      <x:c r="L108" s="25" t="str">
        <x:v>On the mechanics of New-Keynesian models</x:v>
      </x:c>
      <x:c r="M108" s="25" t="str"/>
      <x:c r="N108" s="25" t="str">
        <x:v>Una referencia completa; apellido, año y título concuerdan con el PDF.</x:v>
      </x:c>
      <x:c r="O108" s="25" t="str">
        <x:v>saki_research/working_papers/bigio_ishide_new_keynesian_economics_through_extensive_margin.pdf</x:v>
      </x:c>
    </x:row>
    <x:row r="109" ht="58" customHeight="1">
      <x:c r="A109" s="24" t="str">
        <x:v>H-097</x:v>
      </x:c>
      <x:c r="B109" s="24" t="str">
        <x:v>W11</x:v>
      </x:c>
      <x:c r="C109" s="24" t="n">
        <x:v>1</x:v>
      </x:c>
      <x:c r="D109" s="24" t="str">
        <x:v>54</x:v>
      </x:c>
      <x:c r="E109" s="24" t="str">
        <x:v>correcta</x:v>
      </x:c>
      <x:c r="F109" s="24" t="str">
        <x:v>sí</x:v>
      </x:c>
      <x:c r="G109" s="24" t="str">
        <x:v>sí</x:v>
      </x:c>
      <x:c r="H109" s="24" t="str">
        <x:v>sí</x:v>
      </x:c>
      <x:c r="I109" s="24" t="str">
        <x:v>sí</x:v>
      </x:c>
      <x:c r="J109" s="24" t="str">
        <x:v>Afonso</x:v>
      </x:c>
      <x:c r="K109" s="24" t="n">
        <x:v>2015</x:v>
      </x:c>
      <x:c r="L109" s="25" t="str">
        <x:v>Trade Dynamics in the Market for Federal Funds</x:v>
      </x:c>
      <x:c r="M109" s="25" t="str"/>
      <x:c r="N109" s="25" t="str">
        <x:v>Una referencia completa; apellido, año y título concuerdan con el PDF.</x:v>
      </x:c>
      <x:c r="O109" s="25" t="str">
        <x:v>saki_research/working_papers/bigio_castillo_han_dollar_liquidity_flows_soe.pdf</x:v>
      </x:c>
    </x:row>
    <x:row r="110" ht="58" customHeight="1">
      <x:c r="A110" s="24" t="str">
        <x:v>H-098</x:v>
      </x:c>
      <x:c r="B110" s="24" t="str">
        <x:v>W11</x:v>
      </x:c>
      <x:c r="C110" s="24" t="n">
        <x:v>7</x:v>
      </x:c>
      <x:c r="D110" s="24" t="str">
        <x:v>54</x:v>
      </x:c>
      <x:c r="E110" s="24" t="str">
        <x:v>correcta</x:v>
      </x:c>
      <x:c r="F110" s="24" t="str">
        <x:v>sí</x:v>
      </x:c>
      <x:c r="G110" s="24" t="str">
        <x:v>sí</x:v>
      </x:c>
      <x:c r="H110" s="24" t="str">
        <x:v>sí</x:v>
      </x:c>
      <x:c r="I110" s="24" t="str">
        <x:v>sí</x:v>
      </x:c>
      <x:c r="J110" s="24" t="str">
        <x:v>Bianchi</x:v>
      </x:c>
      <x:c r="K110" s="24" t="n">
        <x:v>2024</x:v>
      </x:c>
      <x:c r="L110" s="25" t="str">
        <x:v>Scrambling for Dollars: International Liquidity, Banks and Exchange Rates</x:v>
      </x:c>
      <x:c r="M110" s="25" t="str"/>
      <x:c r="N110" s="25" t="str">
        <x:v>Una referencia completa; apellido, año y título concuerdan con el PDF.</x:v>
      </x:c>
      <x:c r="O110" s="25" t="str">
        <x:v>saki_research/working_papers/bigio_castillo_han_dollar_liquidity_flows_soe.pdf</x:v>
      </x:c>
    </x:row>
    <x:row r="111" ht="58" customHeight="1">
      <x:c r="A111" s="24" t="str">
        <x:v>H-099</x:v>
      </x:c>
      <x:c r="B111" s="24" t="str">
        <x:v>W11</x:v>
      </x:c>
      <x:c r="C111" s="24" t="n">
        <x:v>8</x:v>
      </x:c>
      <x:c r="D111" s="24" t="str">
        <x:v>54</x:v>
      </x:c>
      <x:c r="E111" s="24" t="str">
        <x:v>correcta</x:v>
      </x:c>
      <x:c r="F111" s="24" t="str">
        <x:v>sí</x:v>
      </x:c>
      <x:c r="G111" s="24" t="str">
        <x:v>sí</x:v>
      </x:c>
      <x:c r="H111" s="24" t="str">
        <x:v>sí</x:v>
      </x:c>
      <x:c r="I111" s="24" t="str">
        <x:v>sí</x:v>
      </x:c>
      <x:c r="J111" s="24" t="str">
        <x:v>Cavallino</x:v>
      </x:c>
      <x:c r="K111" s="24" t="n">
        <x:v>2019</x:v>
      </x:c>
      <x:c r="L111" s="25" t="str">
        <x:v>CapitalFlowsandForeignExchangeIntervention</x:v>
      </x:c>
      <x:c r="M111" s="25" t="str"/>
      <x:c r="N111" s="25" t="str">
        <x:v>Una referencia completa; apellido, año y título concuerdan con el PDF.</x:v>
      </x:c>
      <x:c r="O111" s="25" t="str">
        <x:v>saki_research/working_papers/bigio_castillo_han_dollar_liquidity_flows_soe.pdf</x:v>
      </x:c>
    </x:row>
    <x:row r="112" ht="58" customHeight="1">
      <x:c r="A112" s="24" t="str">
        <x:v>H-100</x:v>
      </x:c>
      <x:c r="B112" s="24" t="str">
        <x:v>W11</x:v>
      </x:c>
      <x:c r="C112" s="24" t="n">
        <x:v>14</x:v>
      </x:c>
      <x:c r="D112" s="24" t="str">
        <x:v>54-55</x:v>
      </x:c>
      <x:c r="E112" s="24" t="str">
        <x:v>correcta</x:v>
      </x:c>
      <x:c r="F112" s="24" t="str">
        <x:v>sí</x:v>
      </x:c>
      <x:c r="G112" s="24" t="str">
        <x:v>sí</x:v>
      </x:c>
      <x:c r="H112" s="24" t="str">
        <x:v>sí</x:v>
      </x:c>
      <x:c r="I112" s="24" t="str">
        <x:v>sí</x:v>
      </x:c>
      <x:c r="J112" s="24" t="str">
        <x:v>Du</x:v>
      </x:c>
      <x:c r="K112" s="24" t="n">
        <x:v>2018</x:v>
      </x:c>
      <x:c r="L112" s="25" t="str">
        <x:v>The U.S. Treasury Premium</x:v>
      </x:c>
      <x:c r="M112" s="25" t="str"/>
      <x:c r="N112" s="25" t="str">
        <x:v>Una referencia completa; apellido, año y título concuerdan con el PDF.</x:v>
      </x:c>
      <x:c r="O112" s="25" t="str">
        <x:v>saki_research/working_papers/bigio_castillo_han_dollar_liquidity_flows_soe.pdf</x:v>
      </x:c>
    </x:row>
    <x:row r="113">
      <x:c r="A113" s="23"/>
      <x:c r="B113" s="23"/>
      <x:c r="C113" s="23"/>
      <x:c r="D113" s="23"/>
      <x:c r="E113" s="23"/>
      <x:c r="F113" s="23"/>
      <x:c r="G113" s="23"/>
      <x:c r="H113" s="23"/>
      <x:c r="I113" s="23"/>
      <x:c r="J113" s="23"/>
      <x:c r="K113" s="23"/>
      <x:c r="L113" s="23"/>
      <x:c r="M113" s="23"/>
      <x:c r="N113" s="23"/>
      <x:c r="O113" s="23"/>
    </x:row>
    <x:row r="114">
      <x:c r="A114" s="23"/>
      <x:c r="B114" s="23"/>
      <x:c r="C114" s="23"/>
      <x:c r="D114" s="23"/>
      <x:c r="E114" s="23"/>
      <x:c r="F114" s="23"/>
      <x:c r="G114" s="23"/>
      <x:c r="H114" s="23"/>
      <x:c r="I114" s="23"/>
      <x:c r="J114" s="23"/>
      <x:c r="K114" s="23"/>
      <x:c r="L114" s="23"/>
      <x:c r="M114" s="23"/>
      <x:c r="N114" s="23"/>
      <x:c r="O114" s="23"/>
    </x:row>
    <x:row r="115">
      <x:c r="A115" s="23"/>
      <x:c r="B115" s="23"/>
      <x:c r="C115" s="23"/>
      <x:c r="D115" s="23"/>
      <x:c r="E115" s="23"/>
      <x:c r="F115" s="23"/>
      <x:c r="G115" s="23"/>
      <x:c r="H115" s="23"/>
      <x:c r="I115" s="23"/>
      <x:c r="J115" s="23"/>
      <x:c r="K115" s="23"/>
      <x:c r="L115" s="23"/>
      <x:c r="M115" s="23"/>
      <x:c r="N115" s="23"/>
      <x:c r="O115" s="23"/>
    </x:row>
  </x:sheetData>
  <x:conditionalFormatting sqref="E13:E112">
    <x:cfRule type="containsText" dxfId="14" priority="1" operator="containsText" text="contaminada"/>
    <x:cfRule type="containsText" dxfId="17" priority="3" operator="containsText" text="contaminada"/>
  </x:conditionalFormatting>
  <x:conditionalFormatting sqref="F13:I112">
    <x:cfRule type="containsText" dxfId="15" priority="2" operator="containsText" text="no"/>
    <x:cfRule type="containsText" dxfId="18" priority="4" operator="containsText" text="no"/>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pane ySplit="12" topLeftCell="A13" activePane="bottomLeft" state="frozen"/>
    </x:sheetView>
  </x:sheetViews>
  <x:sheetFormatPr defaultRowHeight="15"/>
  <x:cols>
    <x:col min="1" max="1" width="30" hidden="0" customWidth="1"/>
    <x:col min="2" max="2" width="14" hidden="0" customWidth="1"/>
    <x:col min="3" max="3" width="9" hidden="0" customWidth="1"/>
    <x:col min="4" max="4" width="28" hidden="0" customWidth="1"/>
    <x:col min="5" max="5" width="18" hidden="0" customWidth="1"/>
    <x:col min="6" max="6" width="17" hidden="0" customWidth="1"/>
    <x:col min="7" max="7" width="15" hidden="0" customWidth="1"/>
    <x:col min="8" max="8" width="17" hidden="0" customWidth="1"/>
    <x:col min="9" max="9" width="22" hidden="0" customWidth="1"/>
    <x:col min="10" max="10" width="14" hidden="0" customWidth="1"/>
    <x:col min="11" max="11" width="22" hidden="0" customWidth="1"/>
    <x:col min="12" max="12" width="11" hidden="0" customWidth="1"/>
    <x:col min="13" max="13" width="68" hidden="0" customWidth="1"/>
    <x:col min="14" max="14" width="75" hidden="0" customWidth="1"/>
    <x:col min="15" max="15" width="90" hidden="0" customWidth="1"/>
    <x:col min="16" max="16" width="110" hidden="0" customWidth="1"/>
    <x:col min="17" max="17" width="145" hidden="0" customWidth="1"/>
  </x:cols>
  <x:sheetData>
    <x:row r="1">
      <x:c r="A1" s="43" t="str">
        <x:v>Tercera muestra independiente de referencias</x:v>
      </x:c>
      <x:c r="B1" s="23"/>
      <x:c r="C1" s="23"/>
      <x:c r="D1" s="23"/>
      <x:c r="E1" s="23"/>
      <x:c r="F1" s="23"/>
      <x:c r="G1" s="23"/>
      <x:c r="H1" s="23"/>
      <x:c r="I1" s="23"/>
      <x:c r="J1" s="23"/>
      <x:c r="K1" s="23"/>
      <x:c r="L1" s="23"/>
      <x:c r="M1" s="23"/>
      <x:c r="N1" s="23"/>
      <x:c r="O1" s="23"/>
      <x:c r="P1" s="23"/>
      <x:c r="Q1" s="23"/>
    </x:row>
    <x:row r="2">
      <x:c r="A2" s="23" t="str">
        <x:v>100 filas nuevas; excluye las 200 revisadas en los controles de desarrollo y reserva. Semilla 20260919.</x:v>
      </x:c>
      <x:c r="B2" s="23"/>
      <x:c r="C2" s="23"/>
      <x:c r="D2" s="23"/>
      <x:c r="E2" s="23"/>
      <x:c r="F2" s="23"/>
      <x:c r="G2" s="23"/>
      <x:c r="H2" s="23"/>
      <x:c r="I2" s="23"/>
      <x:c r="J2" s="23"/>
      <x:c r="K2" s="23"/>
      <x:c r="L2" s="23"/>
      <x:c r="M2" s="23"/>
      <x:c r="N2" s="23"/>
      <x:c r="O2" s="23"/>
      <x:c r="P2" s="23"/>
      <x:c r="Q2" s="23"/>
    </x:row>
    <x:row r="3">
      <x:c r="A3" s="23" t="str">
        <x:v>Revisión asistida por Codex contra las páginas fuente; no sustituye una auditoría humana externa.</x:v>
      </x:c>
      <x:c r="B3" s="23"/>
      <x:c r="C3" s="23"/>
      <x:c r="D3" s="23"/>
      <x:c r="E3" s="23"/>
      <x:c r="F3" s="23"/>
      <x:c r="G3" s="23"/>
      <x:c r="H3" s="23"/>
      <x:c r="I3" s="23"/>
      <x:c r="J3" s="23"/>
      <x:c r="K3" s="23"/>
      <x:c r="L3" s="23"/>
      <x:c r="M3" s="23"/>
      <x:c r="N3" s="23"/>
      <x:c r="O3" s="23"/>
      <x:c r="P3" s="23"/>
      <x:c r="Q3" s="23"/>
    </x:row>
    <x:row r="4">
      <x:c r="A4" s="23"/>
      <x:c r="B4" s="23"/>
      <x:c r="C4" s="23"/>
      <x:c r="D4" s="23"/>
      <x:c r="E4" s="23"/>
      <x:c r="F4" s="23"/>
      <x:c r="G4" s="23"/>
      <x:c r="H4" s="23"/>
      <x:c r="I4" s="23"/>
      <x:c r="J4" s="23"/>
      <x:c r="K4" s="23"/>
      <x:c r="L4" s="23"/>
      <x:c r="M4" s="23"/>
      <x:c r="N4" s="23"/>
      <x:c r="O4" s="23"/>
      <x:c r="P4" s="23"/>
      <x:c r="Q4" s="23"/>
    </x:row>
    <x:row r="5">
      <x:c r="A5" s="23" t="str">
        <x:v>Segmentación correcta</x:v>
      </x:c>
      <x:c r="B5" s="23" t="n">
        <x:f>COUNTIF(E13:E112,"correcta")</x:f>
        <x:v>100</x:v>
      </x:c>
      <x:c r="C5" s="23"/>
      <x:c r="D5" s="23" t="str">
        <x:v>Títulos incorrectos</x:v>
      </x:c>
      <x:c r="E5" s="23" t="n">
        <x:v>2</x:v>
      </x:c>
      <x:c r="F5" s="23"/>
      <x:c r="G5" s="23"/>
      <x:c r="H5" s="23"/>
      <x:c r="I5" s="23"/>
      <x:c r="J5" s="23"/>
      <x:c r="K5" s="23"/>
      <x:c r="L5" s="23"/>
      <x:c r="M5" s="23"/>
      <x:c r="N5" s="23"/>
      <x:c r="O5" s="23"/>
      <x:c r="P5" s="23"/>
      <x:c r="Q5" s="23"/>
    </x:row>
    <x:row r="6">
      <x:c r="A6" s="23" t="str">
        <x:v>Apellido y año correctos</x:v>
      </x:c>
      <x:c r="B6" s="23" t="n">
        <x:f>COUNTIFS(F13:F112,"sí",G13:G112,"sí")</x:f>
        <x:v>100</x:v>
      </x:c>
      <x:c r="C6" s="23"/>
      <x:c r="D6" s="23" t="str">
        <x:v>Filas previamente revisadas</x:v>
      </x:c>
      <x:c r="E6" s="23" t="n">
        <x:v>200</x:v>
      </x:c>
      <x:c r="F6" s="23"/>
      <x:c r="G6" s="23"/>
      <x:c r="H6" s="23"/>
      <x:c r="I6" s="23"/>
      <x:c r="J6" s="23"/>
      <x:c r="K6" s="23"/>
      <x:c r="L6" s="23"/>
      <x:c r="M6" s="23"/>
      <x:c r="N6" s="23"/>
      <x:c r="O6" s="23"/>
      <x:c r="P6" s="23"/>
      <x:c r="Q6" s="23"/>
    </x:row>
    <x:row r="7">
      <x:c r="A7" s="23" t="str">
        <x:v>Título utilizable antes</x:v>
      </x:c>
      <x:c r="B7" s="23" t="n">
        <x:f>COUNTIF(I13:I112,"sí")</x:f>
        <x:v>98</x:v>
      </x:c>
      <x:c r="C7" s="23"/>
      <x:c r="D7" s="23" t="str">
        <x:v>Población elegible</x:v>
      </x:c>
      <x:c r="E7" s="23" t="n">
        <x:v>1216</x:v>
      </x:c>
      <x:c r="F7" s="23"/>
      <x:c r="G7" s="23"/>
      <x:c r="H7" s="23"/>
      <x:c r="I7" s="23"/>
      <x:c r="J7" s="23"/>
      <x:c r="K7" s="23"/>
      <x:c r="L7" s="23"/>
      <x:c r="M7" s="23"/>
      <x:c r="N7" s="23"/>
      <x:c r="O7" s="23"/>
      <x:c r="P7" s="23"/>
      <x:c r="Q7" s="23"/>
    </x:row>
    <x:row r="8">
      <x:c r="A8" s="23" t="str">
        <x:v>Casos luego remediados</x:v>
      </x:c>
      <x:c r="B8" s="23" t="n">
        <x:f>COUNTIF(J13:J112,"sí")</x:f>
        <x:v>100</x:v>
      </x:c>
      <x:c r="C8" s="23"/>
      <x:c r="D8" s="23" t="str">
        <x:v>Umbral operativo</x:v>
      </x:c>
      <x:c r="E8" s="44" t="n">
        <x:v>0.95</x:v>
      </x:c>
      <x:c r="F8" s="23"/>
      <x:c r="G8" s="23"/>
      <x:c r="H8" s="23"/>
      <x:c r="I8" s="23"/>
      <x:c r="J8" s="23"/>
      <x:c r="K8" s="23"/>
      <x:c r="L8" s="23"/>
      <x:c r="M8" s="23"/>
      <x:c r="N8" s="23"/>
      <x:c r="O8" s="23"/>
      <x:c r="P8" s="23"/>
      <x:c r="Q8" s="23"/>
    </x:row>
    <x:row r="9">
      <x:c r="A9" s="23" t="str">
        <x:v>Tasa previa de ficha utilizable</x:v>
      </x:c>
      <x:c r="B9" s="33" t="n">
        <x:f>B7/COUNTA(A13:A112)</x:f>
        <x:v>0.98</x:v>
      </x:c>
      <x:c r="C9" s="23"/>
      <x:c r="D9" s="23" t="str">
        <x:v>Redes habilitadas</x:v>
      </x:c>
      <x:c r="E9" s="23" t="str">
        <x:v>no</x:v>
      </x:c>
      <x:c r="F9" s="23"/>
      <x:c r="G9" s="23"/>
      <x:c r="H9" s="23"/>
      <x:c r="I9" s="23"/>
      <x:c r="J9" s="23"/>
      <x:c r="K9" s="23"/>
      <x:c r="L9" s="23"/>
      <x:c r="M9" s="23"/>
      <x:c r="N9" s="23"/>
      <x:c r="O9" s="23"/>
      <x:c r="P9" s="23"/>
      <x:c r="Q9" s="23"/>
    </x:row>
    <x:row r="10">
      <x:c r="A10" s="23"/>
      <x:c r="B10" s="23"/>
      <x:c r="C10" s="23"/>
      <x:c r="D10" s="23"/>
      <x:c r="E10" s="23"/>
      <x:c r="F10" s="23"/>
      <x:c r="G10" s="23"/>
      <x:c r="H10" s="23"/>
      <x:c r="I10" s="23"/>
      <x:c r="J10" s="23"/>
      <x:c r="K10" s="23"/>
      <x:c r="L10" s="23"/>
      <x:c r="M10" s="23"/>
      <x:c r="N10" s="23"/>
      <x:c r="O10" s="23"/>
      <x:c r="P10" s="23"/>
      <x:c r="Q10" s="23"/>
    </x:row>
    <x:row r="11">
      <x:c r="A11" s="23" t="str">
        <x:v>La estimación previa fue 98/100; los dos títulos defectuosos fueron corregidos y los 100 casos pasan la regresión. La regresión no es una cuarta muestra.</x:v>
      </x:c>
      <x:c r="B11" s="23"/>
      <x:c r="C11" s="23"/>
      <x:c r="D11" s="23"/>
      <x:c r="E11" s="23"/>
      <x:c r="F11" s="23"/>
      <x:c r="G11" s="23"/>
      <x:c r="H11" s="23"/>
      <x:c r="I11" s="23"/>
      <x:c r="J11" s="23"/>
      <x:c r="K11" s="23"/>
      <x:c r="L11" s="23"/>
      <x:c r="M11" s="23"/>
      <x:c r="N11" s="23"/>
      <x:c r="O11" s="23"/>
      <x:c r="P11" s="23"/>
      <x:c r="Q11" s="23"/>
    </x:row>
    <x:row r="12" ht="32" customHeight="1">
      <x:c r="A12" s="81" t="str">
        <x:v>Caso</x:v>
      </x:c>
      <x:c r="B12" s="81" t="str">
        <x:v>Documento</x:v>
      </x:c>
      <x:c r="C12" s="81" t="str">
        <x:v>Índice</x:v>
      </x:c>
      <x:c r="D12" s="81" t="str">
        <x:v>Página PDF</x:v>
      </x:c>
      <x:c r="E12" s="81" t="str">
        <x:v>Segmentación</x:v>
      </x:c>
      <x:c r="F12" s="81" t="str">
        <x:v>Apellido correcto</x:v>
      </x:c>
      <x:c r="G12" s="81" t="str">
        <x:v>Año correcto</x:v>
      </x:c>
      <x:c r="H12" s="81" t="str">
        <x:v>Título correcto</x:v>
      </x:c>
      <x:c r="I12" s="81" t="str">
        <x:v>Ficha utilizable antes</x:v>
      </x:c>
      <x:c r="J12" s="81" t="str">
        <x:v>Remediada</x:v>
      </x:c>
      <x:c r="K12" s="81" t="str">
        <x:v>Apellido</x:v>
      </x:c>
      <x:c r="L12" s="81" t="str">
        <x:v>Año</x:v>
      </x:c>
      <x:c r="M12" s="81" t="str">
        <x:v>Título extraído</x:v>
      </x:c>
      <x:c r="N12" s="81" t="str">
        <x:v>Corrección</x:v>
      </x:c>
      <x:c r="O12" s="81" t="str">
        <x:v>Dictamen</x:v>
      </x:c>
      <x:c r="P12" s="81" t="str">
        <x:v>PDF fuente</x:v>
      </x:c>
      <x:c r="Q12" s="81" t="str">
        <x:v>Contexto del PDF</x:v>
      </x:c>
    </x:row>
    <x:row r="13" ht="72" customHeight="1">
      <x:c r="A13" s="24" t="str">
        <x:v>T-001</x:v>
      </x:c>
      <x:c r="B13" s="24" t="str">
        <x:v>C02</x:v>
      </x:c>
      <x:c r="C13" s="24" t="n">
        <x:v>1</x:v>
      </x:c>
      <x:c r="D13" s="24" t="str">
        <x:v>9</x:v>
      </x:c>
      <x:c r="E13" s="24" t="str">
        <x:v>correcta</x:v>
      </x:c>
      <x:c r="F13" s="24" t="str">
        <x:v>sí</x:v>
      </x:c>
      <x:c r="G13" s="24" t="str">
        <x:v>sí</x:v>
      </x:c>
      <x:c r="H13" s="24" t="str">
        <x:v>sí</x:v>
      </x:c>
      <x:c r="I13" s="24" t="str">
        <x:v>sí</x:v>
      </x:c>
      <x:c r="J13" s="24" t="str">
        <x:v>sí</x:v>
      </x:c>
      <x:c r="K13" s="24" t="str">
        <x:v>Baqaee</x:v>
      </x:c>
      <x:c r="L13" s="26"/>
      <x:c r="M13" s="25" t="str">
        <x:v>Micro Propagation and Macro Aggregation</x:v>
      </x:c>
      <x:c r="N13" s="25" t="str"/>
      <x:c r="O13" s="25" t="str">
        <x:v>Una referencia completa; apellido, año y título concuerdan con el PDF.</x:v>
      </x:c>
      <x:c r="P13" s="25" t="str">
        <x:v>saki_research/published_comments/bigio_discussion_business_cycle_asymmetry_input_output_structure_role_firm_networks_miranda_pinto_silva_young.pdf</x:v>
      </x:c>
      <x:c r="Q13" s="25" t="str">
        <x:v>Página PDF 9:
REFERENCES REFERENCES
References
Baqaee, David and Elisa Rubbo, (cid:16)Micro Propagation and Macro Aggregation,(cid:17) Annual Review of Economics,
forthcoming.
Baqaee, David Rezza and Emmanuel Farhi, (cid:16)The Macroeconomic Impact of Microeconomic Shocks: Beyond
Hulten’s Theorem,(cid:17) Econometrica, 2019, 87 (4), 1155(cid:21)1203.
Bigio, Saki, Dejanir Silva, and Eduardo Zilberman, (cid:16)Heterogeneous Beliefs and the Business Cycle,(cid:17) 2023.
Dew-Becker, Ian and Andrea Vedolin, (cid:16)Skewness and Time-Varying Second Moments in a Nonlinear Pro-
duction Network: Theory and Evidence,(cid:17) SSRN Scholarly Paper 4026669, Social Science Research Network,
Rochester, NY December 2021.</x:v>
      </x:c>
    </x:row>
    <x:row r="14" ht="72" customHeight="1">
      <x:c r="A14" s="24" t="str">
        <x:v>T-002</x:v>
      </x:c>
      <x:c r="B14" s="24" t="str">
        <x:v>C02</x:v>
      </x:c>
      <x:c r="C14" s="24" t="n">
        <x:v>2</x:v>
      </x:c>
      <x:c r="D14" s="24" t="str">
        <x:v>9</x:v>
      </x:c>
      <x:c r="E14" s="24" t="str">
        <x:v>correcta</x:v>
      </x:c>
      <x:c r="F14" s="24" t="str">
        <x:v>sí</x:v>
      </x:c>
      <x:c r="G14" s="24" t="str">
        <x:v>sí</x:v>
      </x:c>
      <x:c r="H14" s="24" t="str">
        <x:v>sí</x:v>
      </x:c>
      <x:c r="I14" s="24" t="str">
        <x:v>sí</x:v>
      </x:c>
      <x:c r="J14" s="24" t="str">
        <x:v>sí</x:v>
      </x:c>
      <x:c r="K14" s="24" t="str">
        <x:v>Baqaee</x:v>
      </x:c>
      <x:c r="L14" s="26" t="n">
        <x:v>2019</x:v>
      </x:c>
      <x:c r="M14" s="25" t="str">
        <x:v>The Macro economic Impact of Micro economic Sho cks: Beyond Hulten's Theorem</x:v>
      </x:c>
      <x:c r="N14" s="25" t="str"/>
      <x:c r="O14" s="25" t="str">
        <x:v>Una referencia completa; apellido, año y título concuerdan con el PDF.</x:v>
      </x:c>
      <x:c r="P14" s="25" t="str">
        <x:v>saki_research/published_comments/bigio_discussion_business_cycle_asymmetry_input_output_structure_role_firm_networks_miranda_pinto_silva_young.pdf</x:v>
      </x:c>
      <x:c r="Q14" s="25" t="str">
        <x:v>Página PDF 9:
REFERENCES REFERENCES
References
Baqaee, David and Elisa Rubbo, (cid:16)Micro Propagation and Macro Aggregation,(cid:17) Annual Review of Economics,
forthcoming.
Baqaee, David Rezza and Emmanuel Farhi, (cid:16)The Macroeconomic Impact of Microeconomic Shocks: Beyond
Hulten’s Theorem,(cid:17) Econometrica, 2019, 87 (4), 1155(cid:21)1203.
Bigio, Saki, Dejanir Silva, and Eduardo Zilberman, (cid:16)Heterogeneous Beliefs and the Business Cycle,(cid:17) 2023.
Dew-Becker, Ian and Andrea Vedolin, (cid:16)Skewness and Time-Varying Second Moments in a Nonlinear Pro-
duction Network: Theory and Evidence,(cid:17) SSRN Scholarly Paper 4026669, Social Science Research Network,
Rochester, NY December 2021.
Embrechts, Paul, Claudia Kluppelberg, and Thomas Mikosch, Modelling Extremal Events: for Insurance</x:v>
      </x:c>
    </x:row>
    <x:row r="15" ht="72" customHeight="1">
      <x:c r="A15" s="24" t="str">
        <x:v>T-003</x:v>
      </x:c>
      <x:c r="B15" s="24" t="str">
        <x:v>E01</x:v>
      </x:c>
      <x:c r="C15" s="24" t="n">
        <x:v>8</x:v>
      </x:c>
      <x:c r="D15" s="24" t="str">
        <x:v>20</x:v>
      </x:c>
      <x:c r="E15" s="24" t="str">
        <x:v>correcta</x:v>
      </x:c>
      <x:c r="F15" s="24" t="str">
        <x:v>sí</x:v>
      </x:c>
      <x:c r="G15" s="24" t="str">
        <x:v>sí</x:v>
      </x:c>
      <x:c r="H15" s="24" t="str">
        <x:v>sí</x:v>
      </x:c>
      <x:c r="I15" s="24" t="str">
        <x:v>sí</x:v>
      </x:c>
      <x:c r="J15" s="24" t="str">
        <x:v>sí</x:v>
      </x:c>
      <x:c r="K15" s="24" t="str">
        <x:v>Chang</x:v>
      </x:c>
      <x:c r="L15" s="26" t="n">
        <x:v>2009</x:v>
      </x:c>
      <x:c r="M15" s="25" t="str">
        <x:v>Openness can be good for growth: The role of policy complementarities:</x:v>
      </x:c>
      <x:c r="N15" s="25" t="str"/>
      <x:c r="O15" s="25" t="str">
        <x:v>Una referencia completa; apellido, año y título concuerdan con el PDF.</x:v>
      </x:c>
      <x:c r="P15" s="25" t="str">
        <x:v>saki_research/pre_phd_papers/bigio_ramirez_corrupcion_indicadores_desarrollo_pery_mundo_revision_empirica.pdf</x:v>
      </x:c>
      <x:c r="Q15" s="25" t="str">
        <x:v>Página PDF 20:
of Error-Components Models.” Journal of Econometrics, 68(1), pp. 29-51.
Bardhan, P. (1997): “Corruption and development: A review of issues.” Journal of
Economic Literature, 35(3), pp. 1320-1346.
Chand, S. y K. Moene (2002): “Controlling Fiscal Corruption.” En: Governance,
Corruption &amp; Economic Performance. Abed, G. y S. Gupta (eds.). Washington, D.C.:
International Monetary Fund (IMF), pp. 89-100.
Chang, R., L. Kaltani y N. Loayza (2009): “Openness can be good for growth: The role
of policy complementarities:” Journal of Development Economics, 90(1), pp. 33-49.
Charap, J. y C. Harm (2002): “Institutional corruption and the kleptocratic state.” En:
Governance, Corruption &amp; Economic Performance. Abed, G. y S. Gupta (eds.).
Washington, D.C.: International Monetary Fund (IMF), pp. 135-58.
Easterly, W. (2001): The Elusive Quest for Growth Economists. Cambridge, Mass.: The
MIT Press.</x:v>
      </x:c>
    </x:row>
    <x:row r="16" ht="72" customHeight="1">
      <x:c r="A16" s="24" t="str">
        <x:v>T-004</x:v>
      </x:c>
      <x:c r="B16" s="24" t="str">
        <x:v>E01</x:v>
      </x:c>
      <x:c r="C16" s="24" t="n">
        <x:v>12</x:v>
      </x:c>
      <x:c r="D16" s="24" t="str">
        <x:v>20</x:v>
      </x:c>
      <x:c r="E16" s="24" t="str">
        <x:v>correcta</x:v>
      </x:c>
      <x:c r="F16" s="24" t="str">
        <x:v>sí</x:v>
      </x:c>
      <x:c r="G16" s="24" t="str">
        <x:v>sí</x:v>
      </x:c>
      <x:c r="H16" s="24" t="str">
        <x:v>sí</x:v>
      </x:c>
      <x:c r="I16" s="24" t="str">
        <x:v>sí</x:v>
      </x:c>
      <x:c r="J16" s="24" t="str">
        <x:v>sí</x:v>
      </x:c>
      <x:c r="K16" s="24" t="str">
        <x:v>Fisman</x:v>
      </x:c>
      <x:c r="L16" s="26" t="n">
        <x:v>2002</x:v>
      </x:c>
      <x:c r="M16" s="25" t="str">
        <x:v>Decentralization and corruption: Evidence across countries</x:v>
      </x:c>
      <x:c r="N16" s="25" t="str"/>
      <x:c r="O16" s="25" t="str">
        <x:v>Una referencia completa; apellido, año y título concuerdan con el PDF.</x:v>
      </x:c>
      <x:c r="P16" s="25" t="str">
        <x:v>saki_research/pre_phd_papers/bigio_ramirez_corrupcion_indicadores_desarrollo_pery_mundo_revision_empirica.pdf</x:v>
      </x:c>
      <x:c r="Q16" s="25" t="str">
        <x:v>Página PDF 20:
Governance, Corruption &amp; Economic Performance. Abed, G. y S. Gupta (eds.).
Washington, D.C.: International Monetary Fund (IMF), pp. 135-58.
Easterly, W. (2001): The Elusive Quest for Growth Economists. Cambridge, Mass.: The
MIT Press.
Feenstra, R.C., R. Inklaar y M.P. Timmer (2015): "The Next Generation of the Penn
World Table." American Economic Review, 105(10), pp. 3150-3182.
Fisman, R. y R. Gatti (2002): “Decentralization and corruption: Evidence across
countries.” Journal of Public Economics, 83(3), pp. 325-345.
Ghura, D. (2002): “Tax Revenue in Sub-Saharan Africa: Effects of economic policies
and corruption.” En: Governance, Corruption &amp; Economic Performance. Abed, G. y
S. Gupta (eds.). Washington, D.C.: International Monetary Fund (IMF), pp. 369-395.
Gray, C. W. y D. Kaufmann (1998): “Corruption and Development”. Finance &amp;
Development, 35(1), pp. 7-10.</x:v>
      </x:c>
    </x:row>
    <x:row r="17" ht="72" customHeight="1">
      <x:c r="A17" s="24" t="str">
        <x:v>T-005</x:v>
      </x:c>
      <x:c r="B17" s="24" t="str">
        <x:v>E01</x:v>
      </x:c>
      <x:c r="C17" s="24" t="n">
        <x:v>34</x:v>
      </x:c>
      <x:c r="D17" s="24" t="str">
        <x:v>21</x:v>
      </x:c>
      <x:c r="E17" s="24" t="str">
        <x:v>correcta</x:v>
      </x:c>
      <x:c r="F17" s="24" t="str">
        <x:v>sí</x:v>
      </x:c>
      <x:c r="G17" s="24" t="str">
        <x:v>sí</x:v>
      </x:c>
      <x:c r="H17" s="24" t="str">
        <x:v>sí</x:v>
      </x:c>
      <x:c r="I17" s="24" t="str">
        <x:v>sí</x:v>
      </x:c>
      <x:c r="J17" s="24" t="str">
        <x:v>sí</x:v>
      </x:c>
      <x:c r="K17" s="24" t="str">
        <x:v>Murphy</x:v>
      </x:c>
      <x:c r="L17" s="26" t="n">
        <x:v>1991</x:v>
      </x:c>
      <x:c r="M17" s="25" t="str">
        <x:v>The Allocation of Talent: Implications for Growth</x:v>
      </x:c>
      <x:c r="N17" s="25" t="str"/>
      <x:c r="O17" s="25" t="str">
        <x:v>Una referencia completa; apellido, año y título concuerdan con el PDF.</x:v>
      </x:c>
      <x:c r="P17" s="25" t="str">
        <x:v>saki_research/pre_phd_papers/bigio_ramirez_corrupcion_indicadores_desarrollo_pery_mundo_revision_empirica.pdf</x:v>
      </x:c>
      <x:c r="Q17" s="25" t="str">
        <x:v>Página PDF 21:
Expenditure.” IMF Working Papers 1996/98. Washington, D.C.: International
Monetary Fund (IMF).
Mauro, P. (1998a): “Corruption and the Composition of Government Expenditure.”
Journal of Public Economics, 69(2), pp. 263-279.
Mauro, P. (1998b): “Corruption: Causes, consequences and agenda for further
research.” Finance &amp; Development, 35(1), pp.11-14.
Murphy, K., A. Shleifer, y R. Vishny (1991): “The Allocation of Talent: Implications
for Growth.” Quarterly Journal of Economics, 106(2), pp.503-530.
Myint, U. (2000): “Corruption: Causes, Consequences and Cures.” Asia-Pacific
Development Journal, 7(2), pp. 33-58.
Persson, T. (2002): “Do Political Institutions Shape Economic Policy?” Econometrica,
70(3), pp. 883-905.
Rose-Ackerman, S. (1997): “Corruption and Development.” Trabajo presentado en The</x:v>
      </x:c>
    </x:row>
    <x:row r="18" ht="72" customHeight="1">
      <x:c r="A18" s="24" t="str">
        <x:v>T-006</x:v>
      </x:c>
      <x:c r="B18" s="24" t="str">
        <x:v>E01</x:v>
      </x:c>
      <x:c r="C18" s="24" t="n">
        <x:v>36</x:v>
      </x:c>
      <x:c r="D18" s="24" t="str">
        <x:v>21</x:v>
      </x:c>
      <x:c r="E18" s="24" t="str">
        <x:v>correcta</x:v>
      </x:c>
      <x:c r="F18" s="24" t="str">
        <x:v>sí</x:v>
      </x:c>
      <x:c r="G18" s="24" t="str">
        <x:v>sí</x:v>
      </x:c>
      <x:c r="H18" s="24" t="str">
        <x:v>sí</x:v>
      </x:c>
      <x:c r="I18" s="24" t="str">
        <x:v>sí</x:v>
      </x:c>
      <x:c r="J18" s="24" t="str">
        <x:v>sí</x:v>
      </x:c>
      <x:c r="K18" s="24" t="str">
        <x:v>Persson</x:v>
      </x:c>
      <x:c r="L18" s="26" t="n">
        <x:v>2002</x:v>
      </x:c>
      <x:c r="M18" s="25" t="str">
        <x:v>Do Political Institutions Shape Economic Policy?</x:v>
      </x:c>
      <x:c r="N18" s="25" t="str"/>
      <x:c r="O18" s="25" t="str">
        <x:v>Una referencia completa; apellido, año y título concuerdan con el PDF.</x:v>
      </x:c>
      <x:c r="P18" s="25" t="str">
        <x:v>saki_research/pre_phd_papers/bigio_ramirez_corrupcion_indicadores_desarrollo_pery_mundo_revision_empirica.pdf</x:v>
      </x:c>
      <x:c r="Q18" s="25" t="str">
        <x:v>Página PDF 21:
Journal of Public Economics, 69(2), pp. 263-279.
Mauro, P. (1998b): “Corruption: Causes, consequences and agenda for further
research.” Finance &amp; Development, 35(1), pp.11-14.
Murphy, K., A. Shleifer, y R. Vishny (1991): “The Allocation of Talent: Implications
for Growth.” Quarterly Journal of Economics, 106(2), pp.503-530.
Myint, U. (2000): “Corruption: Causes, Consequences and Cures.” Asia-Pacific
Development Journal, 7(2), pp. 33-58.
Persson, T. (2002): “Do Political Institutions Shape Economic Policy?” Econometrica,
70(3), pp. 883-905.
Rose-Ackerman, S. (1997): “Corruption and Development.” Trabajo presentado en The
Annual Bank Conference on Development Economics, Washington, D.C., EE.UU.
Sachs, J. y A. Warner (1995): “Natural Resource Abundance and Economic Growth.”
NBER Working paper 5398.</x:v>
      </x:c>
    </x:row>
    <x:row r="19" ht="72" customHeight="1">
      <x:c r="A19" s="24" t="str">
        <x:v>T-007</x:v>
      </x:c>
      <x:c r="B19" s="24" t="str">
        <x:v>E02</x:v>
      </x:c>
      <x:c r="C19" s="24" t="n">
        <x:v>1</x:v>
      </x:c>
      <x:c r="D19" s="24" t="str">
        <x:v>28</x:v>
      </x:c>
      <x:c r="E19" s="24" t="str">
        <x:v>correcta</x:v>
      </x:c>
      <x:c r="F19" s="24" t="str">
        <x:v>sí</x:v>
      </x:c>
      <x:c r="G19" s="24" t="str">
        <x:v>sí</x:v>
      </x:c>
      <x:c r="H19" s="24" t="str">
        <x:v>sí</x:v>
      </x:c>
      <x:c r="I19" s="24" t="str">
        <x:v>sí</x:v>
      </x:c>
      <x:c r="J19" s="24" t="str">
        <x:v>sí</x:v>
      </x:c>
      <x:c r="K19" s="24" t="str">
        <x:v>Agénor</x:v>
      </x:c>
      <x:c r="L19" s="26" t="n">
        <x:v>2001</x:v>
      </x:c>
      <x:c r="M19" s="25" t="str">
        <x:v>Asymmetric Effects of Monetary Policy Shocks</x:v>
      </x:c>
      <x:c r="N19" s="25" t="str"/>
      <x:c r="O19" s="25" t="str">
        <x:v>Una referencia completa; apellido, año y título concuerdan con el PDF.</x:v>
      </x:c>
      <x:c r="P19" s="25" t="str">
        <x:v>saki_research/pre_phd_papers/bigio_salas_non_linear_effects_monetary_policy_real_exchange_rate_shocks_partially_dollarized_economies_empirical_study_peru.pdf</x:v>
      </x:c>
      <x:c r="Q19" s="25" t="str">
        <x:v>Página PDF 28:
model we just included the Fed Funds rate (in first difference) for
simplicity, because the inclusion of other variables seemed not to
offer any important qualitative differences to the results. (The
sources of the alternative series employed in the exogenous vari-
ables block were the IFS database and Economagic.com.)
REFERENCES
Agénor, Pierre-Richard (2001), Asymmetric Effects of Monetary Pol-
icy Shocks, World Bank (Working Paper).
Ball, Laurence, and N. Gregory Mankiw (1994), “Asymmetric
Price Adjustment and Economic Fluctuations”, The Economic
Journal, vol. 104, no 423, pp. 247-61.
Bernanke, Ben S., and Mark Gertler (1989), “Agency Costs, Net
Worth, and Business Fluctuations”, American Economic Review,</x:v>
      </x:c>
    </x:row>
    <x:row r="20" ht="72" customHeight="1">
      <x:c r="A20" s="24" t="str">
        <x:v>T-008</x:v>
      </x:c>
      <x:c r="B20" s="24" t="str">
        <x:v>E02</x:v>
      </x:c>
      <x:c r="C20" s="24" t="n">
        <x:v>12</x:v>
      </x:c>
      <x:c r="D20" s="24" t="str">
        <x:v>29</x:v>
      </x:c>
      <x:c r="E20" s="24" t="str">
        <x:v>correcta</x:v>
      </x:c>
      <x:c r="F20" s="24" t="str">
        <x:v>sí</x:v>
      </x:c>
      <x:c r="G20" s="24" t="str">
        <x:v>sí</x:v>
      </x:c>
      <x:c r="H20" s="24" t="str">
        <x:v>sí</x:v>
      </x:c>
      <x:c r="I20" s="24" t="str">
        <x:v>sí</x:v>
      </x:c>
      <x:c r="J20" s="24" t="str">
        <x:v>sí</x:v>
      </x:c>
      <x:c r="K20" s="24" t="str">
        <x:v>Castro</x:v>
      </x:c>
      <x:c r="L20" s="26" t="n">
        <x:v>2004</x:v>
      </x:c>
      <x:c r="M20" s="25" t="str">
        <x:v>Política Monetaria en Economías Dolarizadas, Un Aporte Analítico</x:v>
      </x:c>
      <x:c r="N20" s="25" t="str"/>
      <x:c r="O20" s="25" t="str">
        <x:v>Una referencia completa; apellido, año y título concuerdan con el PDF.</x:v>
      </x:c>
      <x:c r="P20" s="25" t="str">
        <x:v>saki_research/pre_phd_papers/bigio_salas_non_linear_effects_monetary_policy_real_exchange_rate_shocks_partially_dollarized_economies_empirical_study_peru.pdf</x:v>
      </x:c>
      <x:c r="Q20" s="25" t="str">
        <x:v>Página PDF 29:
Castillo, Paul, and Carlos Montoro (2005), Non-Homothetic Prefer-
ences and The Asymmetric Effects of Monetary Policy, mimeo ver-
sion.
Castro, Juan F., and Eduardo Morón (2000), Uncovering Central
Bank’s Monetary Policy Objectives: Going Beyond Fear of Floating,
Centro de Investigación de la Universidad del Pacífico.
Castro, Juan F., and Eduardo Morón (2004), Política Monetaria en
Economías Dolarizadas, Un Aporte Analítico, Centro de Investiga-
ción de la Universidad del Pacífico and Consorcio de Investiga-
ción Económica y Social.
Céspedes, Luis F. (2005), Financial Frictions and Real Devaluations,
Banco Central de Chile (Working Paper, no 318).
Céspedes, Luis F., Roberto Chang and Andrés Velasco (2004),</x:v>
      </x:c>
    </x:row>
    <x:row r="21" ht="72" customHeight="1">
      <x:c r="A21" s="24" t="str">
        <x:v>T-009</x:v>
      </x:c>
      <x:c r="B21" s="24" t="str">
        <x:v>E02</x:v>
      </x:c>
      <x:c r="C21" s="24" t="n">
        <x:v>33</x:v>
      </x:c>
      <x:c r="D21" s="24" t="str">
        <x:v>30</x:v>
      </x:c>
      <x:c r="E21" s="24" t="str">
        <x:v>correcta</x:v>
      </x:c>
      <x:c r="F21" s="24" t="str">
        <x:v>sí</x:v>
      </x:c>
      <x:c r="G21" s="24" t="str">
        <x:v>sí</x:v>
      </x:c>
      <x:c r="H21" s="24" t="str">
        <x:v>sí</x:v>
      </x:c>
      <x:c r="I21" s="24" t="str">
        <x:v>sí</x:v>
      </x:c>
      <x:c r="J21" s="24" t="str">
        <x:v>sí</x:v>
      </x:c>
      <x:c r="K21" s="24" t="str">
        <x:v>Parrado</x:v>
      </x:c>
      <x:c r="L21" s="26" t="n">
        <x:v>2001</x:v>
      </x:c>
      <x:c r="M21" s="25" t="str">
        <x:v>Optimal Interest Rate Policy in a Small Open Economy</x:v>
      </x:c>
      <x:c r="N21" s="25" t="str"/>
      <x:c r="O21" s="25" t="str">
        <x:v>Una referencia completa; apellido, año y título concuerdan con el PDF.</x:v>
      </x:c>
      <x:c r="P21" s="25" t="str">
        <x:v>saki_research/pre_phd_papers/bigio_salas_non_linear_effects_monetary_policy_real_exchange_rate_shocks_partially_dollarized_economies_empirical_study_peru.pdf</x:v>
      </x:c>
      <x:c r="Q21" s="25" t="str">
        <x:v>Página PDF 30:
Morón, Eduardo and Diego Winkelried (2005), “Monetary Policy
Rules for Financially Vulnerable Economies”, Journal of Devel-
opment Economics, vol. 76, no 1, pp. 23-51.
Parrado, Eric (2001), Effects of foreign and domestic monetary policy in
a small open economy: the case of Chile, Banco Central de Chile
(Working Paper, no 108).
Parrado, Eric, and Andrés Velasco (2001), Optimal Interest Rate
Policy in a Small Open Economy, National Bureau of Economic
Research (Working Paper, no 8721).
Quispe, Zenón (2000), “Política monetaria en una economía con
dolarización parcial: el caso del Perú”, Estudios Económicos, no 6,
Banco Central de Reserva del Perú.
Ravn, Morten O., and Martin Sola (1996), A reconsideration of the</x:v>
      </x:c>
    </x:row>
    <x:row r="22" ht="72" customHeight="1">
      <x:c r="A22" s="24" t="str">
        <x:v>T-010</x:v>
      </x:c>
      <x:c r="B22" s="24" t="str">
        <x:v>E02</x:v>
      </x:c>
      <x:c r="C22" s="24" t="n">
        <x:v>43</x:v>
      </x:c>
      <x:c r="D22" s="24" t="str">
        <x:v>31</x:v>
      </x:c>
      <x:c r="E22" s="24" t="str">
        <x:v>correcta</x:v>
      </x:c>
      <x:c r="F22" s="24" t="str">
        <x:v>sí</x:v>
      </x:c>
      <x:c r="G22" s="24" t="str">
        <x:v>sí</x:v>
      </x:c>
      <x:c r="H22" s="24" t="str">
        <x:v>sí</x:v>
      </x:c>
      <x:c r="I22" s="24" t="str">
        <x:v>sí</x:v>
      </x:c>
      <x:c r="J22" s="24" t="str">
        <x:v>sí</x:v>
      </x:c>
      <x:c r="K22" s="24" t="str">
        <x:v>Winkelried</x:v>
      </x:c>
      <x:c r="L22" s="26" t="n">
        <x:v>2004</x:v>
      </x:c>
      <x:c r="M22" s="25" t="str">
        <x:v>Tendencias Comunes y Análisis de la Política Monetaria en el Perú</x:v>
      </x:c>
      <x:c r="N22" s="25" t="str"/>
      <x:c r="O22" s="25" t="str">
        <x:v>Una referencia completa; apellido, año y título concuerdan con el PDF.</x:v>
      </x:c>
      <x:c r="P22" s="25" t="str">
        <x:v>saki_research/pre_phd_papers/bigio_salas_non_linear_effects_monetary_policy_real_exchange_rate_shocks_partially_dollarized_economies_empirical_study_peru.pdf</x:v>
      </x:c>
      <x:c r="Q22" s="25" t="str">
        <x:v>Página PDF 31:
Weise, Charles L. (1999), “The Asymmetric Effects of Monetary
Policy: A Nonlinear Vector Autoregression Approach”, Journal
of Money Credit and Banking, vol. 31, no 1, pp. 85-108.
Winkelried, Diego (2003), “Es asimétrico el Pass-through en el
Perú?: un análisis agregado”, Estudios Económicos, no 10, Banco
Central de Reserva del Perú.
Winkelried, Diego (2004), “Tendencias Comunes y Análisis de la
Política Monetaria en el Perú ”, Estudios Económicos, no 11, Banco
Central de Reserva del Perú.
Woodford, Michael (2003), Interest and Prices: Foundations of a The-
ory of Monetary Policy, Princeton University Press.</x:v>
      </x:c>
    </x:row>
    <x:row r="23" ht="72" customHeight="1">
      <x:c r="A23" s="24" t="str">
        <x:v>T-011</x:v>
      </x:c>
      <x:c r="B23" s="24" t="str">
        <x:v>P01</x:v>
      </x:c>
      <x:c r="C23" s="24" t="n">
        <x:v>15</x:v>
      </x:c>
      <x:c r="D23" s="24" t="str">
        <x:v>28</x:v>
      </x:c>
      <x:c r="E23" s="24" t="str">
        <x:v>correcta</x:v>
      </x:c>
      <x:c r="F23" s="24" t="str">
        <x:v>sí</x:v>
      </x:c>
      <x:c r="G23" s="24" t="str">
        <x:v>sí</x:v>
      </x:c>
      <x:c r="H23" s="24" t="str">
        <x:v>sí</x:v>
      </x:c>
      <x:c r="I23" s="24" t="str">
        <x:v>sí</x:v>
      </x:c>
      <x:c r="J23" s="24" t="str">
        <x:v>sí</x:v>
      </x:c>
      <x:c r="K23" s="24" t="str">
        <x:v>Cho</x:v>
      </x:c>
      <x:c r="L23" s="26" t="n">
        <x:v>2008</x:v>
      </x:c>
      <x:c r="M23" s="25" t="str">
        <x:v>Learning dynamics and endogenous currency crises</x:v>
      </x:c>
      <x:c r="N23" s="25" t="str"/>
      <x:c r="O23" s="25" t="str">
        <x:v>Una referencia completa; apellido, año y título concuerdan con el PDF.</x:v>
      </x:c>
      <x:c r="P23" s="25" t="str">
        <x:v>saki_research/published_papers/bigio_learning_under_fear_floating.pdf</x:v>
      </x:c>
      <x:c r="Q23" s="25" t="str">
        <x:v>Página PDF 28:
Calvo,G.,Reinhart,C.,2002.Fearoffloating.QuarterlyJournalofEconomics117,379–408.
Caplin,A.,Leahy,J.,1996.Monetarypolicyasaprocessofsearch.AmericanEconomicReview86,689–702.
Cespedes,L.F.,Chang,R.,Velasco,A.,2002.Balancesheetsandexchangeratepolicy.AmericanEconomicReview94,1183–1193.
Chang,R.,Velasco,A.,2000.Exchangeratepolicyfordevelopingcountries.AmericanEconomicReview90,71–75.
Chang,R.,Velasco,A.,2006.Monetarypolicyandthecurrencydenominationofdebt:ataleoftwoequilibria.JournalofInternationalEconomics69,150–175.
Chari,V.V.,Kehoe,P.J.,McGrattan,E.R.,2002.Canstickypricemodelsgeneratevolatileandpersistentrealexchangerates?ReviewofEconomicStudies69,533–
563
Cho,I.-K.,Kasa,K.,2008.Learningdynamicsandendogenouscurrencycrises.MacroeconomicDynamics12,257–285.
Cho,I.-K.,Williams,N.,Sargent,T.J.,2002.EscapingNashinflation.ReviewofEconomicStudies69,1–40.
Clarida,R.,Gali,J.,Gertler,M.,2001.Optimalmonetarypolicyinopenversusclosedeconomies:anintegratedapproach.AmericanEconomicReview
PapersandProceedings91,248–252.
Clarida,R.,Gali,J.,Gertler,M.,2002.Asimpleframeworkforinternationalmonetarypolicyanalysis.JournalofMonetaryEconomics49,879–904.
Cogley,T.,Colacito,R.,Sargent,T.,2007.BenefitsfromU.S.monetarypolicyexperimentationinthedaysofSamuelsonandSolowandLucas.Journalof</x:v>
      </x:c>
    </x:row>
    <x:row r="24" ht="72" customHeight="1">
      <x:c r="A24" s="24" t="str">
        <x:v>T-012</x:v>
      </x:c>
      <x:c r="B24" s="24" t="str">
        <x:v>P01</x:v>
      </x:c>
      <x:c r="C24" s="24" t="n">
        <x:v>33</x:v>
      </x:c>
      <x:c r="D24" s="24" t="str">
        <x:v>28</x:v>
      </x:c>
      <x:c r="E24" s="24" t="str">
        <x:v>correcta</x:v>
      </x:c>
      <x:c r="F24" s="24" t="str">
        <x:v>sí</x:v>
      </x:c>
      <x:c r="G24" s="24" t="str">
        <x:v>sí</x:v>
      </x:c>
      <x:c r="H24" s="24" t="str">
        <x:v>sí</x:v>
      </x:c>
      <x:c r="I24" s="24" t="str">
        <x:v>sí</x:v>
      </x:c>
      <x:c r="J24" s="24" t="str">
        <x:v>sí</x:v>
      </x:c>
      <x:c r="K24" s="24" t="str">
        <x:v>Kasa</x:v>
      </x:c>
      <x:c r="L24" s="26" t="n">
        <x:v>1999</x:v>
      </x:c>
      <x:c r="M24" s="25" t="str">
        <x:v>Will the fed ever learn?</x:v>
      </x:c>
      <x:c r="N24" s="25" t="str"/>
      <x:c r="O24" s="25" t="str">
        <x:v>Una referencia completa; apellido, año y título concuerdan con el PDF.</x:v>
      </x:c>
      <x:c r="P24" s="25" t="str">
        <x:v>saki_research/published_papers/bigio_learning_under_fear_floating.pdf</x:v>
      </x:c>
      <x:c r="Q24" s="25" t="str">
        <x:v>Página PDF 28:
Gali,J.,Monacelli,T.,2005.Monetarypolicyandexchangeratevolatilityinasmallopeneconomy.ReviewofEconomicStudies72,707–734.
Goodhart,C.,2005.Thefutureofcentralbanking.FMGSpecialPaperNo.162.
Hansen,L.P.,Sargent,T.J.,2006.Wantingrobustnessinmacroeconomics.Unpublishedmanuscript.
Hansen,L.P.,Sargent,T.J.,2007.Robustness.PrincetonUniversityPress,Princeton.
Hansen,L.P.,Sargent,T.J.,Tallarini,T.D.,1999.Robustpermanentincomeandpricing.ReviewofEconomicStudies66,873–907.
Hausmann,R.,Panizza,U.,Stein,E.,2001.Whydocountriesfloatthewaytheyfloat?JournalofDevelopmentEconomics66,387–414
Ize,A.,Levy-Yeyati,E.,2003.Financialdollarization:causesandconsequences.JournalofInternationalEconomics59,323–347.
Kasa,K.,1999.Willthefedeverlearn?JournalofMacroeconomics21,279–292
Krugman,P.,1999.Balancesheetseffects,thetransferproblemandfinancialcrises.In:Isard,P.,Razin,A.,Rose,A.K.(Eds.),InternationalFinanceand
FinancialCrises:EssaysinHonourofRobertP.Flood,Jr.. KluwerAcademicPublishers,NewYork,pp.31–44.
Levy-Yeyati,E.,Sturzenegger,F.,2003a.Tofloatortofix:evidenceoftheimpactofexchangerateregimesoneconomicgrowth.AmericanEconomic
Review93,1173–1193.
Levy-Yeyati,E.,Sturzenegger,F.,2003b.Classifyingexchangerateregimes:deedsvs.words.EuropeanEconomicReview49,1603–1635.</x:v>
      </x:c>
    </x:row>
    <x:row r="25" ht="72" customHeight="1">
      <x:c r="A25" s="24" t="str">
        <x:v>T-013</x:v>
      </x:c>
      <x:c r="B25" s="24" t="str">
        <x:v>P01</x:v>
      </x:c>
      <x:c r="C25" s="24" t="n">
        <x:v>35</x:v>
      </x:c>
      <x:c r="D25" s="24" t="str">
        <x:v>28</x:v>
      </x:c>
      <x:c r="E25" s="24" t="str">
        <x:v>correcta</x:v>
      </x:c>
      <x:c r="F25" s="24" t="str">
        <x:v>sí</x:v>
      </x:c>
      <x:c r="G25" s="24" t="str">
        <x:v>sí</x:v>
      </x:c>
      <x:c r="H25" s="24" t="str">
        <x:v>sí</x:v>
      </x:c>
      <x:c r="I25" s="24" t="str">
        <x:v>sí</x:v>
      </x:c>
      <x:c r="J25" s="24" t="str">
        <x:v>sí</x:v>
      </x:c>
      <x:c r="K25" s="24" t="str">
        <x:v>Levy-Yeyati</x:v>
      </x:c>
      <x:c r="L25" s="26" t="n">
        <x:v>2003</x:v>
      </x:c>
      <x:c r="M25" s="25" t="str">
        <x:v>To float or to fix: evidence of the impact of exchange rate regimes on economic growth</x:v>
      </x:c>
      <x:c r="N25" s="25" t="str"/>
      <x:c r="O25" s="25" t="str">
        <x:v>Una referencia completa; apellido, año y título concuerdan con el PDF.</x:v>
      </x:c>
      <x:c r="P25" s="25" t="str">
        <x:v>saki_research/published_papers/bigio_learning_under_fear_floating.pdf</x:v>
      </x:c>
      <x:c r="Q25" s="25" t="str">
        <x:v>Página PDF 28:
Hansen,L.P.,Sargent,T.J.,2007.Robustness.PrincetonUniversityPress,Princeton.
Hansen,L.P.,Sargent,T.J.,Tallarini,T.D.,1999.Robustpermanentincomeandpricing.ReviewofEconomicStudies66,873–907.
Hausmann,R.,Panizza,U.,Stein,E.,2001.Whydocountriesfloatthewaytheyfloat?JournalofDevelopmentEconomics66,387–414
Ize,A.,Levy-Yeyati,E.,2003.Financialdollarization:causesandconsequences.JournalofInternationalEconomics59,323–347.
Kasa,K.,1999.Willthefedeverlearn?JournalofMacroeconomics21,279–292
Krugman,P.,1999.Balancesheetseffects,thetransferproblemandfinancialcrises.In:Isard,P.,Razin,A.,Rose,A.K.(Eds.),InternationalFinanceand
FinancialCrises:EssaysinHonourofRobertP.Flood,Jr.. KluwerAcademicPublishers,NewYork,pp.31–44.
Levy-Yeyati,E.,Sturzenegger,F.,2003a.Tofloatortofix:evidenceoftheimpactofexchangerateregimesoneconomicgrowth.AmericanEconomic
Review93,1173–1193.
Levy-Yeyati,E.,Sturzenegger,F.,2003b.Classifyingexchangerateregimes:deedsvs.words.EuropeanEconomicReview49,1603–1635.
Lubik,T.A.,Schorfheide,F.,2007.JournalofMonetaryEconomics54,1069–1087.
Mailath,G.J.,Samuelson,L.,2006.RepeatedGamesandReputation.OxfordUniversityPress,NewYork,NewYork.
Monacelli,T.,2005.Monetarypolicyinalowpass-throughenvironment.JournalofMoney,CreditandBanking37,1047–1066.</x:v>
      </x:c>
    </x:row>
    <x:row r="26" ht="72" customHeight="1">
      <x:c r="A26" s="24" t="str">
        <x:v>T-014</x:v>
      </x:c>
      <x:c r="B26" s="24" t="str">
        <x:v>P02</x:v>
      </x:c>
      <x:c r="C26" s="24" t="n">
        <x:v>1</x:v>
      </x:c>
      <x:c r="D26" s="24" t="str">
        <x:v>38</x:v>
      </x:c>
      <x:c r="E26" s="24" t="str">
        <x:v>correcta</x:v>
      </x:c>
      <x:c r="F26" s="24" t="str">
        <x:v>sí</x:v>
      </x:c>
      <x:c r="G26" s="24" t="str">
        <x:v>sí</x:v>
      </x:c>
      <x:c r="H26" s="24" t="str">
        <x:v>sí</x:v>
      </x:c>
      <x:c r="I26" s="24" t="str">
        <x:v>sí</x:v>
      </x:c>
      <x:c r="J26" s="24" t="str">
        <x:v>sí</x:v>
      </x:c>
      <x:c r="K26" s="24" t="str">
        <x:v>Acemoglu</x:v>
      </x:c>
      <x:c r="L26" s="26" t="n">
        <x:v>2005</x:v>
      </x:c>
      <x:c r="M26" s="25" t="str">
        <x:v>Politics and economics in weak and strong states</x:v>
      </x:c>
      <x:c r="N26" s="25" t="str"/>
      <x:c r="O26" s="25" t="str">
        <x:v>Una referencia completa; apellido, año y título concuerdan con el PDF.</x:v>
      </x:c>
      <x:c r="P26" s="25" t="str">
        <x:v>saki_research/published_papers/bigio_zilberman_optimal_self_employment_income_tax_enforcement.pdf</x:v>
      </x:c>
      <x:c r="Q26" s="25" t="str">
        <x:v>Página PDF 38:
References
D. Acemoglu. Politics and economics in weak and strong states. Journal of Monetary
Economics, 52(7):1199–1226, October 2005. 31
D. Acemoglu, D. Ticchi, and A. Vindigni. Emergence and persistence of inefficient states
states. Journal of the European Economic Association, forthcoming. 31
M. G. Allingham and A. Sandmo. Income tax evasion: A theoretical analysis. Journal of
Public Economics, 1(3-4):323–338, November 1972. 2
P. S. Amaral and E. Quintin. A competitive model of the informal sector. Journal of
Monetary Economics, 53(7):1541–1553, October 2006. 4
J. Andreoni, B. Erard, and J. Feinstein. Tax compliance. Journal of Economic Literature,</x:v>
      </x:c>
    </x:row>
    <x:row r="27" ht="72" customHeight="1">
      <x:c r="A27" s="24" t="str">
        <x:v>T-015</x:v>
      </x:c>
      <x:c r="B27" s="24" t="str">
        <x:v>P02</x:v>
      </x:c>
      <x:c r="C27" s="24" t="n">
        <x:v>25</x:v>
      </x:c>
      <x:c r="D27" s="24" t="str">
        <x:v>39</x:v>
      </x:c>
      <x:c r="E27" s="24" t="str">
        <x:v>correcta</x:v>
      </x:c>
      <x:c r="F27" s="24" t="str">
        <x:v>sí</x:v>
      </x:c>
      <x:c r="G27" s="24" t="str">
        <x:v>sí</x:v>
      </x:c>
      <x:c r="H27" s="24" t="str">
        <x:v>sí</x:v>
      </x:c>
      <x:c r="I27" s="24" t="str">
        <x:v>sí</x:v>
      </x:c>
      <x:c r="J27" s="24" t="str">
        <x:v>sí</x:v>
      </x:c>
      <x:c r="K27" s="24" t="str">
        <x:v>Jullien</x:v>
      </x:c>
      <x:c r="L27" s="26" t="n">
        <x:v>2000</x:v>
      </x:c>
      <x:c r="M27" s="25" t="str">
        <x:v>Participation constraints in adverse selection models</x:v>
      </x:c>
      <x:c r="N27" s="25" t="str"/>
      <x:c r="O27" s="25" t="str">
        <x:v>Una referencia completa; apellido, año y título concuerdan con el PDF.</x:v>
      </x:c>
      <x:c r="P27" s="25" t="str">
        <x:v>saki_research/published_papers/bigio_zilberman_optimal_self_employment_income_tax_enforcement.pdf</x:v>
      </x:c>
      <x:c r="Q27" s="25" t="str">
        <x:v>Página PDF 39:
D. Dharmapala, J. Slemrod, and J. D. Wilson. Tax policy and the missing middle: Optimal
tax remittance with firm-level administrative costs. Working Paper, 2009. 21
B. Fortin, N. Marceau, and L. Savard. Taxation, wage controls and the informal sector.
Journal of Public Economics, 66(2):293–312, November 1997. 4
D. Fudenberg and J. Tirole. Game Theory. MIT Press, 1991. 26
R. Gordon and W. Li. Tax structures in developing countries: Many puzzles and a possible
explanation. Journal of Public Economics, 93(7-8):855–866, August 2009. 9
B. Jullien. Participation constraints in adverse selection models. Journal of Economic
Theory, 93(1):1–47, July 2000. 28
39</x:v>
      </x:c>
    </x:row>
    <x:row r="28" ht="72" customHeight="1">
      <x:c r="A28" s="24" t="str">
        <x:v>T-016</x:v>
      </x:c>
      <x:c r="B28" s="24" t="str">
        <x:v>P02</x:v>
      </x:c>
      <x:c r="C28" s="24" t="n">
        <x:v>27</x:v>
      </x:c>
      <x:c r="D28" s="24" t="str">
        <x:v>40</x:v>
      </x:c>
      <x:c r="E28" s="24" t="str">
        <x:v>correcta</x:v>
      </x:c>
      <x:c r="F28" s="24" t="str">
        <x:v>sí</x:v>
      </x:c>
      <x:c r="G28" s="24" t="str">
        <x:v>sí</x:v>
      </x:c>
      <x:c r="H28" s="24" t="str">
        <x:v>sí</x:v>
      </x:c>
      <x:c r="I28" s="24" t="str">
        <x:v>sí</x:v>
      </x:c>
      <x:c r="J28" s="24" t="str">
        <x:v>sí</x:v>
      </x:c>
      <x:c r="K28" s="24" t="str">
        <x:v>Kleven</x:v>
      </x:c>
      <x:c r="L28" s="26" t="n">
        <x:v>2010</x:v>
      </x:c>
      <x:c r="M28" s="25" t="str">
        <x:v>Unwilling or unable to cheat? evidence from a randomized tax audit experiment in denmark</x:v>
      </x:c>
      <x:c r="N28" s="25" t="str"/>
      <x:c r="O28" s="25" t="str">
        <x:v>Una referencia completa; apellido, año y título concuerdan con el PDF.</x:v>
      </x:c>
      <x:c r="P28" s="25" t="str">
        <x:v>saki_research/published_papers/bigio_zilberman_optimal_self_employment_income_tax_enforcement.pdf</x:v>
      </x:c>
      <x:c r="Q28" s="25" t="str">
        <x:v>Página PDF 40:
H. J. Kleven, C. T. Kreiner, and E. Saez. Why can modern governments tax so much? an
agency model of firms as fiscal intermediaries. NBER Working Paper 15218, 2009. 9
H. J. Kleven, M. B. Knudsen, C. T. Kreiner, S. Pedersen, and E. Saez. Unwilling or unable
to cheat? evidence from a randomized tax audit experiment in denmark. NBER Working
Paper 15769, 2010. 2, 10
W. Kopczuk and J. Slemrod. Putting firms into optimal tax theory. American Economic
Review Papers and Proceedings, 96(2):130–134, May 2006. 9
R. la Porta and A. Shleifer. The unofficial economy and economic development. Brookings
Papers on Economic Activity, pages 275–363, Fall 2008. 3, 20
M. Levi. Of Rule and Revenue. University of California Press, 1988. 31</x:v>
      </x:c>
    </x:row>
    <x:row r="29" ht="72" customHeight="1">
      <x:c r="A29" s="24" t="str">
        <x:v>T-017</x:v>
      </x:c>
      <x:c r="B29" s="24" t="str">
        <x:v>P02</x:v>
      </x:c>
      <x:c r="C29" s="24" t="n">
        <x:v>29</x:v>
      </x:c>
      <x:c r="D29" s="24" t="str">
        <x:v>40</x:v>
      </x:c>
      <x:c r="E29" s="24" t="str">
        <x:v>correcta</x:v>
      </x:c>
      <x:c r="F29" s="24" t="str">
        <x:v>sí</x:v>
      </x:c>
      <x:c r="G29" s="24" t="str">
        <x:v>sí</x:v>
      </x:c>
      <x:c r="H29" s="24" t="str">
        <x:v>sí</x:v>
      </x:c>
      <x:c r="I29" s="24" t="str">
        <x:v>sí</x:v>
      </x:c>
      <x:c r="J29" s="24" t="str">
        <x:v>sí</x:v>
      </x:c>
      <x:c r="K29" s="24" t="str">
        <x:v>Levi</x:v>
      </x:c>
      <x:c r="L29" s="26" t="n">
        <x:v>1988</x:v>
      </x:c>
      <x:c r="M29" s="25" t="str">
        <x:v>Of Rule and Revenue</x:v>
      </x:c>
      <x:c r="N29" s="25" t="str"/>
      <x:c r="O29" s="25" t="str">
        <x:v>Una referencia completa; apellido, año y título concuerdan con el PDF.</x:v>
      </x:c>
      <x:c r="P29" s="25" t="str">
        <x:v>saki_research/published_papers/bigio_zilberman_optimal_self_employment_income_tax_enforcement.pdf</x:v>
      </x:c>
      <x:c r="Q29" s="25" t="str">
        <x:v>Página PDF 40:
H. J. Kleven, M. B. Knudsen, C. T. Kreiner, S. Pedersen, and E. Saez. Unwilling or unable
to cheat? evidence from a randomized tax audit experiment in denmark. NBER Working
Paper 15769, 2010. 2, 10
W. Kopczuk and J. Slemrod. Putting firms into optimal tax theory. American Economic
Review Papers and Proceedings, 96(2):130–134, May 2006. 9
R. la Porta and A. Shleifer. The unofficial economy and economic development. Brookings
Papers on Economic Activity, pages 275–363, Fall 2008. 3, 20
M. Levi. Of Rule and Revenue. University of California Press, 1988. 31
T. R. Lewis and D. E. M. Sappington. Countervailing incentives in agency problems. Journal
of Economic Theory, 49(2):294–313, December 1989. 28
K. D. Logue and J. Slemrod. Of coase, calabresi, and optimal tax liability. John M. Olin
Center for Law &amp; Economics Working Paper 96, 2009. 10
R. E. Lucas. On the size distribution of business firms. Bell Journal of Economics, 9(2):</x:v>
      </x:c>
    </x:row>
    <x:row r="30" ht="72" customHeight="1">
      <x:c r="A30" s="24" t="str">
        <x:v>T-018</x:v>
      </x:c>
      <x:c r="B30" s="24" t="str">
        <x:v>P02</x:v>
      </x:c>
      <x:c r="C30" s="24" t="n">
        <x:v>31</x:v>
      </x:c>
      <x:c r="D30" s="24" t="str">
        <x:v>40</x:v>
      </x:c>
      <x:c r="E30" s="24" t="str">
        <x:v>correcta</x:v>
      </x:c>
      <x:c r="F30" s="24" t="str">
        <x:v>sí</x:v>
      </x:c>
      <x:c r="G30" s="24" t="str">
        <x:v>sí</x:v>
      </x:c>
      <x:c r="H30" s="24" t="str">
        <x:v>sí</x:v>
      </x:c>
      <x:c r="I30" s="24" t="str">
        <x:v>sí</x:v>
      </x:c>
      <x:c r="J30" s="24" t="str">
        <x:v>sí</x:v>
      </x:c>
      <x:c r="K30" s="24" t="str">
        <x:v>Logue</x:v>
      </x:c>
      <x:c r="L30" s="26" t="n">
        <x:v>2009</x:v>
      </x:c>
      <x:c r="M30" s="25" t="str">
        <x:v>Of Coase, Calabresi, and optimal tax liability</x:v>
      </x:c>
      <x:c r="N30" s="25" t="str"/>
      <x:c r="O30" s="25" t="str">
        <x:v>Una referencia completa; apellido, año y título concuerdan con el PDF.</x:v>
      </x:c>
      <x:c r="P30" s="25" t="str">
        <x:v>saki_research/published_papers/bigio_zilberman_optimal_self_employment_income_tax_enforcement.pdf</x:v>
      </x:c>
      <x:c r="Q30" s="25" t="str">
        <x:v>Página PDF 40:
W. Kopczuk and J. Slemrod. Putting firms into optimal tax theory. American Economic
Review Papers and Proceedings, 96(2):130–134, May 2006. 9
R. la Porta and A. Shleifer. The unofficial economy and economic development. Brookings
Papers on Economic Activity, pages 275–363, Fall 2008. 3, 20
M. Levi. Of Rule and Revenue. University of California Press, 1988. 31
T. R. Lewis and D. E. M. Sappington. Countervailing incentives in agency problems. Journal
of Economic Theory, 49(2):294–313, December 1989. 28
K. D. Logue and J. Slemrod. Of coase, calabresi, and optimal tax liability. John M. Olin
Center for Law &amp; Economics Working Paper 96, 2009. 10
R. E. Lucas. On the size distribution of business firms. Bell Journal of Economics, 9(2):
508–523, Autumn 1978. 4, 20, 30
I. Macho-Stadler and J. D. P´erez-Castrillo. Audting with signals. Economica, 69(273):1–20,
February 2002. 4, 12, 20</x:v>
      </x:c>
    </x:row>
    <x:row r="31" ht="72" customHeight="1">
      <x:c r="A31" s="24" t="str">
        <x:v>T-019</x:v>
      </x:c>
      <x:c r="B31" s="24" t="str">
        <x:v>P02</x:v>
      </x:c>
      <x:c r="C31" s="24" t="n">
        <x:v>32</x:v>
      </x:c>
      <x:c r="D31" s="24" t="str">
        <x:v>40</x:v>
      </x:c>
      <x:c r="E31" s="24" t="str">
        <x:v>correcta</x:v>
      </x:c>
      <x:c r="F31" s="24" t="str">
        <x:v>sí</x:v>
      </x:c>
      <x:c r="G31" s="24" t="str">
        <x:v>sí</x:v>
      </x:c>
      <x:c r="H31" s="24" t="str">
        <x:v>sí</x:v>
      </x:c>
      <x:c r="I31" s="24" t="str">
        <x:v>sí</x:v>
      </x:c>
      <x:c r="J31" s="24" t="str">
        <x:v>sí</x:v>
      </x:c>
      <x:c r="K31" s="24" t="str">
        <x:v>Lucas</x:v>
      </x:c>
      <x:c r="L31" s="26" t="n">
        <x:v>1978</x:v>
      </x:c>
      <x:c r="M31" s="25" t="str">
        <x:v>On the size distribution of business firms</x:v>
      </x:c>
      <x:c r="N31" s="25" t="str"/>
      <x:c r="O31" s="25" t="str">
        <x:v>Una referencia completa; apellido, año y título concuerdan con el PDF.</x:v>
      </x:c>
      <x:c r="P31" s="25" t="str">
        <x:v>saki_research/published_papers/bigio_zilberman_optimal_self_employment_income_tax_enforcement.pdf</x:v>
      </x:c>
      <x:c r="Q31" s="25" t="str">
        <x:v>Página PDF 40:
R. la Porta and A. Shleifer. The unofficial economy and economic development. Brookings
Papers on Economic Activity, pages 275–363, Fall 2008. 3, 20
M. Levi. Of Rule and Revenue. University of California Press, 1988. 31
T. R. Lewis and D. E. M. Sappington. Countervailing incentives in agency problems. Journal
of Economic Theory, 49(2):294–313, December 1989. 28
K. D. Logue and J. Slemrod. Of coase, calabresi, and optimal tax liability. John M. Olin
Center for Law &amp; Economics Working Paper 96, 2009. 10
R. E. Lucas. On the size distribution of business firms. Bell Journal of Economics, 9(2):
508–523, Autumn 1978. 4, 20, 30
I. Macho-Stadler and J. D. P´erez-Castrillo. Audting with signals. Economica, 69(273):1–20,
February 2002. 4, 12, 20
G. Maggi and A. Rodr´ıguez-Clare. On countervailing incentives. Journal of Economic
Theory, 66(1):238–263, June 1995. 28, 29, 34</x:v>
      </x:c>
    </x:row>
    <x:row r="32" ht="72" customHeight="1">
      <x:c r="A32" s="24" t="str">
        <x:v>T-020</x:v>
      </x:c>
      <x:c r="B32" s="24" t="str">
        <x:v>P02</x:v>
      </x:c>
      <x:c r="C32" s="24" t="n">
        <x:v>57</x:v>
      </x:c>
      <x:c r="D32" s="24" t="str">
        <x:v>42</x:v>
      </x:c>
      <x:c r="E32" s="24" t="str">
        <x:v>correcta</x:v>
      </x:c>
      <x:c r="F32" s="24" t="str">
        <x:v>sí</x:v>
      </x:c>
      <x:c r="G32" s="24" t="str">
        <x:v>sí</x:v>
      </x:c>
      <x:c r="H32" s="24" t="str">
        <x:v>sí</x:v>
      </x:c>
      <x:c r="I32" s="24" t="str">
        <x:v>sí</x:v>
      </x:c>
      <x:c r="J32" s="24" t="str">
        <x:v>sí</x:v>
      </x:c>
      <x:c r="K32" s="24" t="str">
        <x:v>Yitzhaki</x:v>
      </x:c>
      <x:c r="L32" s="26" t="n">
        <x:v>2007</x:v>
      </x:c>
      <x:c r="M32" s="25" t="str">
        <x:v>Cost-benefit analysis of presumptive taxation</x:v>
      </x:c>
      <x:c r="N32" s="25" t="str"/>
      <x:c r="O32" s="25" t="str">
        <x:v>Una referencia completa; apellido, año y título concuerdan con el PDF.</x:v>
      </x:c>
      <x:c r="P32" s="25" t="str">
        <x:v>saki_research/published_papers/bigio_zilberman_optimal_self_employment_income_tax_enforcement.pdf</x:v>
      </x:c>
      <x:c r="Q32" s="25" t="str">
        <x:v>Página PDF 42:
R. M. Townsend. Optimal contracts and competitive markets with costly state verification.
Journal of Economic Theory, 21(2):265–293, October 1979. 2
J. R. Tybout. Manufacturing firms in developing countries: How well do they do and why?
Journal of Economic Literature, 38(1):11–44, March 2000. 3, 20
J. J. Wallis. American government finace in the long run: 1790 to 1990. Journal of Economic
Perspectives, 14(1):61–82, Winter 2000. 10, 30
H. C. Wilkenfeld. Taxes and People in Israel. Harvard University Press, 1973. 24
S. Yitzhaki. Cost-benefit analysis of presumptive taxation. FinanzArchiv: Public Finance
Analysis, 63(3):311–326, September 2007. 24
42</x:v>
      </x:c>
    </x:row>
    <x:row r="33" ht="72" customHeight="1">
      <x:c r="A33" s="24" t="str">
        <x:v>T-021</x:v>
      </x:c>
      <x:c r="B33" s="24" t="str">
        <x:v>P03</x:v>
      </x:c>
      <x:c r="C33" s="24" t="n">
        <x:v>6</x:v>
      </x:c>
      <x:c r="D33" s="24" t="str">
        <x:v>41</x:v>
      </x:c>
      <x:c r="E33" s="24" t="str">
        <x:v>correcta</x:v>
      </x:c>
      <x:c r="F33" s="24" t="str">
        <x:v>sí</x:v>
      </x:c>
      <x:c r="G33" s="24" t="str">
        <x:v>sí</x:v>
      </x:c>
      <x:c r="H33" s="24" t="str">
        <x:v>sí</x:v>
      </x:c>
      <x:c r="I33" s="24" t="str">
        <x:v>sí</x:v>
      </x:c>
      <x:c r="J33" s="24" t="str">
        <x:v>sí</x:v>
      </x:c>
      <x:c r="K33" s="24" t="str">
        <x:v>Chari</x:v>
      </x:c>
      <x:c r="L33" s="26" t="n">
        <x:v>2007</x:v>
      </x:c>
      <x:c r="M33" s="25" t="str">
        <x:v>BusinessCylce Accounting</x:v>
      </x:c>
      <x:c r="N33" s="25" t="str"/>
      <x:c r="O33" s="25" t="str">
        <x:v>Una referencia completa; apellido, año y título concuerdan con el PDF.</x:v>
      </x:c>
      <x:c r="P33" s="25" t="str">
        <x:v>saki_research/published_papers/bigio_endogenous_liquidity_business_cycle.pdf</x:v>
      </x:c>
      <x:c r="Q33" s="25" t="str">
        <x:v>Página PDF 41:
59, 66
Bloom, Nicholas, “TheImpactofUncertaintyShocks,” Econometrica, 2009, 77
(3), 623–685. 4
Burnside, Craig, Martin Eichenbaum, and Sergio Rebelo, “Labor Hoard-
ing and the Business Cycle,” Journal of Political Economy, 1993, 101 (2), 245–
273. 28, 29
Chari, V. V., Patrick J. Kehoe, and Ellen R. McGrattan,“BusinessCylce
Accounting,” Econometrica, 2007, 75 (3), 781–836. 2
Chodorow-Reich, Gabriel, “The Employment Effects of Credit Market Dis-
ruptions: Firm-level Evidence from the 2008-09 Financial Crisis,” 2013. Un-
published. 3, 36</x:v>
      </x:c>
    </x:row>
    <x:row r="34" ht="72" customHeight="1">
      <x:c r="A34" s="24" t="str">
        <x:v>T-022</x:v>
      </x:c>
      <x:c r="B34" s="24" t="str">
        <x:v>P03</x:v>
      </x:c>
      <x:c r="C34" s="24" t="n">
        <x:v>12</x:v>
      </x:c>
      <x:c r="D34" s="24" t="str">
        <x:v>42</x:v>
      </x:c>
      <x:c r="E34" s="24" t="str">
        <x:v>correcta</x:v>
      </x:c>
      <x:c r="F34" s="24" t="str">
        <x:v>sí</x:v>
      </x:c>
      <x:c r="G34" s="24" t="str">
        <x:v>sí</x:v>
      </x:c>
      <x:c r="H34" s="24" t="str">
        <x:v>sí</x:v>
      </x:c>
      <x:c r="I34" s="24" t="str">
        <x:v>sí</x:v>
      </x:c>
      <x:c r="J34" s="24" t="str">
        <x:v>sí</x:v>
      </x:c>
      <x:c r="K34" s="24" t="str">
        <x:v>Covas</x:v>
      </x:c>
      <x:c r="L34" s="26" t="n">
        <x:v>2011</x:v>
      </x:c>
      <x:c r="M34" s="25" t="str">
        <x:v>TheCyclicalBehaviorofDebt and Equity Finance</x:v>
      </x:c>
      <x:c r="N34" s="25" t="str"/>
      <x:c r="O34" s="25" t="str">
        <x:v>Una referencia completa; apellido, año y título concuerdan con el PDF.</x:v>
      </x:c>
      <x:c r="P34" s="25" t="str">
        <x:v>saki_research/published_papers/bigio_endogenous_liquidity_business_cycle.pdf</x:v>
      </x:c>
      <x:c r="Q34" s="25" t="str">
        <x:v>Página PDF 42:
nomic Review, 2014, 104 (1), 27–65. 4, 27
Comin, Diego and Mark Gertler, “Medium-Term Business Cycles,” Ameri-
can Economic Review, 2006, 96 (3), 523–551. 27
Cooper, Russell, John Haltiwanger, and Laura Power, “Machine Re-
placement and the Business Cycle: Lumps and Bumps,” American Economic
Review, 1999, 89 (4), 921–946. 28, 30
Covas, Francisco and Wouter J. Den Haan, “TheCyclicalBehaviorofDebt
and Equity Finance,” American Economic Review, 2011, 101 (2), 877–99. 2,
27, 32
del Negro, Marco, Gauti Eggertsson, Andrea Ferrero, and Nobuhiro
Kiyotaki, “The Great Escape? A Quantitative Evaluation of the Fed’s Non-
Standard Policies,” 2010. Unpublished. 4, 29
DeMarzo, Peter and Darrell Duffie, “A Liquidity-Based Model of Security</x:v>
      </x:c>
    </x:row>
    <x:row r="35" ht="72" customHeight="1">
      <x:c r="A35" s="24" t="str">
        <x:v>T-023</x:v>
      </x:c>
      <x:c r="B35" s="24" t="str">
        <x:v>P03</x:v>
      </x:c>
      <x:c r="C35" s="24" t="n">
        <x:v>14</x:v>
      </x:c>
      <x:c r="D35" s="24" t="str">
        <x:v>42</x:v>
      </x:c>
      <x:c r="E35" s="24" t="str">
        <x:v>correcta</x:v>
      </x:c>
      <x:c r="F35" s="24" t="str">
        <x:v>sí</x:v>
      </x:c>
      <x:c r="G35" s="24" t="str">
        <x:v>sí</x:v>
      </x:c>
      <x:c r="H35" s="24" t="str">
        <x:v>sí</x:v>
      </x:c>
      <x:c r="I35" s="24" t="str">
        <x:v>sí</x:v>
      </x:c>
      <x:c r="J35" s="24" t="str">
        <x:v>sí</x:v>
      </x:c>
      <x:c r="K35" s="24" t="str">
        <x:v>DeMarzo</x:v>
      </x:c>
      <x:c r="L35" s="26" t="n">
        <x:v>1999</x:v>
      </x:c>
      <x:c r="M35" s="25" t="str">
        <x:v>A Liquidity-Based Model of Security Design</x:v>
      </x:c>
      <x:c r="N35" s="25" t="str"/>
      <x:c r="O35" s="25" t="str">
        <x:v>Una referencia completa; apellido, año y título concuerdan con el PDF.</x:v>
      </x:c>
      <x:c r="P35" s="25" t="str">
        <x:v>saki_research/published_papers/bigio_endogenous_liquidity_business_cycle.pdf</x:v>
      </x:c>
      <x:c r="Q35" s="25" t="str">
        <x:v>Página PDF 42:
Covas, Francisco and Wouter J. Den Haan, “TheCyclicalBehaviorofDebt
and Equity Finance,” American Economic Review, 2011, 101 (2), 877–99. 2,
27, 32
del Negro, Marco, Gauti Eggertsson, Andrea Ferrero, and Nobuhiro
Kiyotaki, “The Great Escape? A Quantitative Evaluation of the Fed’s Non-
Standard Policies,” 2010. Unpublished. 4, 29
DeMarzo, Peter and Darrell Duffie, “A Liquidity-Based Model of Security
Design,” Econometrica, 1999, 67 (1), 65–99. 16, 38, 50
Eisfeldt, Andrea L., “Endogenous Liquidity in Asset Markets,” The Journal
of Finance, 2004, 59 (1), 1–30. 3
and Adriano A. Rampini, “Capital reallocation and liquidity,” Journal of
Monetary Economics, 2006, 53 (3), 369 – 399. 2
Fernald, John G., “A Quarterly, Utilization-Adjusted Series on Total Factor</x:v>
      </x:c>
    </x:row>
    <x:row r="36" ht="72" customHeight="1">
      <x:c r="A36" s="24" t="str">
        <x:v>T-024</x:v>
      </x:c>
      <x:c r="B36" s="24" t="str">
        <x:v>P03</x:v>
      </x:c>
      <x:c r="C36" s="24" t="n">
        <x:v>18</x:v>
      </x:c>
      <x:c r="D36" s="24" t="str">
        <x:v>42</x:v>
      </x:c>
      <x:c r="E36" s="24" t="str">
        <x:v>correcta</x:v>
      </x:c>
      <x:c r="F36" s="24" t="str">
        <x:v>sí</x:v>
      </x:c>
      <x:c r="G36" s="24" t="str">
        <x:v>sí</x:v>
      </x:c>
      <x:c r="H36" s="24" t="str">
        <x:v>sí</x:v>
      </x:c>
      <x:c r="I36" s="24" t="str">
        <x:v>sí</x:v>
      </x:c>
      <x:c r="J36" s="24" t="str">
        <x:v>sí</x:v>
      </x:c>
      <x:c r="K36" s="24" t="str">
        <x:v>Fort</x:v>
      </x:c>
      <x:c r="L36" s="26" t="n">
        <x:v>2013</x:v>
      </x:c>
      <x:c r="M36" s="25" t="str">
        <x:v>HowFirmsRespondtoBusinessCycles: theRoleofFirmAgeandFirmSize</x:v>
      </x:c>
      <x:c r="N36" s="25" t="str"/>
      <x:c r="O36" s="25" t="str">
        <x:v>Una referencia completa; apellido, año y título concuerdan con el PDF.</x:v>
      </x:c>
      <x:c r="P36" s="25" t="str">
        <x:v>saki_research/published_papers/bigio_endogenous_liquidity_business_cycle.pdf</x:v>
      </x:c>
      <x:c r="Q36" s="25" t="str">
        <x:v>Página PDF 42:
of Finance, 2004, 59 (1), 1–30. 3
and Adriano A. Rampini, “Capital reallocation and liquidity,” Journal of
Monetary Economics, 2006, 53 (3), 369 – 399. 2
Fernald, John G., “A Quarterly, Utilization-Adjusted Series on Total Factor
Productivity,” 2012. Federal Reserve Bank of San Francisco Working Paper.
27, 36, 67
Fort, TeresaC., JohnHaltiwanger, RonS.Jarmin, andJavierMiranda,
“HowFirmsRespondtoBusinessCycles: theRoleofFirmAgeandFirmSize,”
2013. National Bureau of Economic Research Working Paper 19134. 3, 36
Gilchrist, Simon and Egon Zakrajek, “Credit Spreads and Business Cycle
Fluctuations,” American Economic Review, 2012, 102 (4), 1692–1720. 2
Gomes, Joao F., “Financing Investment,” American Economic Review, 2001,
91 (5), 1263–1285. 2</x:v>
      </x:c>
    </x:row>
    <x:row r="37" ht="72" customHeight="1">
      <x:c r="A37" s="24" t="str">
        <x:v>T-025</x:v>
      </x:c>
      <x:c r="B37" s="24" t="str">
        <x:v>P03</x:v>
      </x:c>
      <x:c r="C37" s="24" t="n">
        <x:v>19</x:v>
      </x:c>
      <x:c r="D37" s="24" t="str">
        <x:v>42</x:v>
      </x:c>
      <x:c r="E37" s="24" t="str">
        <x:v>correcta</x:v>
      </x:c>
      <x:c r="F37" s="24" t="str">
        <x:v>sí</x:v>
      </x:c>
      <x:c r="G37" s="24" t="str">
        <x:v>sí</x:v>
      </x:c>
      <x:c r="H37" s="24" t="str">
        <x:v>sí</x:v>
      </x:c>
      <x:c r="I37" s="24" t="str">
        <x:v>sí</x:v>
      </x:c>
      <x:c r="J37" s="24" t="str">
        <x:v>sí</x:v>
      </x:c>
      <x:c r="K37" s="24" t="str">
        <x:v>Gilchrist</x:v>
      </x:c>
      <x:c r="L37" s="26" t="n">
        <x:v>2012</x:v>
      </x:c>
      <x:c r="M37" s="25" t="str">
        <x:v>Credit Spreads and Business Cycle Fluctuations</x:v>
      </x:c>
      <x:c r="N37" s="25" t="str"/>
      <x:c r="O37" s="25" t="str">
        <x:v>Una referencia completa; apellido, año y título concuerdan con el PDF.</x:v>
      </x:c>
      <x:c r="P37" s="25" t="str">
        <x:v>saki_research/published_papers/bigio_endogenous_liquidity_business_cycle.pdf</x:v>
      </x:c>
      <x:c r="Q37" s="25" t="str">
        <x:v>Página PDF 42:
Fernald, John G., “A Quarterly, Utilization-Adjusted Series on Total Factor
Productivity,” 2012. Federal Reserve Bank of San Francisco Working Paper.
27, 36, 67
Fort, TeresaC., JohnHaltiwanger, RonS.Jarmin, andJavierMiranda,
“HowFirmsRespondtoBusinessCycles: theRoleofFirmAgeandFirmSize,”
2013. National Bureau of Economic Research Working Paper 19134. 3, 36
Gilchrist, Simon and Egon Zakrajek, “Credit Spreads and Business Cycle
Fluctuations,” American Economic Review, 2012, 102 (4), 1692–1720. 2
Gomes, Joao F., “Financing Investment,” American Economic Review, 2001,
91 (5), 1263–1285. 2</x:v>
      </x:c>
    </x:row>
    <x:row r="38" ht="72" customHeight="1">
      <x:c r="A38" s="24" t="str">
        <x:v>T-026</x:v>
      </x:c>
      <x:c r="B38" s="24" t="str">
        <x:v>P05</x:v>
      </x:c>
      <x:c r="C38" s="24" t="n">
        <x:v>15</x:v>
      </x:c>
      <x:c r="D38" s="24" t="str">
        <x:v>51</x:v>
      </x:c>
      <x:c r="E38" s="24" t="str">
        <x:v>correcta</x:v>
      </x:c>
      <x:c r="F38" s="24" t="str">
        <x:v>sí</x:v>
      </x:c>
      <x:c r="G38" s="24" t="str">
        <x:v>sí</x:v>
      </x:c>
      <x:c r="H38" s="24" t="str">
        <x:v>sí</x:v>
      </x:c>
      <x:c r="I38" s="24" t="str">
        <x:v>sí</x:v>
      </x:c>
      <x:c r="J38" s="24" t="str">
        <x:v>sí</x:v>
      </x:c>
      <x:c r="K38" s="24" t="str">
        <x:v>Carvalho</x:v>
      </x:c>
      <x:c r="L38" s="26" t="n">
        <x:v>2013</x:v>
      </x:c>
      <x:c r="M38" s="25" t="str">
        <x:v>The Great Diversification and Its Undoing</x:v>
      </x:c>
      <x:c r="N38" s="25" t="str"/>
      <x:c r="O38" s="25" t="str">
        <x:v>Una referencia completa; apellido, año y título concuerdan con el PDF.</x:v>
      </x:c>
      <x:c r="P38" s="25" t="str">
        <x:v>saki_research/published_papers/bigio_lao_distortions_production_networks.pdf</x:v>
      </x:c>
      <x:c r="Q38" s="25" t="str">
        <x:v>Página PDF 51:
1341–1393.
Bigio, Saki. “Endogenous Liquidity and the Business Cycle.” American Economic Review,
105(2015),1883–1927.
Bigio, Saki and Jennifer La’O. “Replication Data for: ‘Distortions in Production Networks’.”
(2020). HarvardDataverse,doi: 10.7910/DVN/2DQ5KG.
Burress,David. “HomeomorphismbetweenLeontiefandCobb-Douglasinput-outputmodels.”
EconomicsLetters,44(1994),49–53.
Carvalho, Vasco and Xavier Gabaix. “The Great Diversification and Its Undoing.” American
EconomicReview,103(2013),1697–1727.
Carvalho,VascoM. “FromMicrotoMacroviaProductionNetworks.” TheJournalofEconomic
Perspectives,28(2014),23–47.
Carvalho,VascoM.andAlirezaTahbaz-Salehi.“ProductionNetworks:APrimer.”AnnualReview
ofEconomics,11(2019),635–663.</x:v>
      </x:c>
    </x:row>
    <x:row r="39" ht="72" customHeight="1">
      <x:c r="A39" s="24" t="str">
        <x:v>T-027</x:v>
      </x:c>
      <x:c r="B39" s="24" t="str">
        <x:v>P05</x:v>
      </x:c>
      <x:c r="C39" s="24" t="n">
        <x:v>29</x:v>
      </x:c>
      <x:c r="D39" s="24" t="str">
        <x:v>52</x:v>
      </x:c>
      <x:c r="E39" s="24" t="str">
        <x:v>correcta</x:v>
      </x:c>
      <x:c r="F39" s="24" t="str">
        <x:v>sí</x:v>
      </x:c>
      <x:c r="G39" s="24" t="str">
        <x:v>sí</x:v>
      </x:c>
      <x:c r="H39" s="24" t="str">
        <x:v>sí</x:v>
      </x:c>
      <x:c r="I39" s="24" t="str">
        <x:v>sí</x:v>
      </x:c>
      <x:c r="J39" s="24" t="str">
        <x:v>sí</x:v>
      </x:c>
      <x:c r="K39" s="24" t="str">
        <x:v>Horvath</x:v>
      </x:c>
      <x:c r="L39" s="26" t="n">
        <x:v>1998</x:v>
      </x:c>
      <x:c r="M39" s="25" t="str">
        <x:v>CyclicalityandSectoralLinkages: AggregateFluctuationsfromIndependent Sectoral Shocks</x:v>
      </x:c>
      <x:c r="N39" s="25" t="str"/>
      <x:c r="O39" s="25" t="str">
        <x:v>Una referencia completa; apellido, año y título concuerdan con el PDF.</x:v>
      </x:c>
      <x:c r="P39" s="25" t="str">
        <x:v>saki_research/published_papers/bigio_lao_distortions_production_networks.pdf</x:v>
      </x:c>
      <x:c r="Q39" s="25" t="str">
        <x:v>Página PDF 52:
Gertler, Mark and Peter Karadi. “A model of unconventional monetary policy.” Journal of
MonetaryEconomics,58(2011),17–34.
Gilchrist, Simon and Egon Zakrajsˇek. “Credit Spreads and Business Cycle Fluctuations.”
AmericanEconomicReview,102(2012),1692–1720.
Hall, Robert E. “Macroeconomic Fluctuations and the Allocation of Time.” Journal of Labor
Economics,15(1997),pp.S223–S250.
Horvath,Michael.“CyclicalityandSectoralLinkages:AggregateFluctuationsfromIndependent
SectoralShocks.” ReviewofEconomicDynamics,1(1998),781–808.
———. “Sectoralshocksandaggregatefluctuations.” JournalofMonetaryEconomics,45(2000),
69–106.
Hsieh, Chang-Tai and Peter J. Klenow. “Misallocation and Manufacturing TFP in China and
India.” TheQuarterlyJournalofEconomics,124(2009),1403–1448.
Hulten, Charles R. “Growth Accounting with Intermediate Inputs.” The Review of Economic</x:v>
      </x:c>
    </x:row>
    <x:row r="40" ht="72" customHeight="1">
      <x:c r="A40" s="24" t="str">
        <x:v>T-028</x:v>
      </x:c>
      <x:c r="B40" s="24" t="str">
        <x:v>P06</x:v>
      </x:c>
      <x:c r="C40" s="24" t="n">
        <x:v>16</x:v>
      </x:c>
      <x:c r="D40" s="24" t="str">
        <x:v>40</x:v>
      </x:c>
      <x:c r="E40" s="24" t="str">
        <x:v>correcta</x:v>
      </x:c>
      <x:c r="F40" s="24" t="str">
        <x:v>sí</x:v>
      </x:c>
      <x:c r="G40" s="24" t="str">
        <x:v>sí</x:v>
      </x:c>
      <x:c r="H40" s="24" t="str">
        <x:v>sí</x:v>
      </x:c>
      <x:c r="I40" s="24" t="str">
        <x:v>sí</x:v>
      </x:c>
      <x:c r="J40" s="24" t="str">
        <x:v>sí</x:v>
      </x:c>
      <x:c r="K40" s="24" t="str">
        <x:v>Chernow</x:v>
      </x:c>
      <x:c r="L40" s="26" t="n">
        <x:v>2010</x:v>
      </x:c>
      <x:c r="M40" s="25" t="str">
        <x:v>The house of Morgan: An American banking dynasty and the rise of modern finance</x:v>
      </x:c>
      <x:c r="N40" s="25" t="str"/>
      <x:c r="O40" s="25" t="str">
        <x:v>Una referencia completa; apellido, año y título concuerdan con el PDF.</x:v>
      </x:c>
      <x:c r="P40" s="25" t="str">
        <x:v>saki_research/published_papers/bigio_d_anvernas_financial_risk_capacity.pdf</x:v>
      </x:c>
      <x:c r="Q40" s="25" t="str">
        <x:v>Página PDF 40:
financial sector. American Economic Review, 104(2):379–421, 2014.
Calomiris, Charles W. and Gorton, Gary. The origins of banking panics: Models,
facts, and bank regulation. In Hubbard, R. Glenn, editor, Financial Markets and
Financial Crises. University of Chicago Press, 1991.
Cerra, Valerie and Saxena, Sweta Chaman. Growth dynamics: the myth of economic
recovery. American Economic Review, 98(1):439–57, 2008.
Chernow, Ron. The house of Morgan: An American banking dynasty and the rise of
modern finance. Grove/Atlantic, Inc., 2010.
Christiano, Lawrence J, Motto, Roberto, and Rostagno, Massimo. Risk shocks.
American Economic Review, 104(1):27–65, 2014.
Daley, Brendan and Green, Brett. Waiting for news in the market for lemons. Econo-
metrica, 80(4):1433–1504, 2012.
Dang, Tri Vi, Gorton, Gary, Holmstr¨om, Bengt, and Ordonez, Guillermo. Banks as</x:v>
      </x:c>
    </x:row>
    <x:row r="41" ht="72" customHeight="1">
      <x:c r="A41" s="24" t="str">
        <x:v>T-029</x:v>
      </x:c>
      <x:c r="B41" s="24" t="str">
        <x:v>P06</x:v>
      </x:c>
      <x:c r="C41" s="24" t="n">
        <x:v>52</x:v>
      </x:c>
      <x:c r="D41" s="24" t="str">
        <x:v>43</x:v>
      </x:c>
      <x:c r="E41" s="24" t="str">
        <x:v>correcta</x:v>
      </x:c>
      <x:c r="F41" s="24" t="str">
        <x:v>sí</x:v>
      </x:c>
      <x:c r="G41" s="24" t="str">
        <x:v>sí</x:v>
      </x:c>
      <x:c r="H41" s="24" t="str">
        <x:v>sí</x:v>
      </x:c>
      <x:c r="I41" s="24" t="str">
        <x:v>sí</x:v>
      </x:c>
      <x:c r="J41" s="24" t="str">
        <x:v>sí</x:v>
      </x:c>
      <x:c r="K41" s="24" t="str">
        <x:v>Myers</x:v>
      </x:c>
      <x:c r="L41" s="26" t="n">
        <x:v>1984</x:v>
      </x:c>
      <x:c r="M41" s="25" t="str">
        <x:v>Corporate financing and investment decisions when firms have information that investors do not have</x:v>
      </x:c>
      <x:c r="N41" s="25" t="str"/>
      <x:c r="O41" s="25" t="str">
        <x:v>Una referencia completa; apellido, año y título concuerdan con el PDF.</x:v>
      </x:c>
      <x:c r="P41" s="25" t="str">
        <x:v>saki_research/published_papers/bigio_d_anvernas_financial_risk_capacity.pdf</x:v>
      </x:c>
      <x:c r="Q41" s="25" t="str">
        <x:v>Página PDF 43:
Martinez-Miera, David and Suarez, Javier. A macroeconomic model of endogenous
systemic risk taking. 2012.
Mishkin, Frederic S. Asymmetric information and financial crises: a historical per-
spective. Technical report, National Bureau of Economic Research, 1990.
Myers, Stewart C. Determinants of corporate borrowing. Journal of financial eco-
nomics, 5(2):147–175, 1977.
Myers, Stewart C and Majluf, Nicholas S. Corporate financing and investment de-
cisions when firms have information that investors do not have. Journal of financial
economics, 13(2):187–221, 1984.
Ordonez, Guillermo. Theasymmetriceffectsoffinancialfrictions. Journal of Political
Economy, 121(5):844–895, 2013.
Plantin, Guillaume. Learning by holding and liquidity. The Review of Economic
Studies, 76(1):395–412, 2009.</x:v>
      </x:c>
    </x:row>
    <x:row r="42" ht="72" customHeight="1">
      <x:c r="A42" s="24" t="str">
        <x:v>T-030</x:v>
      </x:c>
      <x:c r="B42" s="24" t="str">
        <x:v>P06</x:v>
      </x:c>
      <x:c r="C42" s="24" t="n">
        <x:v>55</x:v>
      </x:c>
      <x:c r="D42" s="24" t="str">
        <x:v>43</x:v>
      </x:c>
      <x:c r="E42" s="24" t="str">
        <x:v>correcta</x:v>
      </x:c>
      <x:c r="F42" s="24" t="str">
        <x:v>sí</x:v>
      </x:c>
      <x:c r="G42" s="24" t="str">
        <x:v>sí</x:v>
      </x:c>
      <x:c r="H42" s="24" t="str">
        <x:v>sí</x:v>
      </x:c>
      <x:c r="I42" s="24" t="str">
        <x:v>sí</x:v>
      </x:c>
      <x:c r="J42" s="24" t="str">
        <x:v>sí</x:v>
      </x:c>
      <x:c r="K42" s="24" t="str">
        <x:v>Reinhart</x:v>
      </x:c>
      <x:c r="L42" s="26" t="n">
        <x:v>2009</x:v>
      </x:c>
      <x:c r="M42" s="25" t="str">
        <x:v>This time is different: Eight centuries of financial folly</x:v>
      </x:c>
      <x:c r="N42" s="25" t="str"/>
      <x:c r="O42" s="25" t="str">
        <x:v>Una referencia completa; apellido, año y título concuerdan con el PDF.</x:v>
      </x:c>
      <x:c r="P42" s="25" t="str">
        <x:v>saki_research/published_papers/bigio_d_anvernas_financial_risk_capacity.pdf</x:v>
      </x:c>
      <x:c r="Q42" s="25" t="str">
        <x:v>Página PDF 43:
cisions when firms have information that investors do not have. Journal of financial
economics, 13(2):187–221, 1984.
Ordonez, Guillermo. Theasymmetriceffectsoffinancialfrictions. Journal of Political
Economy, 121(5):844–895, 2013.
Plantin, Guillaume. Learning by holding and liquidity. The Review of Economic
Studies, 76(1):395–412, 2009.
Reinhart, Carmen M and Rogoff, Kenneth S. This time is different: Eight centuries
of financial folly. princeton university press, 2009.
Shleifer, Andrei and Vishny, Robert W. Liquidation values and debt capacity: A
market equilibrium approach. The Journal of Finance, 47(4):1343–1366, 1992.
Stiglitz, Joseph, Stiglitz, Joseph Eugene Stiglitz, and Greenwald, Bruce. Towards a
new paradigm in monetary economics. Cambridge university press, 2003.
Stiglitz, Joseph E and Weiss, Andrew. Credit rationing in markets with imperfect</x:v>
      </x:c>
    </x:row>
    <x:row r="43" ht="72" customHeight="1">
      <x:c r="A43" s="24" t="str">
        <x:v>T-031</x:v>
      </x:c>
      <x:c r="B43" s="24" t="str">
        <x:v>P07</x:v>
      </x:c>
      <x:c r="C43" s="24" t="n">
        <x:v>16</x:v>
      </x:c>
      <x:c r="D43" s="24" t="str">
        <x:v>45</x:v>
      </x:c>
      <x:c r="E43" s="24" t="str">
        <x:v>correcta</x:v>
      </x:c>
      <x:c r="F43" s="24" t="str">
        <x:v>sí</x:v>
      </x:c>
      <x:c r="G43" s="24" t="str">
        <x:v>sí</x:v>
      </x:c>
      <x:c r="H43" s="24" t="str">
        <x:v>no</x:v>
      </x:c>
      <x:c r="I43" s="24" t="str">
        <x:v>no</x:v>
      </x:c>
      <x:c r="J43" s="24" t="str">
        <x:v>sí</x:v>
      </x:c>
      <x:c r="K43" s="24" t="str">
        <x:v>Bindseil</x:v>
      </x:c>
      <x:c r="L43" s="26" t="n">
        <x:v>2014</x:v>
      </x:c>
      <x:c r="M43" s="25" t="str">
        <x:v>Monetary Policy Operations and the Financial System, Oxford University Press, first ed</x:v>
      </x:c>
      <x:c r="N43" s="25" t="str">
        <x:v>title: Monetary Policy Operations and the Financial System</x:v>
      </x:c>
      <x:c r="O43" s="25" t="str">
        <x:v>El campo incorporó la editorial y la indicación de primera edición después del título.</x:v>
      </x:c>
      <x:c r="P43" s="25" t="str">
        <x:v>saki_research/published_papers/bianchi_bigio_banks_liquidity_management_monetary_policy.pdf</x:v>
      </x:c>
      <x:c r="Q43" s="25" t="str">
        <x:v>Página PDF 45:
Bianchi, J., S. Bigio, and C. Engel
(2020): “ScramblingforDollars: InternationalLiquidity,
Banks and Exchange Rates,” Mimeo, Minneapolis Fed.
Bigio, S. and Y. Sannikov
(2019): “A Model of Intermediation, Money, Interest, and Prices,”
Unpublished Manuscript.
Bindseil, U. (2014): Monetary Policy Operations and the Financial System, Oxford University
Press, first ed.
44</x:v>
      </x:c>
    </x:row>
    <x:row r="44" ht="72" customHeight="1">
      <x:c r="A44" s="24" t="str">
        <x:v>T-032</x:v>
      </x:c>
      <x:c r="B44" s="24" t="str">
        <x:v>P07</x:v>
      </x:c>
      <x:c r="C44" s="24" t="n">
        <x:v>55</x:v>
      </x:c>
      <x:c r="D44" s="24" t="str">
        <x:v>48</x:v>
      </x:c>
      <x:c r="E44" s="24" t="str">
        <x:v>correcta</x:v>
      </x:c>
      <x:c r="F44" s="24" t="str">
        <x:v>sí</x:v>
      </x:c>
      <x:c r="G44" s="24" t="str">
        <x:v>sí</x:v>
      </x:c>
      <x:c r="H44" s="24" t="str">
        <x:v>sí</x:v>
      </x:c>
      <x:c r="I44" s="24" t="str">
        <x:v>sí</x:v>
      </x:c>
      <x:c r="J44" s="24" t="str">
        <x:v>sí</x:v>
      </x:c>
      <x:c r="K44" s="24" t="str">
        <x:v>Krishnamurthy</x:v>
      </x:c>
      <x:c r="L44" s="26" t="n">
        <x:v>2012</x:v>
      </x:c>
      <x:c r="M44" s="25" t="str">
        <x:v>The Aggregate Demand for Treasury Debt</x:v>
      </x:c>
      <x:c r="N44" s="25" t="str"/>
      <x:c r="O44" s="25" t="str">
        <x:v>Una referencia completa; apellido, año y título concuerdan con el PDF.</x:v>
      </x:c>
      <x:c r="P44" s="25" t="str">
        <x:v>saki_research/published_papers/bianchi_bigio_banks_liquidity_management_monetary_policy.pdf</x:v>
      </x:c>
      <x:c r="Q44" s="25" t="str">
        <x:v>Página PDF 48:
serves?” Federal Reserve Bank of New York Staff Report no. 380.
Kiyotaki, N. and J. Moore (1997): “Credit Cycles,” Journal of Political Economy, 105,
211–248.
Kiyotaki, N. and R. Wright (1989): “On Money as a Medium of Exchange,” Journal of
Political Economy, 97, 927–954.
Krishnamurthy, A. and A. Vissing-Jørgensen
(2012): “The Aggregate Demand for Trea-
sury Debt,” Journal of Political Economy, 120, 233–267.
Lagos, R., G. Rocheteau, and R. Wright
(2017): “Liquidity: A New Monetarist Per-
spective,” Journal of Economic Literature, 55, 371–440.
Lagos, R. and R. Wright
(2005): “Unified Framework for Monetary Theory and Policy</x:v>
      </x:c>
    </x:row>
    <x:row r="45" ht="72" customHeight="1">
      <x:c r="A45" s="24" t="str">
        <x:v>T-033</x:v>
      </x:c>
      <x:c r="B45" s="24" t="str">
        <x:v>P07</x:v>
      </x:c>
      <x:c r="C45" s="24" t="n">
        <x:v>59</x:v>
      </x:c>
      <x:c r="D45" s="24" t="str">
        <x:v>48</x:v>
      </x:c>
      <x:c r="E45" s="24" t="str">
        <x:v>correcta</x:v>
      </x:c>
      <x:c r="F45" s="24" t="str">
        <x:v>sí</x:v>
      </x:c>
      <x:c r="G45" s="24" t="str">
        <x:v>sí</x:v>
      </x:c>
      <x:c r="H45" s="24" t="str">
        <x:v>sí</x:v>
      </x:c>
      <x:c r="I45" s="24" t="str">
        <x:v>sí</x:v>
      </x:c>
      <x:c r="J45" s="24" t="str">
        <x:v>sí</x:v>
      </x:c>
      <x:c r="K45" s="24" t="str">
        <x:v>Logan</x:v>
      </x:c>
      <x:c r="L45" s="26" t="n">
        <x:v>2019</x:v>
      </x:c>
      <x:c r="M45" s="25" t="str">
        <x:v>Observations on Implementing Monetary Policy in an Ample-Reserves Regime</x:v>
      </x:c>
      <x:c r="N45" s="25" t="str"/>
      <x:c r="O45" s="25" t="str">
        <x:v>Una referencia completa; apellido, año y título concuerdan con el PDF.</x:v>
      </x:c>
      <x:c r="P45" s="25" t="str">
        <x:v>saki_research/published_papers/bianchi_bigio_banks_liquidity_management_monetary_policy.pdf</x:v>
      </x:c>
      <x:c r="Q45" s="25" t="str">
        <x:v>Página PDF 48:
(2005): “Unified Framework for Monetary Theory and Policy
Analysis,” Journal of Political Economy, 113, 463–484.
Lester, B., A. Postlewaite, and R. Wright
(2012): “Information, Liquidity, AssetPrices,
and Monetary Policy,” The Review of Economic Studies, 79, 1209–1238.
Logan, L. K.
(2019): “Observations on Implementing Monetary Policy in an Ample-Reserves
Regime,” Remarks before the Money Marketeers of New York University, New York City.
Lucas, R. E. and N. L. Stokey
(1983): “Optimal fiscal and monetary policy in an economy
without capital,” Journal of monetary Economics, 12, 55–93.
Martin, A., J. McAndrews, A. Palida, and D. R. Skeie
(2013): “Federal Reserve Tools</x:v>
      </x:c>
    </x:row>
    <x:row r="46" ht="72" customHeight="1">
      <x:c r="A46" s="24" t="str">
        <x:v>T-034</x:v>
      </x:c>
      <x:c r="B46" s="24" t="str">
        <x:v>P07</x:v>
      </x:c>
      <x:c r="C46" s="24" t="n">
        <x:v>62</x:v>
      </x:c>
      <x:c r="D46" s="24" t="str">
        <x:v>48</x:v>
      </x:c>
      <x:c r="E46" s="24" t="str">
        <x:v>correcta</x:v>
      </x:c>
      <x:c r="F46" s="24" t="str">
        <x:v>sí</x:v>
      </x:c>
      <x:c r="G46" s="24" t="str">
        <x:v>sí</x:v>
      </x:c>
      <x:c r="H46" s="24" t="str">
        <x:v>sí</x:v>
      </x:c>
      <x:c r="I46" s="24" t="str">
        <x:v>sí</x:v>
      </x:c>
      <x:c r="J46" s="24" t="str">
        <x:v>sí</x:v>
      </x:c>
      <x:c r="K46" s="24" t="str">
        <x:v>Nagel</x:v>
      </x:c>
      <x:c r="L46" s="26" t="n">
        <x:v>2016</x:v>
      </x:c>
      <x:c r="M46" s="25" t="str">
        <x:v>The Liquidity Premium of Near-Money Assets</x:v>
      </x:c>
      <x:c r="N46" s="25" t="str"/>
      <x:c r="O46" s="25" t="str">
        <x:v>Una referencia completa; apellido, año y título concuerdan con el PDF.</x:v>
      </x:c>
      <x:c r="P46" s="25" t="str">
        <x:v>saki_research/published_papers/bianchi_bigio_banks_liquidity_management_monetary_policy.pdf</x:v>
      </x:c>
      <x:c r="Q46" s="25" t="str">
        <x:v>Página PDF 48:
Regime,” Remarks before the Money Marketeers of New York University, New York City.
Lucas, R. E. and N. L. Stokey
(1983): “Optimal fiscal and monetary policy in an economy
without capital,” Journal of monetary Economics, 12, 55–93.
Martin, A., J. McAndrews, A. Palida, and D. R. Skeie
(2013): “Federal Reserve Tools
for Managing Rates and Reserves,” Federal Reserve Bank of New York Staff Report no. 642.
Nagel, S. (2016): “The Liquidity Premium of Near-Money Assets,” The Quarterly Journal of
Economics, 131, 1927–1971.
Piazzesi, M., C. Rogers, and M. Schneider
(2019): “Money and Banking in a New
Keynesian Model,” Working Paper, Stanford.
Piazzesi, M. and M. Schneider</x:v>
      </x:c>
    </x:row>
    <x:row r="47" ht="72" customHeight="1">
      <x:c r="A47" s="24" t="str">
        <x:v>T-035</x:v>
      </x:c>
      <x:c r="B47" s="24" t="str">
        <x:v>P07</x:v>
      </x:c>
      <x:c r="C47" s="24" t="n">
        <x:v>64</x:v>
      </x:c>
      <x:c r="D47" s="24" t="str">
        <x:v>48</x:v>
      </x:c>
      <x:c r="E47" s="24" t="str">
        <x:v>correcta</x:v>
      </x:c>
      <x:c r="F47" s="24" t="str">
        <x:v>sí</x:v>
      </x:c>
      <x:c r="G47" s="24" t="str">
        <x:v>sí</x:v>
      </x:c>
      <x:c r="H47" s="24" t="str">
        <x:v>sí</x:v>
      </x:c>
      <x:c r="I47" s="24" t="str">
        <x:v>sí</x:v>
      </x:c>
      <x:c r="J47" s="24" t="str">
        <x:v>sí</x:v>
      </x:c>
      <x:c r="K47" s="24" t="str">
        <x:v>Piazzesi</x:v>
      </x:c>
      <x:c r="L47" s="26" t="n">
        <x:v>2018</x:v>
      </x:c>
      <x:c r="M47" s="25" t="str">
        <x:v>Payments, Credit and Asset Prices</x:v>
      </x:c>
      <x:c r="N47" s="25" t="str"/>
      <x:c r="O47" s="25" t="str">
        <x:v>Una referencia completa; apellido, año y título concuerdan con el PDF.</x:v>
      </x:c>
      <x:c r="P47" s="25" t="str">
        <x:v>saki_research/published_papers/bianchi_bigio_banks_liquidity_management_monetary_policy.pdf</x:v>
      </x:c>
      <x:c r="Q47" s="25" t="str">
        <x:v>Página PDF 48:
for Managing Rates and Reserves,” Federal Reserve Bank of New York Staff Report no. 642.
Nagel, S. (2016): “The Liquidity Premium of Near-Money Assets,” The Quarterly Journal of
Economics, 131, 1927–1971.
Piazzesi, M., C. Rogers, and M. Schneider
(2019): “Money and Banking in a New
Keynesian Model,” Working Paper, Stanford.
Piazzesi, M. and M. Schneider
(2018): “Payments, Credit and Asset Prices,” Mimeo, Stan-
ford.
Poole, W.
(1968): “Commercial Bank Reserve Management in a Stochastic Model: Implica-
tions for Monetary Policy,” Journal of Finance, 23, 769–791.
Potter, S.</x:v>
      </x:c>
    </x:row>
    <x:row r="48" ht="72" customHeight="1">
      <x:c r="A48" s="24" t="str">
        <x:v>T-036</x:v>
      </x:c>
      <x:c r="B48" s="24" t="str">
        <x:v>P07</x:v>
      </x:c>
      <x:c r="C48" s="24" t="n">
        <x:v>66</x:v>
      </x:c>
      <x:c r="D48" s="24" t="str">
        <x:v>48</x:v>
      </x:c>
      <x:c r="E48" s="24" t="str">
        <x:v>correcta</x:v>
      </x:c>
      <x:c r="F48" s="24" t="str">
        <x:v>sí</x:v>
      </x:c>
      <x:c r="G48" s="24" t="str">
        <x:v>sí</x:v>
      </x:c>
      <x:c r="H48" s="24" t="str">
        <x:v>sí</x:v>
      </x:c>
      <x:c r="I48" s="24" t="str">
        <x:v>sí</x:v>
      </x:c>
      <x:c r="J48" s="24" t="str">
        <x:v>sí</x:v>
      </x:c>
      <x:c r="K48" s="24" t="str">
        <x:v>Potter</x:v>
      </x:c>
      <x:c r="L48" s="26" t="n">
        <x:v>2017</x:v>
      </x:c>
      <x:c r="M48" s="25" t="str">
        <x:v>Money Markets at a Crossroads: Policy Implementation at a Time of Structural Change</x:v>
      </x:c>
      <x:c r="N48" s="25" t="str"/>
      <x:c r="O48" s="25" t="str">
        <x:v>Una referencia completa; apellido, año y título concuerdan con el PDF.</x:v>
      </x:c>
      <x:c r="P48" s="25" t="str">
        <x:v>saki_research/published_papers/bianchi_bigio_banks_liquidity_management_monetary_policy.pdf</x:v>
      </x:c>
      <x:c r="Q48" s="25" t="str">
        <x:v>Página PDF 48:
(2018): “Payments, Credit and Asset Prices,” Mimeo, Stan-
ford.
Poole, W.
(1968): “Commercial Bank Reserve Management in a Stochastic Model: Implica-
tions for Monetary Policy,” Journal of Finance, 23, 769–791.
Potter, S.
(2017): “Money Markets at a Crossroads: Policy Implementation at a Time of
Structural Change,” Remarks at the Master of Applied Economics’ Distinguished Speaker
Series, University of California, Los Angeles, April 05, 2017.
47</x:v>
      </x:c>
    </x:row>
    <x:row r="49" ht="72" customHeight="1">
      <x:c r="A49" s="24" t="str">
        <x:v>T-037</x:v>
      </x:c>
      <x:c r="B49" s="24" t="str">
        <x:v>P08</x:v>
      </x:c>
      <x:c r="C49" s="24" t="n">
        <x:v>4</x:v>
      </x:c>
      <x:c r="D49" s="24" t="str">
        <x:v>43</x:v>
      </x:c>
      <x:c r="E49" s="24" t="str">
        <x:v>correcta</x:v>
      </x:c>
      <x:c r="F49" s="24" t="str">
        <x:v>sí</x:v>
      </x:c>
      <x:c r="G49" s="24" t="str">
        <x:v>sí</x:v>
      </x:c>
      <x:c r="H49" s="24" t="str">
        <x:v>sí</x:v>
      </x:c>
      <x:c r="I49" s="24" t="str">
        <x:v>sí</x:v>
      </x:c>
      <x:c r="J49" s="24" t="str">
        <x:v>sí</x:v>
      </x:c>
      <x:c r="K49" s="24" t="str">
        <x:v>Aguiar</x:v>
      </x:c>
      <x:c r="L49" s="26"/>
      <x:c r="M49" s="25" t="str">
        <x:v>Taketheshortroute: Equilibriumdefaultanddebtmaturity</x:v>
      </x:c>
      <x:c r="N49" s="25" t="str"/>
      <x:c r="O49" s="25" t="str">
        <x:v>Una referencia completa; apellido, año y título concuerdan con el PDF.</x:v>
      </x:c>
      <x:c r="P49" s="25" t="str">
        <x:v>saki_research/published_papers/bigio_nuno_passadore_debt_maturity_management_liquidity_costs.pdf</x:v>
      </x:c>
      <x:c r="Q49" s="25" t="str">
        <x:v>Página PDF 43:
and wealth distribution in macroeconomics: A continuous-time approach,” Technical Report, National
BureauofEconomicResearch2017.
Aguiar, Mark and Gita Gopinath, “Defaultable debt, interest rates and the current account,” Journal of
InternationalEconomics,2006,69(1),64–83.
and Manuel Amador, “Sovereign Debt: A Review,” Technical Report, National Bureau of Economic
ResearchAugust2013.
, ,HugoHopenhayn,andIvánWerning,“Taketheshortroute: Equilibriumdefaultanddebtmatu-
rity,”Econometrica,Forthcoming.
Ahn,S,GregKaplan,BenjaminMoll,ThomasWinberry,andChristianWolf,“MicroHeterogeneity
andAggregateConsumptionDynamics,”NBERMacroeconomicsAnnual,forthcoming,2017.
Aiyagari,SRao,AlbertMarcet,ThomasJSargent,andJuhaSeppälä,“Optimaltaxationwithoutstate-
contingentdebt,”JournalofPoliticalEconomy,2002,110(6),1220–1254.
Angeletos, George-Marios, “Fiscal policy with noncontingent debt and the optimal maturity structure,”</x:v>
      </x:c>
    </x:row>
    <x:row r="50" ht="72" customHeight="1">
      <x:c r="A50" s="24" t="str">
        <x:v>T-038</x:v>
      </x:c>
      <x:c r="B50" s="24" t="str">
        <x:v>P08</x:v>
      </x:c>
      <x:c r="C50" s="24" t="n">
        <x:v>5</x:v>
      </x:c>
      <x:c r="D50" s="24" t="str">
        <x:v>43</x:v>
      </x:c>
      <x:c r="E50" s="24" t="str">
        <x:v>correcta</x:v>
      </x:c>
      <x:c r="F50" s="24" t="str">
        <x:v>sí</x:v>
      </x:c>
      <x:c r="G50" s="24" t="str">
        <x:v>sí</x:v>
      </x:c>
      <x:c r="H50" s="24" t="str">
        <x:v>sí</x:v>
      </x:c>
      <x:c r="I50" s="24" t="str">
        <x:v>sí</x:v>
      </x:c>
      <x:c r="J50" s="24" t="str">
        <x:v>sí</x:v>
      </x:c>
      <x:c r="K50" s="24" t="str">
        <x:v>Ahn</x:v>
      </x:c>
      <x:c r="L50" s="26" t="n">
        <x:v>2017</x:v>
      </x:c>
      <x:c r="M50" s="25" t="str">
        <x:v>MicroHeterogeneity andAggregateConsumptionDynamics</x:v>
      </x:c>
      <x:c r="N50" s="25" t="str"/>
      <x:c r="O50" s="25" t="str">
        <x:v>Una referencia completa; apellido, año y título concuerdan con el PDF.</x:v>
      </x:c>
      <x:c r="P50" s="25" t="str">
        <x:v>saki_research/published_papers/bigio_nuno_passadore_debt_maturity_management_liquidity_costs.pdf</x:v>
      </x:c>
      <x:c r="Q50" s="25" t="str">
        <x:v>Página PDF 43:
Aguiar, Mark and Gita Gopinath, “Defaultable debt, interest rates and the current account,” Journal of
InternationalEconomics,2006,69(1),64–83.
and Manuel Amador, “Sovereign Debt: A Review,” Technical Report, National Bureau of Economic
ResearchAugust2013.
, ,HugoHopenhayn,andIvánWerning,“Taketheshortroute: Equilibriumdefaultanddebtmatu-
rity,”Econometrica,Forthcoming.
Ahn,S,GregKaplan,BenjaminMoll,ThomasWinberry,andChristianWolf,“MicroHeterogeneity
andAggregateConsumptionDynamics,”NBERMacroeconomicsAnnual,forthcoming,2017.
Aiyagari,SRao,AlbertMarcet,ThomasJSargent,andJuhaSeppälä,“Optimaltaxationwithoutstate-
contingentdebt,”JournalofPoliticalEconomy,2002,110(6),1220–1254.
Angeletos, George-Marios, “Fiscal policy with noncontingent debt and the optimal maturity structure,”
TheQuarterlyJournalofEconomics,2002,117(3),1105–1131.
Arellano, Cristina, “Default Risk and Income Fluctuations in Emerging Economies,” The American Eco-</x:v>
      </x:c>
    </x:row>
    <x:row r="51" ht="72" customHeight="1">
      <x:c r="A51" s="24" t="str">
        <x:v>T-039</x:v>
      </x:c>
      <x:c r="B51" s="24" t="str">
        <x:v>P08</x:v>
      </x:c>
      <x:c r="C51" s="24" t="n">
        <x:v>14</x:v>
      </x:c>
      <x:c r="D51" s="24" t="str">
        <x:v>44</x:v>
      </x:c>
      <x:c r="E51" s="24" t="str">
        <x:v>correcta</x:v>
      </x:c>
      <x:c r="F51" s="24" t="str">
        <x:v>sí</x:v>
      </x:c>
      <x:c r="G51" s="24" t="str">
        <x:v>sí</x:v>
      </x:c>
      <x:c r="H51" s="24" t="str">
        <x:v>sí</x:v>
      </x:c>
      <x:c r="I51" s="24" t="str">
        <x:v>sí</x:v>
      </x:c>
      <x:c r="J51" s="24" t="str">
        <x:v>sí</x:v>
      </x:c>
      <x:c r="K51" s="24" t="str">
        <x:v>Bhandari</x:v>
      </x:c>
      <x:c r="L51" s="26" t="n">
        <x:v>2017</x:v>
      </x:c>
      <x:c r="M51" s="25" t="str">
        <x:v>Fiscal Policy and Debt ManagementwithIncompleteMarkets*</x:v>
      </x:c>
      <x:c r="N51" s="25" t="str"/>
      <x:c r="O51" s="25" t="str">
        <x:v>Una referencia completa; apellido, año y título concuerdan con el PDF.</x:v>
      </x:c>
      <x:c r="P51" s="25" t="str">
        <x:v>saki_research/published_papers/bigio_nuno_passadore_debt_maturity_management_liquidity_costs.pdf</x:v>
      </x:c>
      <x:c r="Q51" s="25" t="str">
        <x:v>Página PDF 44:
Barro, Robert J., “Rare Disasters and Asset Markets in the Twentieth Century,” The Quarterly Journal of
Economics,2006,121(3),823–866.
Bhandari, Anmol, David Evans, Mikhail Golosov, and Thomas J. Sargent, “Fiscal Policy and Debt
ManagementwithIncompleteMarkets*,”TheQuarterlyJournalofEconomics,2017,132(2),617–663.
Bianchi,Javier,JuanCarlosHatchondo,andLeonardoMartinez,“Internationalreservesandrollover
risk,”AmericanEconomicReview,Forthcoming.
Bocola,LuigiandAlessandroDovis,“Self-FulfillingDebtCrises:AQuantitativeAnalysis,”WorkingPaper,
2018.
Boppart, Timo, Per Krusell, and Kurt Mitman, “Exploiting MIT shocks in heterogeneous-agent
economies: the impulse response as a numerical derivative,” Journal of Economic Dynamics and Control,</x:v>
      </x:c>
    </x:row>
    <x:row r="52" ht="72" customHeight="1">
      <x:c r="A52" s="24" t="str">
        <x:v>T-040</x:v>
      </x:c>
      <x:c r="B52" s="24" t="str">
        <x:v>P08</x:v>
      </x:c>
      <x:c r="C52" s="24" t="n">
        <x:v>17</x:v>
      </x:c>
      <x:c r="D52" s="24" t="str">
        <x:v>44</x:v>
      </x:c>
      <x:c r="E52" s="24" t="str">
        <x:v>correcta</x:v>
      </x:c>
      <x:c r="F52" s="24" t="str">
        <x:v>sí</x:v>
      </x:c>
      <x:c r="G52" s="24" t="str">
        <x:v>sí</x:v>
      </x:c>
      <x:c r="H52" s="24" t="str">
        <x:v>sí</x:v>
      </x:c>
      <x:c r="I52" s="24" t="str">
        <x:v>sí</x:v>
      </x:c>
      <x:c r="J52" s="24" t="str">
        <x:v>sí</x:v>
      </x:c>
      <x:c r="K52" s="24" t="str">
        <x:v>Boppart</x:v>
      </x:c>
      <x:c r="L52" s="26" t="n">
        <x:v>2018</x:v>
      </x:c>
      <x:c r="M52" s="25" t="str">
        <x:v>Exploiting MIT shocks in heterogeneous-agent economies: the impulse response as a numerical derivative</x:v>
      </x:c>
      <x:c r="N52" s="25" t="str"/>
      <x:c r="O52" s="25" t="str">
        <x:v>Una referencia completa; apellido, año y título concuerdan con el PDF.</x:v>
      </x:c>
      <x:c r="P52" s="25" t="str">
        <x:v>saki_research/published_papers/bigio_nuno_passadore_debt_maturity_management_liquidity_costs.pdf</x:v>
      </x:c>
      <x:c r="Q52" s="25" t="str">
        <x:v>Página PDF 44:
Bhandari, Anmol, David Evans, Mikhail Golosov, and Thomas J. Sargent, “Fiscal Policy and Debt
ManagementwithIncompleteMarkets*,”TheQuarterlyJournalofEconomics,2017,132(2),617–663.
Bianchi,Javier,JuanCarlosHatchondo,andLeonardoMartinez,“Internationalreservesandrollover
risk,”AmericanEconomicReview,Forthcoming.
Bocola,LuigiandAlessandroDovis,“Self-FulfillingDebtCrises:AQuantitativeAnalysis,”WorkingPaper,
2018.
Boppart, Timo, Per Krusell, and Kurt Mitman, “Exploiting MIT shocks in heterogeneous-agent
economies: the impulse response as a numerical derivative,” Journal of Economic Dynamics and Control,
2018,89(C),68–92.
Breedon,“OntheTransactionsCostsofUKQuantitativeEasing,”JournalofBankingandFinance,2018,88,
347–356.
Buera,FranciscoandJuanPabloNicolini,“Optimalmaturityofgovernmentdebtwithoutstatecontin-
gentbonds,”JournalofMonetaryEconomics,2004,51(3),531–554.</x:v>
      </x:c>
    </x:row>
    <x:row r="53" ht="72" customHeight="1">
      <x:c r="A53" s="24" t="str">
        <x:v>T-041</x:v>
      </x:c>
      <x:c r="B53" s="24" t="str">
        <x:v>P08</x:v>
      </x:c>
      <x:c r="C53" s="24" t="n">
        <x:v>22</x:v>
      </x:c>
      <x:c r="D53" s="24" t="str">
        <x:v>44</x:v>
      </x:c>
      <x:c r="E53" s="24" t="str">
        <x:v>correcta</x:v>
      </x:c>
      <x:c r="F53" s="24" t="str">
        <x:v>sí</x:v>
      </x:c>
      <x:c r="G53" s="24" t="str">
        <x:v>sí</x:v>
      </x:c>
      <x:c r="H53" s="24" t="str">
        <x:v>sí</x:v>
      </x:c>
      <x:c r="I53" s="24" t="str">
        <x:v>sí</x:v>
      </x:c>
      <x:c r="J53" s="24" t="str">
        <x:v>sí</x:v>
      </x:c>
      <x:c r="K53" s="24" t="str">
        <x:v>Camacho</x:v>
      </x:c>
      <x:c r="L53" s="26" t="n">
        <x:v>2009</x:v>
      </x:c>
      <x:c r="M53" s="25" t="str">
        <x:v>SpainShortTermIndicatorofGrowth</x:v>
      </x:c>
      <x:c r="N53" s="25" t="str"/>
      <x:c r="O53" s="25" t="str">
        <x:v>Una referencia completa; apellido, año y título concuerdan con el PDF.</x:v>
      </x:c>
      <x:c r="P53" s="25" t="str">
        <x:v>saki_research/published_papers/bigio_nuno_passadore_debt_maturity_management_liquidity_costs.pdf</x:v>
      </x:c>
      <x:c r="Q53" s="25" t="str">
        <x:v>Página PDF 44:
347–356.
Buera,FranciscoandJuanPabloNicolini,“Optimalmaturityofgovernmentdebtwithoutstatecontin-
gentbonds,”JournalofMonetaryEconomics,2004,51(3),531–554.
Bulow,JeremyI.andKennethRogoff,“SovereignDebt: IsToForgiveToForget?,”WorkingPaper2623,
NationalBureauofEconomicResearchJune1988.
Calvo,GuillermoA,“Servicingthepublicdebt: Theroleofexpectations,”TheAmericanEconomicReview,
1988,pp.647–661.
Camacho,MaximoandGabrielPerez-Quiros,“SpainShortTermIndicatorofGrowth,”WorkingPapers
0912,BankofSpainWorkingPapersHomepageJune2009.
Cammack,ElizabethB.,“EvidenceonBiddingStrategiesandtheInformationinTreasuryBillAuctions,”
JournalofPoliticalEconomy,1991,99(1),100–130.
Cochrane, John H, “A new structure for US federal debt,” Hoover Institution Economics Working Papers,
2015.</x:v>
      </x:c>
    </x:row>
    <x:row r="54" ht="72" customHeight="1">
      <x:c r="A54" s="24" t="str">
        <x:v>T-042</x:v>
      </x:c>
      <x:c r="B54" s="24" t="str">
        <x:v>P08</x:v>
      </x:c>
      <x:c r="C54" s="24" t="n">
        <x:v>42</x:v>
      </x:c>
      <x:c r="D54" s="24" t="str">
        <x:v>45</x:v>
      </x:c>
      <x:c r="E54" s="24" t="str">
        <x:v>correcta</x:v>
      </x:c>
      <x:c r="F54" s="24" t="str">
        <x:v>sí</x:v>
      </x:c>
      <x:c r="G54" s="24" t="str">
        <x:v>sí</x:v>
      </x:c>
      <x:c r="H54" s="24" t="str">
        <x:v>sí</x:v>
      </x:c>
      <x:c r="I54" s="24" t="str">
        <x:v>sí</x:v>
      </x:c>
      <x:c r="J54" s="24" t="str">
        <x:v>sí</x:v>
      </x:c>
      <x:c r="K54" s="24" t="str">
        <x:v>Hendershott</x:v>
      </x:c>
      <x:c r="L54" s="26" t="n">
        <x:v>2007</x:v>
      </x:c>
      <x:c r="M54" s="25" t="str">
        <x:v>Market maker inventories and stock prices</x:v>
      </x:c>
      <x:c r="N54" s="25" t="str"/>
      <x:c r="O54" s="25" t="str">
        <x:v>Una referencia completa; apellido, año y título concuerdan con el PDF.</x:v>
      </x:c>
      <x:c r="P54" s="25" t="str">
        <x:v>saki_research/published_papers/bigio_nuno_passadore_debt_maturity_management_liquidity_costs.pdf</x:v>
      </x:c>
      <x:c r="Q54" s="25" t="str">
        <x:v>Página PDF 45:
Optimal Maturity of Government Debt,” in David Wessel, ed., The $13 Trillion Question: How America
ManagesItsDebt,BrookingsInstitutionPress,2015,chapter1,pp.1–41.
Grossman, Sanford J and Merton H Miller, “Liquidity and market structure,” the Journal of Finance,
1988,43(3),617–633.
Hatchondo, Juan Carlos, Leonardo Martinez, and Cesar Sosa-Padilla, “Debt dilution and sovereign
defaultrisk,”JournalofPoliticalEconomy,2016,124(5),1383–1422.
, ,andFranciscoRoch,“Overborrowing,”2018.
Hendershott, Terrence and Mark S Seasholes, “Market maker inventories and stock prices,” American
EconomicReview,2007,97(2),210–214.
43</x:v>
      </x:c>
    </x:row>
    <x:row r="55" ht="72" customHeight="1">
      <x:c r="A55" s="24" t="str">
        <x:v>T-043</x:v>
      </x:c>
      <x:c r="B55" s="24" t="str">
        <x:v>P08</x:v>
      </x:c>
      <x:c r="C55" s="24" t="n">
        <x:v>65</x:v>
      </x:c>
      <x:c r="D55" s="24" t="str">
        <x:v>47</x:v>
      </x:c>
      <x:c r="E55" s="24" t="str">
        <x:v>correcta</x:v>
      </x:c>
      <x:c r="F55" s="24" t="str">
        <x:v>sí</x:v>
      </x:c>
      <x:c r="G55" s="24" t="str">
        <x:v>sí</x:v>
      </x:c>
      <x:c r="H55" s="24" t="str">
        <x:v>sí</x:v>
      </x:c>
      <x:c r="I55" s="24" t="str">
        <x:v>sí</x:v>
      </x:c>
      <x:c r="J55" s="24" t="str">
        <x:v>sí</x:v>
      </x:c>
      <x:c r="K55" s="24" t="str">
        <x:v>Weill</x:v>
      </x:c>
      <x:c r="L55" s="26" t="n">
        <x:v>2007</x:v>
      </x:c>
      <x:c r="M55" s="25" t="str">
        <x:v>Leaningagainstthewind</x:v>
      </x:c>
      <x:c r="N55" s="25" t="str"/>
      <x:c r="O55" s="25" t="str">
        <x:v>Una referencia completa; apellido, año y título concuerdan con el PDF.</x:v>
      </x:c>
      <x:c r="P55" s="25" t="str">
        <x:v>saki_research/published_papers/bigio_nuno_passadore_debt_maturity_management_liquidity_costs.pdf</x:v>
      </x:c>
      <x:c r="Q55" s="25" t="str">
        <x:v>Página PDF 47:
ofBanking&amp;Finance,1992,16(5),891–908.
Vayanos,DimitriandJean-LucVila,“APreferred-HabitatModeloftheTermStructureofInterestRates,”
Econometrica,January2021,89(1),77–112.
Vayanos,DimitryandJiangWang,“MarketLiquidity: TheoryandEmpiricalEvidence,”inGeorgeCon-
stantinides,MiltonHarris,andReneStulz,eds.,HandbookoftheEconomicsofFinance,2013,chapter19.
Wang, Chong, Neng Wang, and Jinqiang Yang, “Optimal consumption and savings with stochastic in-
comeandrecursiveutility,”JournalofEconomicTheory,2016,165,292–331.
Weill,Pierre-Olivier,“Leaningagainstthewind,”TheReviewofEconomicStudies,2007,74(4),1329–1354.
Zame,WilliamR.,“EfficiencyandtheRoleofDefaultWhenSecurityMarketsareIncomplete,”TheAmer-
icanEconomicReview,1993,83(5),1142–1164.
45</x:v>
      </x:c>
    </x:row>
    <x:row r="56" ht="72" customHeight="1">
      <x:c r="A56" s="24" t="str">
        <x:v>T-044</x:v>
      </x:c>
      <x:c r="B56" s="24" t="str">
        <x:v>P09</x:v>
      </x:c>
      <x:c r="C56" s="24" t="n">
        <x:v>4</x:v>
      </x:c>
      <x:c r="D56" s="24" t="str">
        <x:v>35</x:v>
      </x:c>
      <x:c r="E56" s="24" t="str">
        <x:v>correcta</x:v>
      </x:c>
      <x:c r="F56" s="24" t="str">
        <x:v>sí</x:v>
      </x:c>
      <x:c r="G56" s="24" t="str">
        <x:v>sí</x:v>
      </x:c>
      <x:c r="H56" s="24" t="str">
        <x:v>sí</x:v>
      </x:c>
      <x:c r="I56" s="24" t="str">
        <x:v>sí</x:v>
      </x:c>
      <x:c r="J56" s="24" t="str">
        <x:v>sí</x:v>
      </x:c>
      <x:c r="K56" s="24" t="str">
        <x:v>Ashcraft</x:v>
      </x:c>
      <x:c r="L56" s="26" t="n">
        <x:v>2008</x:v>
      </x:c>
      <x:c r="M56" s="25" t="str">
        <x:v>UnderstandingtheSecuritizationofSubprime MortgageCredit</x:v>
      </x:c>
      <x:c r="N56" s="25" t="str"/>
      <x:c r="O56" s="25" t="str">
        <x:v>Una referencia completa; apellido, año y título concuerdan con el PDF.</x:v>
      </x:c>
      <x:c r="P56" s="25" t="str">
        <x:v>saki_research/published_papers/bigio_shi_repurchase_options_market_lemons.pdf</x:v>
      </x:c>
      <x:c r="Q56" s="25" t="str">
        <x:v>Página PDF 35:
Agarwal, Sumit, Yan Chang, and Abdullah Yavas, “Adverse Selection in Mortgage Se-
curitization,” Journal of Financial Economics, 2012, 105 (3), 640–660.
Akerlof, George A., “The Market for "Lemons": Quality Uncertainty and the Market Mech-
anism,” The Quarterly Journal of Economics, 1970, 84 (3), 488–500.
An, Xudong, Yongheng Deng, and Stuart A. Gabriel, “AsymmetricInformation, Adverse
Selection, andthePricingofCMBS,” Journal of Financial Economics, 2011, 100(2), 304–325.
Ashcraft, Adam B. and Til Schuermann, “Understanding the Securitization of Subprime
Mortgage Credit,” 2008. FRB of New York Staff Report, No. 318.
Asriyan, Vladimir and Victoria Vanasco, “Security Design in Non-Exclusive Markets with
Asymmetric Information,” The Review of Economic Studies, 04 2023, p. rdad038.
Attar, Andrea, Thomas Mariotti, and François Salanié, “Nonexclusive Competition in
the Market for Lemons,” Econometrica, 2011, 79 (6), 1869–1918.
Auh, Jun Kyung and Mattia Landoni, “Loan Terms and Collateral: Evidence from the</x:v>
      </x:c>
    </x:row>
    <x:row r="57" ht="72" customHeight="1">
      <x:c r="A57" s="24" t="str">
        <x:v>T-045</x:v>
      </x:c>
      <x:c r="B57" s="24" t="str">
        <x:v>P09</x:v>
      </x:c>
      <x:c r="C57" s="24" t="n">
        <x:v>12</x:v>
      </x:c>
      <x:c r="D57" s="24" t="str">
        <x:v>36</x:v>
      </x:c>
      <x:c r="E57" s="24" t="str">
        <x:v>correcta</x:v>
      </x:c>
      <x:c r="F57" s="24" t="str">
        <x:v>sí</x:v>
      </x:c>
      <x:c r="G57" s="24" t="str">
        <x:v>sí</x:v>
      </x:c>
      <x:c r="H57" s="24" t="str">
        <x:v>sí</x:v>
      </x:c>
      <x:c r="I57" s="24" t="str">
        <x:v>sí</x:v>
      </x:c>
      <x:c r="J57" s="24" t="str">
        <x:v>sí</x:v>
      </x:c>
      <x:c r="K57" s="24" t="str">
        <x:v>Bigio</x:v>
      </x:c>
      <x:c r="L57" s="26" t="n">
        <x:v>2015</x:v>
      </x:c>
      <x:c r="M57" s="25" t="str">
        <x:v>EndogenousLiquidityandtheBusinessCycle</x:v>
      </x:c>
      <x:c r="N57" s="25" t="str"/>
      <x:c r="O57" s="25" t="str">
        <x:v>Una referencia completa; apellido, año y título concuerdan con el PDF.</x:v>
      </x:c>
      <x:c r="P57" s="25" t="str">
        <x:v>saki_research/published_papers/bigio_shi_repurchase_options_market_lemons.pdf</x:v>
      </x:c>
      <x:c r="Q57" s="25" t="str">
        <x:v>Página PDF 36:
Besanko, David and Anjan V Thakor, “Competitive Equilibrium in the Credit Market
under Asymmetric Information,” Journal of Economic Theory, 1987, 42 (1), 167 – 182.
Biais, Bruno and Thomas Mariotti, “Strategic Liquidity Supply and Security Design,” The
Review of Economic Studies, 2005, 72 (3), 615–649.
Bigio, Saki, “EndogenousLiquidityandtheBusinessCycle,” American Economic Review, June
2015, 105 (6), 1883–1927.
Chang, Briana, “Adverse Selection and Liquidity Distortion,” The Review of Economic Stud-
ies, 04 2017, 85 (1), 275–306.
Copeland, Adam, Antoine Martin, and Michael Walker, “Repo Runs: Evidence from
the Tri-Party Repo Market,” The Journal of Finance, 2014, 69 (6), 2343–2380.</x:v>
      </x:c>
    </x:row>
    <x:row r="58" ht="72" customHeight="1">
      <x:c r="A58" s="24" t="str">
        <x:v>T-046</x:v>
      </x:c>
      <x:c r="B58" s="24" t="str">
        <x:v>P09</x:v>
      </x:c>
      <x:c r="C58" s="24" t="n">
        <x:v>15</x:v>
      </x:c>
      <x:c r="D58" s="24" t="str">
        <x:v>36</x:v>
      </x:c>
      <x:c r="E58" s="24" t="str">
        <x:v>correcta</x:v>
      </x:c>
      <x:c r="F58" s="24" t="str">
        <x:v>sí</x:v>
      </x:c>
      <x:c r="G58" s="24" t="str">
        <x:v>sí</x:v>
      </x:c>
      <x:c r="H58" s="24" t="str">
        <x:v>sí</x:v>
      </x:c>
      <x:c r="I58" s="24" t="str">
        <x:v>sí</x:v>
      </x:c>
      <x:c r="J58" s="24" t="str">
        <x:v>sí</x:v>
      </x:c>
      <x:c r="K58" s="24" t="str">
        <x:v>Daley</x:v>
      </x:c>
      <x:c r="L58" s="26" t="n">
        <x:v>2012</x:v>
      </x:c>
      <x:c r="M58" s="25" t="str">
        <x:v>WaitingforNewsintheMarketforLemons</x:v>
      </x:c>
      <x:c r="N58" s="25" t="str"/>
      <x:c r="O58" s="25" t="str">
        <x:v>Una referencia completa; apellido, año y título concuerdan con el PDF.</x:v>
      </x:c>
      <x:c r="P58" s="25" t="str">
        <x:v>saki_research/published_papers/bigio_shi_repurchase_options_market_lemons.pdf</x:v>
      </x:c>
      <x:c r="Q58" s="25" t="str">
        <x:v>Página PDF 36:
Review of Economic Studies, 2005, 72 (3), 615–649.
Bigio, Saki, “EndogenousLiquidityandtheBusinessCycle,” American Economic Review, June
2015, 105 (6), 1883–1927.
Chang, Briana, “Adverse Selection and Liquidity Distortion,” The Review of Economic Stud-
ies, 04 2017, 85 (1), 275–306.
Copeland, Adam, Antoine Martin, and Michael Walker, “Repo Runs: Evidence from
the Tri-Party Repo Market,” The Journal of Finance, 2014, 69 (6), 2343–2380.
Daley, Brendan and Brett Green, “Waiting for News in the Market for Lemons,” Econo-
metrica, 2012, 80 (4), 1433–1504.
Dang, Tri Vi, GaryGorton, andBengt Holmström,“HaircutsandRepoChains,” Working
Paper, 2013.
Demarzo, Peter and Darrell Duffie, “A Liquidity-Based Model of Security Design,” Econo-
metrica, 1999, 67 (1), 65–99.</x:v>
      </x:c>
    </x:row>
    <x:row r="59" ht="72" customHeight="1">
      <x:c r="A59" s="24" t="str">
        <x:v>T-047</x:v>
      </x:c>
      <x:c r="B59" s="24" t="str">
        <x:v>P09</x:v>
      </x:c>
      <x:c r="C59" s="24" t="n">
        <x:v>29</x:v>
      </x:c>
      <x:c r="D59" s="24" t="str">
        <x:v>37</x:v>
      </x:c>
      <x:c r="E59" s="24" t="str">
        <x:v>correcta</x:v>
      </x:c>
      <x:c r="F59" s="24" t="str">
        <x:v>sí</x:v>
      </x:c>
      <x:c r="G59" s="24" t="str">
        <x:v>sí</x:v>
      </x:c>
      <x:c r="H59" s="24" t="str">
        <x:v>sí</x:v>
      </x:c>
      <x:c r="I59" s="24" t="str">
        <x:v>sí</x:v>
      </x:c>
      <x:c r="J59" s="24" t="str">
        <x:v>sí</x:v>
      </x:c>
      <x:c r="K59" s="24" t="str">
        <x:v>Gottardi</x:v>
      </x:c>
      <x:c r="L59" s="26" t="n">
        <x:v>2019</x:v>
      </x:c>
      <x:c r="M59" s="25" t="str">
        <x:v>ATheoryofRepurchaseAgreements,CollateralRe-use,andRepoIntermediation</x:v>
      </x:c>
      <x:c r="N59" s="25" t="str"/>
      <x:c r="O59" s="25" t="str">
        <x:v>Una referencia completa; apellido, año y título concuerdan con el PDF.</x:v>
      </x:c>
      <x:c r="P59" s="25" t="str">
        <x:v>saki_research/published_papers/bigio_shi_repurchase_options_market_lemons.pdf</x:v>
      </x:c>
      <x:c r="Q59" s="25" t="str">
        <x:v>Página PDF 37:
and Guillermo Ordoñez, “Collateral Crises,” American Economic Review, 2014, 104 (2),
343–78.
Gorton, Gary B. and George Pennacchi,“FinancialIntermediariesandLiquidityCreation,”
Journal of Finance, 1990, 45 (1), 49–71.
Gorton, Gary, Toomas Laarits, and Andrew Metrick, “The Run on Repo and the Fed’s
Response,” Journal of Financial Stability, 2020, 48, 100744.
Gottardi, Piero, Vincent Maurin, and Cyril Monnet, “A Theory of Repurchase Agree-
ments, Collateral Re-use, and Repo Intermediation,” Review of Economic Dynamics, 2019.
Guerrieri, Veronica and Robert Shimer, “DynamicAdverseSelection: ATheoryofIlliquid-
ity, Fire Sales, and Flight to Quality,” American Economic Review, 2014, 104 (7), 1875–1908.
and , “Markets with Multidimensional Private Information,” American Economic Journal:
Microeconomics, May 2018, 10 (2), 250–74.
, , and Randall Wright, “Adverse Selection in Competitive Search Equilibrium,” Econo-</x:v>
      </x:c>
    </x:row>
    <x:row r="60" ht="72" customHeight="1">
      <x:c r="A60" s="24" t="str">
        <x:v>T-048</x:v>
      </x:c>
      <x:c r="B60" s="24" t="str">
        <x:v>P10</x:v>
      </x:c>
      <x:c r="C60" s="24" t="n">
        <x:v>23</x:v>
      </x:c>
      <x:c r="D60" s="24" t="str">
        <x:v>44</x:v>
      </x:c>
      <x:c r="E60" s="24" t="str">
        <x:v>correcta</x:v>
      </x:c>
      <x:c r="F60" s="24" t="str">
        <x:v>sí</x:v>
      </x:c>
      <x:c r="G60" s="24" t="str">
        <x:v>sí</x:v>
      </x:c>
      <x:c r="H60" s="24" t="str">
        <x:v>sí</x:v>
      </x:c>
      <x:c r="I60" s="24" t="str">
        <x:v>sí</x:v>
      </x:c>
      <x:c r="J60" s="24" t="str">
        <x:v>sí</x:v>
      </x:c>
      <x:c r="K60" s="24" t="str">
        <x:v>Brunnermeier</x:v>
      </x:c>
      <x:c r="L60" s="26" t="n">
        <x:v>2014</x:v>
      </x:c>
      <x:c r="M60" s="25" t="str">
        <x:v>A Macroeconomic Model with a Financial Sector</x:v>
      </x:c>
      <x:c r="N60" s="25" t="str"/>
      <x:c r="O60" s="25" t="str">
        <x:v>Una referencia completa; apellido, año y título concuerdan con el PDF.</x:v>
      </x:c>
      <x:c r="P60" s="25" t="str">
        <x:v>saki_research/published_papers/begenau_bigio_majerovitz_vieyra_q_theory_banks.pdf</x:v>
      </x:c>
      <x:c r="Q60" s="25" t="str">
        <x:v>Página PDF 44:
Bianchi, Javier and Saki Bigio, “Banks, liquidity management, and monetary policy,” Econo-
metrica, 2022, 90 (1), 391–454. 1
Blank, Michael, Samuel G Hanson, Jeremy C Stein, and Aditya Vikram Sunderam,
“How Should US Bank Regulators Respond to the COVID-19 Crisis?,” 2020. 13
Blattner, Laura, Luisa Farinha, and Francisca Rebelo, “When losses turn into loans: The
cost of weak banks,” American Economic Review, 2023, 113 (6), 1600–1641. 11
Brunnermeier, Markus K. and Yuliy Sannikov, “A Macroeconomic Model with a Financial
Sector,” American Economic Review, 2014, 104 (2), 379–421. 4, 1, 6, 8, 3.1, 5.1, C
Buchak, Greg, Gregor Matvos, Tomasz Piskorski, and Amit Seru, “Fintech, regulatory
arbitrage, and the rise of shadow banks,” Journal of financial economics, 2018, 130 (3), 453–483.
10
, , , and ,“Theseculardeclineofbankbalancesheetlending,”TechnicalReport,National
Bureau of Economic Research 2024. 10</x:v>
      </x:c>
    </x:row>
    <x:row r="61" ht="72" customHeight="1">
      <x:c r="A61" s="24" t="str">
        <x:v>T-049</x:v>
      </x:c>
      <x:c r="B61" s="24" t="str">
        <x:v>P10</x:v>
      </x:c>
      <x:c r="C61" s="24" t="n">
        <x:v>34</x:v>
      </x:c>
      <x:c r="D61" s="24" t="str">
        <x:v>45</x:v>
      </x:c>
      <x:c r="E61" s="24" t="str">
        <x:v>correcta</x:v>
      </x:c>
      <x:c r="F61" s="24" t="str">
        <x:v>sí</x:v>
      </x:c>
      <x:c r="G61" s="24" t="str">
        <x:v>sí</x:v>
      </x:c>
      <x:c r="H61" s="24" t="str">
        <x:v>sí</x:v>
      </x:c>
      <x:c r="I61" s="24" t="str">
        <x:v>sí</x:v>
      </x:c>
      <x:c r="J61" s="24" t="str">
        <x:v>sí</x:v>
      </x:c>
      <x:c r="K61" s="24" t="str">
        <x:v>Duffie</x:v>
      </x:c>
      <x:c r="L61" s="26" t="n">
        <x:v>2022</x:v>
      </x:c>
      <x:c r="M61" s="25" t="str">
        <x:v>Measuring Corporate Default Risk</x:v>
      </x:c>
      <x:c r="N61" s="25" t="str"/>
      <x:c r="O61" s="25" t="str">
        <x:v>Una referencia completa; apellido, año y título concuerdan con el PDF.</x:v>
      </x:c>
      <x:c r="P61" s="25" t="str">
        <x:v>saki_research/published_papers/begenau_bigio_majerovitz_vieyra_q_theory_banks.pdf</x:v>
      </x:c>
      <x:c r="Q61" s="25" t="str">
        <x:v>Página PDF 45:
City Federal Reserve” 2018. 33
and , “Competition, Stability, and Efficiency in the Banking Industry,” Technical Report,
Working Paper, University of Wisconsin 2024. 1
DeMarzo, Peter M and Zhiguo He, “Leverage dynamics without commitment,” The Journal
of Finance, 2021, 76 (3), 1195–1250. 8
Diamond, DouglasW.andPhilipH.Dybvig,“BankRuns,DepositInsurance,andLiquidity,”
Journal of Political Economy, 1983, 91, 401–417. 3.1
Duffie, Darrell, Measuring Corporate Default Risk, Oxford University Press, 2022. 2
e Castro, Miguel Faria, “A quantitative analysis of the countercyclical capital buffer,” 2021. 46
, Pascal Paul, and Juan M S´anchez, “Evergreening,” Journal of Financial Economics, 2024,
153, 103778. 12
Elenev, Vadim, Tim Landvoigt, and Stijn Van Nieuwerburgh, “A macroeconomic model
with financially constrained producers and intermediaries,” Econometrica, 2021, 89 (3), 1361–</x:v>
      </x:c>
    </x:row>
    <x:row r="62" ht="72" customHeight="1">
      <x:c r="A62" s="24" t="str">
        <x:v>T-050</x:v>
      </x:c>
      <x:c r="B62" s="24" t="str">
        <x:v>P10</x:v>
      </x:c>
      <x:c r="C62" s="24" t="n">
        <x:v>46</x:v>
      </x:c>
      <x:c r="D62" s="24" t="str">
        <x:v>46</x:v>
      </x:c>
      <x:c r="E62" s="24" t="str">
        <x:v>correcta</x:v>
      </x:c>
      <x:c r="F62" s="24" t="str">
        <x:v>sí</x:v>
      </x:c>
      <x:c r="G62" s="24" t="str">
        <x:v>sí</x:v>
      </x:c>
      <x:c r="H62" s="24" t="str">
        <x:v>sí</x:v>
      </x:c>
      <x:c r="I62" s="24" t="str">
        <x:v>sí</x:v>
      </x:c>
      <x:c r="J62" s="24" t="str">
        <x:v>sí</x:v>
      </x:c>
      <x:c r="K62" s="24" t="str">
        <x:v>Gertler</x:v>
      </x:c>
      <x:c r="L62" s="26" t="n">
        <x:v>2010</x:v>
      </x:c>
      <x:c r="M62" s="25" t="str">
        <x:v>Financial Intermediation and Credit Policy in Business Cycle Analysis</x:v>
      </x:c>
      <x:c r="N62" s="25" t="str"/>
      <x:c r="O62" s="25" t="str">
        <x:v>Una referencia completa; apellido, año y título concuerdan con el PDF.</x:v>
      </x:c>
      <x:c r="P62" s="25" t="str">
        <x:v>saki_research/published_papers/begenau_bigio_majerovitz_vieyra_q_theory_banks.pdf</x:v>
      </x:c>
      <x:c r="Q62" s="25" t="str">
        <x:v>Página PDF 46:
Gertler, Mark and Nobuhiro Kiyotaki, “Financial Intermediation and Credit Policy in Busi-
ness Cycle Analysis,” in Benjamin M. Friedman and Michael Woodford, eds., Handbook of Mon-
etary Economics, Vol. 3 of Handbook of Monetary Economics, Elsevier, 2010, pp. 547 – 599.
6
and ,“Banking,liquidity,andbankrunsinaninfinitehorizoneconomy,”American Economic
Review, 2015, 105 (7), 2011–2043. 6, 3.1
and Peter Karadi, “A model of unconventional monetary policy,” Journal of Monetary Eco-
nomics, 2011, 58 (1), 17 – 34. ¡ce:title¿Carnegie-Rochester Conference Series on Public Policy:
The Future of Central Banking April 16-17, 2010¡/ce:title¿. 6
, Nobuhiro Kiyotaki, and Albert Queralto, “Financial crises, bank risk exposure and</x:v>
      </x:c>
    </x:row>
    <x:row r="63" ht="72" customHeight="1">
      <x:c r="A63" s="24" t="str">
        <x:v>T-051</x:v>
      </x:c>
      <x:c r="B63" s="24" t="str">
        <x:v>P10</x:v>
      </x:c>
      <x:c r="C63" s="24" t="n">
        <x:v>54</x:v>
      </x:c>
      <x:c r="D63" s="24" t="str">
        <x:v>46</x:v>
      </x:c>
      <x:c r="E63" s="24" t="str">
        <x:v>correcta</x:v>
      </x:c>
      <x:c r="F63" s="24" t="str">
        <x:v>sí</x:v>
      </x:c>
      <x:c r="G63" s="24" t="str">
        <x:v>sí</x:v>
      </x:c>
      <x:c r="H63" s="24" t="str">
        <x:v>sí</x:v>
      </x:c>
      <x:c r="I63" s="24" t="str">
        <x:v>sí</x:v>
      </x:c>
      <x:c r="J63" s="24" t="str">
        <x:v>sí</x:v>
      </x:c>
      <x:c r="K63" s="24" t="str">
        <x:v>Granja</x:v>
      </x:c>
      <x:c r="L63" s="26" t="n">
        <x:v>2018</x:v>
      </x:c>
      <x:c r="M63" s="25" t="str">
        <x:v>The death of a regulator: strict supervision, bank lending, and business activity</x:v>
      </x:c>
      <x:c r="N63" s="25" t="str"/>
      <x:c r="O63" s="25" t="str">
        <x:v>Una referencia completa; apellido, año y título concuerdan con el PDF.</x:v>
      </x:c>
      <x:c r="P63" s="25" t="str">
        <x:v>saki_research/published_papers/begenau_bigio_majerovitz_vieyra_q_theory_banks.pdf</x:v>
      </x:c>
      <x:c r="Q63" s="25" t="str">
        <x:v>Página PDF 46:
Goldstein, Itay, Alexandr Kopytov, Lin Shen, and Haotian Xiang, “Bank heterogeneity
and financial stability,” Journal of Financial Economics, 2024, 162, 103934. 1
Gomes, Jo˜ao, Urban Jermann, and Lukas Schmid, “Sticky Leverage,” American Economic
Review, 2016, 106 (12), 3800–3828. 8
Granja, Jo˜ao,“BankFragilityandReclassificationofSecuritiesintoHTM,”UniversityofChicago,
Becker Friedman Institute for Economics Working Paper, 2023, (2023-53). 13
and Christian Leuz, “The death of a regulator: strict supervision, bank lending, and business
activity,” Technical Report, National Bureau of Economic Research 2018. 14
Granja, Joao and Fabian Nagel, “Current Expected Credit Losses and Consumer Loans,”
Available at SSRN 4324118, 2023. 15
Hachem, Kinda and Zheng Song, “Liquidity rules and credit booms,” Journal of Political
Economy, 2021, 129 (10), 2721–2765. 10
Harris, Trevor, Urooj Khan, and Doron Nissim, “The Expected Rate of Credit Losses on</x:v>
      </x:c>
    </x:row>
    <x:row r="64" ht="72" customHeight="1">
      <x:c r="A64" s="24" t="str">
        <x:v>T-052</x:v>
      </x:c>
      <x:c r="B64" s="24" t="str">
        <x:v>P10</x:v>
      </x:c>
      <x:c r="C64" s="24" t="n">
        <x:v>83</x:v>
      </x:c>
      <x:c r="D64" s="24" t="str">
        <x:v>48</x:v>
      </x:c>
      <x:c r="E64" s="24" t="str">
        <x:v>correcta</x:v>
      </x:c>
      <x:c r="F64" s="24" t="str">
        <x:v>sí</x:v>
      </x:c>
      <x:c r="G64" s="24" t="str">
        <x:v>sí</x:v>
      </x:c>
      <x:c r="H64" s="24" t="str">
        <x:v>sí</x:v>
      </x:c>
      <x:c r="I64" s="24" t="str">
        <x:v>sí</x:v>
      </x:c>
      <x:c r="J64" s="24" t="str">
        <x:v>sí</x:v>
      </x:c>
      <x:c r="K64" s="24" t="str">
        <x:v>Simon</x:v>
      </x:c>
      <x:c r="L64" s="26" t="n">
        <x:v>2021</x:v>
      </x:c>
      <x:c r="M64" s="25" t="str">
        <x:v>Capital requirements in a model of bank runs: The 2008 run on repo</x:v>
      </x:c>
      <x:c r="N64" s="25" t="str"/>
      <x:c r="O64" s="25" t="str">
        <x:v>Una referencia completa; apellido, año y título concuerdan con el PDF.</x:v>
      </x:c>
      <x:c r="P64" s="25" t="str">
        <x:v>saki_research/published_papers/begenau_bigio_majerovitz_vieyra_q_theory_banks.pdf</x:v>
      </x:c>
      <x:c r="Q64" s="25" t="str">
        <x:v>Página PDF 48:
Plosser, Matthew and Joao Santos, “Banks’ incentives and inconsistent risk models,” The
Review of Financial Studies, 2018, 31 (6), 2080–2112. 11
Rios-Rull, Jose Victor, Tamon Takamura, and Yaz Terajima, “Banking Dynamics, Market
Discipline and Capital,” Feb 2023. 1
Shleifer, Andrei and Robert Vishny, “Fire Sales in Finance and Macroeconomics,” The Jour-
nal of Economic Perspectives, 2011, 25 (1), pp. 29–48. 13
Simon, Luis, “Capital requirements in a model of bank runs: The 2008 run on repo,” Latin
American Journal of Central Banking, 2021, 2 (3), 100038. 46
Townsend, Robert, “Optimal Contracts and Competitive Markets with Costly State Verifica-
tion,” Journal of Economic Theory, 1979, 22, 265–293. 7, 3.1, D.8
Vuolteenaho, Tuomo, “What drives firm-level stock returns?,” The Journal of Finance, 2002,
57 (1), 233–264. 2</x:v>
      </x:c>
    </x:row>
    <x:row r="65" ht="72" customHeight="1">
      <x:c r="A65" s="24" t="str">
        <x:v>T-053</x:v>
      </x:c>
      <x:c r="B65" s="24" t="str">
        <x:v>P11</x:v>
      </x:c>
      <x:c r="C65" s="24" t="n">
        <x:v>14</x:v>
      </x:c>
      <x:c r="D65" s="24" t="str">
        <x:v>49</x:v>
      </x:c>
      <x:c r="E65" s="24" t="str">
        <x:v>correcta</x:v>
      </x:c>
      <x:c r="F65" s="24" t="str">
        <x:v>sí</x:v>
      </x:c>
      <x:c r="G65" s="24" t="str">
        <x:v>sí</x:v>
      </x:c>
      <x:c r="H65" s="24" t="str">
        <x:v>sí</x:v>
      </x:c>
      <x:c r="I65" s="24" t="str">
        <x:v>sí</x:v>
      </x:c>
      <x:c r="J65" s="24" t="str">
        <x:v>sí</x:v>
      </x:c>
      <x:c r="K65" s="24" t="str">
        <x:v>Binsbergen</x:v>
      </x:c>
      <x:c r="L65" s="26" t="n">
        <x:v>2012</x:v>
      </x:c>
      <x:c r="M65" s="25" t="str">
        <x:v>The term structure of interest rates in a DSGE model with recursive preferences</x:v>
      </x:c>
      <x:c r="N65" s="25" t="str"/>
      <x:c r="O65" s="25" t="str">
        <x:v>Una referencia completa; apellido, año y título concuerdan con el PDF.</x:v>
      </x:c>
      <x:c r="P65" s="25" t="str">
        <x:v>saki_research/published_papers/bigio_silva_zilberman_heterogeneous_beliefs_asset_prices_business_cycles.pdf</x:v>
      </x:c>
      <x:c r="Q65" s="25" t="str">
        <x:v>Página PDF 49:
dictabilityinthecrosssection,”JournalofPoliticalEconomy,2014,122(1),129–177.
Bhandari, Anmol, Borovicˇka, and Paul Ho, “Survey Data and Subjective Beliefs in Busi-
nessCycleModels,”2019. WorkingPaper.
Bianchi,Francesco,CosminIlut,andHikaruSaijo,“Diagnosticbusinesscycles,”Review
ofEconomicStudies,2024,91(1),129–162.
Binsbergen, Jules H Van, Jesús Fernández-Villaverde, Ralph SJ Koijen, and Juan
Rubio-Ramírez, “The term structure of interest rates in a DSGE model with recursive
preferences,”JournalofMonetaryEconomics,2012,59(7),634–648.
48</x:v>
      </x:c>
    </x:row>
    <x:row r="66" ht="72" customHeight="1">
      <x:c r="A66" s="24" t="str">
        <x:v>T-054</x:v>
      </x:c>
      <x:c r="B66" s="24" t="str">
        <x:v>P11</x:v>
      </x:c>
      <x:c r="C66" s="24" t="n">
        <x:v>45</x:v>
      </x:c>
      <x:c r="D66" s="24" t="str">
        <x:v>51</x:v>
      </x:c>
      <x:c r="E66" s="24" t="str">
        <x:v>correcta</x:v>
      </x:c>
      <x:c r="F66" s="24" t="str">
        <x:v>sí</x:v>
      </x:c>
      <x:c r="G66" s="24" t="str">
        <x:v>sí</x:v>
      </x:c>
      <x:c r="H66" s="24" t="str">
        <x:v>sí</x:v>
      </x:c>
      <x:c r="I66" s="24" t="str">
        <x:v>sí</x:v>
      </x:c>
      <x:c r="J66" s="24" t="str">
        <x:v>sí</x:v>
      </x:c>
      <x:c r="K66" s="24" t="str">
        <x:v>Gabaix</x:v>
      </x:c>
      <x:c r="L66" s="26" t="n">
        <x:v>2019</x:v>
      </x:c>
      <x:c r="M66" s="25" t="str">
        <x:v>Behavioralinattention</x:v>
      </x:c>
      <x:c r="N66" s="25" t="str"/>
      <x:c r="O66" s="25" t="str">
        <x:v>Una referencia completa; apellido, año y título concuerdan con el PDF.</x:v>
      </x:c>
      <x:c r="P66" s="25" t="str">
        <x:v>saki_research/published_papers/bigio_silva_zilberman_heterogeneous_beliefs_asset_prices_business_cycles.pdf</x:v>
      </x:c>
      <x:c r="Q66" s="25" t="str">
        <x:v>Página PDF 51:
Favilukis, Jack and Xiaoji Lin, “Does wage rigidity make firms riskier? Evidence from
long-horizonreturnpredictability,”JournalofMonetaryEconomics,2016,78,80–95.
Fisher,Irving,TheDebt-DeflationTheoryofGreatDepressions,Vol.11933.
Fostel,AnaandJohnGeanakoplos,“LeverageCyclesandtheAnxiousEconomy,”Amer-
icanEconomicReview,2008,98(4),1211–44.
Fuster,Andreas,DavidLaibson,andBrockMendel,“Naturalexpectationsandmacroe-
conomicfluctuations,”JournalofEconomicPerspectives,2010,24(4),67–84.
Gabaix,Xavier,“Behavioralinattention,”in“Handbookofbehavioraleconomics: Appli-
cationsandfoundations1,”Vol.2,Elsevier,2019,pp.261–343.
50</x:v>
      </x:c>
    </x:row>
    <x:row r="67" ht="72" customHeight="1">
      <x:c r="A67" s="24" t="str">
        <x:v>T-055</x:v>
      </x:c>
      <x:c r="B67" s="24" t="str">
        <x:v>P11</x:v>
      </x:c>
      <x:c r="C67" s="24" t="n">
        <x:v>60</x:v>
      </x:c>
      <x:c r="D67" s="24" t="str">
        <x:v>53</x:v>
      </x:c>
      <x:c r="E67" s="24" t="str">
        <x:v>correcta</x:v>
      </x:c>
      <x:c r="F67" s="24" t="str">
        <x:v>sí</x:v>
      </x:c>
      <x:c r="G67" s="24" t="str">
        <x:v>sí</x:v>
      </x:c>
      <x:c r="H67" s="24" t="str">
        <x:v>sí</x:v>
      </x:c>
      <x:c r="I67" s="24" t="str">
        <x:v>sí</x:v>
      </x:c>
      <x:c r="J67" s="24" t="str">
        <x:v>sí</x:v>
      </x:c>
      <x:c r="K67" s="24" t="str">
        <x:v>Iachan</x:v>
      </x:c>
      <x:c r="L67" s="26" t="n">
        <x:v>2019</x:v>
      </x:c>
      <x:c r="M67" s="25" t="str">
        <x:v>The Choice Channel of Financial Innovation</x:v>
      </x:c>
      <x:c r="N67" s="25" t="str"/>
      <x:c r="O67" s="25" t="str">
        <x:v>Una referencia completa; apellido, año y título concuerdan con el PDF.</x:v>
      </x:c>
      <x:c r="P67" s="25" t="str">
        <x:v>saki_research/published_papers/bigio_silva_zilberman_heterogeneous_beliefs_asset_prices_business_cycles.pdf</x:v>
      </x:c>
      <x:c r="Q67" s="25" t="str">
        <x:v>Página PDF 53:
Iachan, Felipe S., Plamen T. Nenov, and Alp Simsek, “The Choice Channel of Financial
Innovation,”2019. WorkingPaper.
Jaimovich, Nir and Sergio Rebelo, “Can News about the Future Drive the Business Cy-
cle?,”AmericanEconomicReview,2009,99(4),1097–1118.
Keane, Michael and Richard Rogerson, “Micro and macro labor supply elasticities: A
reassessment of conventional wisdom,” Journal of Economic Literature, 2012, 50 (2), 464–
476.
Kehoe, Patrick J., Pierlauro Lopez, Virgiliu Midrigan, and Elena Pastorino, “Asset
PricesandUnemploymentFluctuations,”2019. WorkingPaper.
Keynes, John Maynard, The General Theory of Employment, Interest, and Money, London:</x:v>
      </x:c>
    </x:row>
    <x:row r="68" ht="72" customHeight="1">
      <x:c r="A68" s="24" t="str">
        <x:v>T-056</x:v>
      </x:c>
      <x:c r="B68" s="24" t="str">
        <x:v>P11</x:v>
      </x:c>
      <x:c r="C68" s="24" t="n">
        <x:v>61</x:v>
      </x:c>
      <x:c r="D68" s="24" t="str">
        <x:v>53</x:v>
      </x:c>
      <x:c r="E68" s="24" t="str">
        <x:v>correcta</x:v>
      </x:c>
      <x:c r="F68" s="24" t="str">
        <x:v>sí</x:v>
      </x:c>
      <x:c r="G68" s="24" t="str">
        <x:v>sí</x:v>
      </x:c>
      <x:c r="H68" s="24" t="str">
        <x:v>sí</x:v>
      </x:c>
      <x:c r="I68" s="24" t="str">
        <x:v>sí</x:v>
      </x:c>
      <x:c r="J68" s="24" t="str">
        <x:v>sí</x:v>
      </x:c>
      <x:c r="K68" s="24" t="str">
        <x:v>Jaimovich</x:v>
      </x:c>
      <x:c r="L68" s="26" t="n">
        <x:v>2009</x:v>
      </x:c>
      <x:c r="M68" s="25" t="str">
        <x:v>Can News about the Future Drive the Business Cycle?</x:v>
      </x:c>
      <x:c r="N68" s="25" t="str"/>
      <x:c r="O68" s="25" t="str">
        <x:v>Una referencia completa; apellido, año y título concuerdan con el PDF.</x:v>
      </x:c>
      <x:c r="P68" s="25" t="str">
        <x:v>saki_research/published_papers/bigio_silva_zilberman_heterogeneous_beliefs_asset_prices_business_cycles.pdf</x:v>
      </x:c>
      <x:c r="Q68" s="25" t="str">
        <x:v>Página PDF 53:
Iachan, Felipe S., Plamen T. Nenov, and Alp Simsek, “The Choice Channel of Financial
Innovation,”2019. WorkingPaper.
Jaimovich, Nir and Sergio Rebelo, “Can News about the Future Drive the Business Cy-
cle?,”AmericanEconomicReview,2009,99(4),1097–1118.
Keane, Michael and Richard Rogerson, “Micro and macro labor supply elasticities: A
reassessment of conventional wisdom,” Journal of Economic Literature, 2012, 50 (2), 464–
476.
Kehoe, Patrick J., Pierlauro Lopez, Virgiliu Midrigan, and Elena Pastorino, “Asset
PricesandUnemploymentFluctuations,”2019. WorkingPaper.
Keynes, John Maynard, The General Theory of Employment, Interest, and Money, London:</x:v>
      </x:c>
    </x:row>
    <x:row r="69" ht="72" customHeight="1">
      <x:c r="A69" s="24" t="str">
        <x:v>T-057</x:v>
      </x:c>
      <x:c r="B69" s="24" t="str">
        <x:v>P11</x:v>
      </x:c>
      <x:c r="C69" s="24" t="n">
        <x:v>70</x:v>
      </x:c>
      <x:c r="D69" s="24" t="str">
        <x:v>53</x:v>
      </x:c>
      <x:c r="E69" s="24" t="str">
        <x:v>correcta</x:v>
      </x:c>
      <x:c r="F69" s="24" t="str">
        <x:v>sí</x:v>
      </x:c>
      <x:c r="G69" s="24" t="str">
        <x:v>sí</x:v>
      </x:c>
      <x:c r="H69" s="24" t="str">
        <x:v>sí</x:v>
      </x:c>
      <x:c r="I69" s="24" t="str">
        <x:v>sí</x:v>
      </x:c>
      <x:c r="J69" s="24" t="str">
        <x:v>sí</x:v>
      </x:c>
      <x:c r="K69" s="24" t="str">
        <x:v>Lev</x:v>
      </x:c>
      <x:c r="L69" s="26" t="n">
        <x:v>1974</x:v>
      </x:c>
      <x:c r="M69" s="25" t="str">
        <x:v>Ontheassociationbetweenoperatingleverageandrisk</x:v>
      </x:c>
      <x:c r="N69" s="25" t="str"/>
      <x:c r="O69" s="25" t="str">
        <x:v>Una referencia completa; apellido, año y título concuerdan con el PDF.</x:v>
      </x:c>
      <x:c r="P69" s="25" t="str">
        <x:v>saki_research/published_papers/bigio_silva_zilberman_heterogeneous_beliefs_asset_prices_business_cycles.pdf</x:v>
      </x:c>
      <x:c r="Q69" s="25" t="str">
        <x:v>Página PDF 53:
TechnicalReport,NationalBureauofEconomicResearch2017.
and Wenhao Li, “Dissecting mechanisms of financial crises: Intermediation and senti-
ment,”TechnicalReport,NationalBureauofEconomicResearch2020.
Kubler, Felix and Karl Schmedders, “Financial Innovation and Asset Price Volatility,”
AmericanEconomicReview,May2012,102(3),147–51.
Kydland, Finn E. and Edward C. Prescott, “Time to Build and Aggregate Fluctuations,”
Econometrica,1982,50(6),1345–1370.
Lev,Baruch,“Ontheassociationbetweenoperatingleverageandrisk,”JournalofFinancial
andQuantitativeAnalysis,1974,9(4),627–641.
Ljungqvist,LarsandThomasJ.Sargent,“DoTaxesExplainEuropeanEmployment? In-
divisible Labor, Human Capital, Lotteries and Savings,” in Daron Acemoglu, Kenneth
Rogoff, and Michael Woodford, eds., NBER Macroeconomics Annual 2006, Vol. 21, Cam-
bridge,Massachusetts: MITPress,2007,pp.181–246.</x:v>
      </x:c>
    </x:row>
    <x:row r="70" ht="72" customHeight="1">
      <x:c r="A70" s="24" t="str">
        <x:v>T-058</x:v>
      </x:c>
      <x:c r="B70" s="24" t="str">
        <x:v>P11</x:v>
      </x:c>
      <x:c r="C70" s="24" t="n">
        <x:v>83</x:v>
      </x:c>
      <x:c r="D70" s="24" t="str">
        <x:v>54</x:v>
      </x:c>
      <x:c r="E70" s="24" t="str">
        <x:v>correcta</x:v>
      </x:c>
      <x:c r="F70" s="24" t="str">
        <x:v>sí</x:v>
      </x:c>
      <x:c r="G70" s="24" t="str">
        <x:v>sí</x:v>
      </x:c>
      <x:c r="H70" s="24" t="str">
        <x:v>sí</x:v>
      </x:c>
      <x:c r="I70" s="24" t="str">
        <x:v>sí</x:v>
      </x:c>
      <x:c r="J70" s="24" t="str">
        <x:v>sí</x:v>
      </x:c>
      <x:c r="K70" s="24" t="str">
        <x:v>Minsky</x:v>
      </x:c>
      <x:c r="L70" s="26" t="n">
        <x:v>1986</x:v>
      </x:c>
      <x:c r="M70" s="25" t="str">
        <x:v>Stabilizing an Unstable Economy</x:v>
      </x:c>
      <x:c r="N70" s="25" t="str"/>
      <x:c r="O70" s="25" t="str">
        <x:v>Una referencia completa; apellido, año y título concuerdan con el PDF.</x:v>
      </x:c>
      <x:c r="P70" s="25" t="str">
        <x:v>saki_research/published_papers/bigio_silva_zilberman_heterogeneous_beliefs_asset_prices_business_cycles.pdf</x:v>
      </x:c>
      <x:c r="Q70" s="25" t="str">
        <x:v>Página PDF 54:
Mehra, Rajnish and Edward C. Prescott, “The Equity Premium: A Puzzle,” Journal of
MonetaryEconomics,1985,15(2),145–161.
Menzly, Lior, Tano Santos, and Pietro Veronesi, “Understanding predictability,” Journal
ofPoliticalEconomy,2004,112(1),1–47.
Merton, Robert C, “Lifetime portfolio selection under uncertainty: The continuous-time
case,”ThereviewofEconomicsandStatistics,1969,pp.247–257.
,Continuous-timefinance,BlackwellCambridge,MA,1992.
Minsky, Hyman P., Stabilizing an Unstable Economy, New Haven, CT: Yale University
Press,1986.
Nagel, Stefan and Zhengyang Xu, “Asset pricing with fading memory,” The Review of
FinancialStudies,2022,35(5),2190–2245.
and , “Dynamics of subjective risk premia,” Journal of Financial Economics, 2023, 150
(2),103713.</x:v>
      </x:c>
    </x:row>
    <x:row r="71" ht="72" customHeight="1">
      <x:c r="A71" s="24" t="str">
        <x:v>T-059</x:v>
      </x:c>
      <x:c r="B71" s="24" t="str">
        <x:v>P11</x:v>
      </x:c>
      <x:c r="C71" s="24" t="n">
        <x:v>100</x:v>
      </x:c>
      <x:c r="D71" s="24" t="str">
        <x:v>55</x:v>
      </x:c>
      <x:c r="E71" s="24" t="str">
        <x:v>correcta</x:v>
      </x:c>
      <x:c r="F71" s="24" t="str">
        <x:v>sí</x:v>
      </x:c>
      <x:c r="G71" s="24" t="str">
        <x:v>sí</x:v>
      </x:c>
      <x:c r="H71" s="24" t="str">
        <x:v>sí</x:v>
      </x:c>
      <x:c r="I71" s="24" t="str">
        <x:v>sí</x:v>
      </x:c>
      <x:c r="J71" s="24" t="str">
        <x:v>sí</x:v>
      </x:c>
      <x:c r="K71" s="24" t="str">
        <x:v>Simsek</x:v>
      </x:c>
      <x:c r="L71" s="26" t="n">
        <x:v>2021</x:v>
      </x:c>
      <x:c r="M71" s="25" t="str">
        <x:v>The macroeconomics of financial speculation</x:v>
      </x:c>
      <x:c r="N71" s="25" t="str"/>
      <x:c r="O71" s="25" t="str">
        <x:v>Una referencia completa; apellido, año y título concuerdan con el PDF.</x:v>
      </x:c>
      <x:c r="P71" s="25" t="str">
        <x:v>saki_research/published_papers/bigio_silva_zilberman_heterogeneous_beliefs_asset_prices_business_cycles.pdf</x:v>
      </x:c>
      <x:c r="Q71" s="25" t="str">
        <x:v>Página PDF 55:
individends?,”1981.
Shimer, Robert, Labor Markets and Business Cycles CREI Lectures in Macroeconomics,
Princeton,NJ:PrincetonUniversityPress,2010.
Simsek, Alp, “Belief Disagreements and Collateral Constraints,” Econometrica, 2013, 81
(1),1–53.
, “Speculation and risk sharing with new financial assets,” The Quarterly journal of eco-
nomics,2013,128(3),1365–1396.
, “The macroeconomics of financial speculation,” Annual Review of Economics, 2021, 13
(1),335–369.
Sprague, Oliver Mitchell Wentworth, History of Crises under the National Banking System,
Washington,DC:U.S.GovernmentPrintingOffice,1910.
Swanson, Eric T, “Risk aversion, risk premia, and the labor margin with generalized
recursivepreferences,”ReviewofEconomicDynamics,2018,28,290–321.</x:v>
      </x:c>
    </x:row>
    <x:row r="72" ht="72" customHeight="1">
      <x:c r="A72" s="24" t="str">
        <x:v>T-060</x:v>
      </x:c>
      <x:c r="B72" s="24" t="str">
        <x:v>P12</x:v>
      </x:c>
      <x:c r="C72" s="24" t="n">
        <x:v>29</x:v>
      </x:c>
      <x:c r="D72" s="24" t="str">
        <x:v>44</x:v>
      </x:c>
      <x:c r="E72" s="24" t="str">
        <x:v>correcta</x:v>
      </x:c>
      <x:c r="F72" s="24" t="str">
        <x:v>sí</x:v>
      </x:c>
      <x:c r="G72" s="24" t="str">
        <x:v>sí</x:v>
      </x:c>
      <x:c r="H72" s="24" t="str">
        <x:v>sí</x:v>
      </x:c>
      <x:c r="I72" s="24" t="str">
        <x:v>sí</x:v>
      </x:c>
      <x:c r="J72" s="24" t="str">
        <x:v>sí</x:v>
      </x:c>
      <x:c r="K72" s="24" t="str">
        <x:v>Hosios</x:v>
      </x:c>
      <x:c r="L72" s="26" t="n">
        <x:v>1990</x:v>
      </x:c>
      <x:c r="M72" s="25" t="str">
        <x:v>Ontheefficiencyofmatchingandrelatedmodelsofsearchandunemployment</x:v>
      </x:c>
      <x:c r="N72" s="25" t="str"/>
      <x:c r="O72" s="25" t="str">
        <x:v>Una referencia completa; apellido, año y título concuerdan con el PDF.</x:v>
      </x:c>
      <x:c r="P72" s="25" t="str">
        <x:v>saki_research/published_papers/bianchi_bigio_portfolio_choice_settlement_frictions_theory_endogenous_convenience_yields.pdf</x:v>
      </x:c>
      <x:c r="Q72" s="25" t="str">
        <x:v>Página PDF 44:
Geanakoplos,JohnandKieranJamesWalsh,“InefficientLiquidityProvision,”Economic Theory,
2017. Advanceonlinepublication.
He, Zhiguo and Konstantin Milbradt, “Endogenous liquidity and defaultable bonds,” Economet-
rica,2014,82(4),1443–1508.
Holmstrom, Bengt and Jean Tirole, “LAPM: A Liquidity Based Asset Pricing Model,” Journal of
Finance,October2001,56(5),1837–1867.
Hosios,ArthurJ,“Ontheefficiencyofmatchingandrelatedmodelsofsearchandunemployment,”
TheReviewofEconomicStudies,1990,57(2),279–298.
Hugonnier,Julien,BenjaminLester,andPierre-OlivierWeill,“Heterogeneityindecentralized
assetmarkets,”TheoreticalEconomics,2022,17(3),1313–1356.
, ,and ,TheEconomicsofOver-the-CounterMarkets: AToolkitfortheAnalysisofDecentralized
Exchange,PrincetonUniversityPress,2025.</x:v>
      </x:c>
    </x:row>
    <x:row r="73" ht="72" customHeight="1">
      <x:c r="A73" s="24" t="str">
        <x:v>T-061</x:v>
      </x:c>
      <x:c r="B73" s="24" t="str">
        <x:v>P12</x:v>
      </x:c>
      <x:c r="C73" s="24" t="n">
        <x:v>32</x:v>
      </x:c>
      <x:c r="D73" s="24" t="str">
        <x:v>44</x:v>
      </x:c>
      <x:c r="E73" s="24" t="str">
        <x:v>correcta</x:v>
      </x:c>
      <x:c r="F73" s="24" t="str">
        <x:v>sí</x:v>
      </x:c>
      <x:c r="G73" s="24" t="str">
        <x:v>sí</x:v>
      </x:c>
      <x:c r="H73" s="24" t="str">
        <x:v>sí</x:v>
      </x:c>
      <x:c r="I73" s="24" t="str">
        <x:v>sí</x:v>
      </x:c>
      <x:c r="J73" s="24" t="str">
        <x:v>sí</x:v>
      </x:c>
      <x:c r="K73" s="24" t="str">
        <x:v>Ismail</x:v>
      </x:c>
      <x:c r="L73" s="26" t="n">
        <x:v>2025</x:v>
      </x:c>
      <x:c r="M73" s="25" t="str">
        <x:v>WelfareCostofConvenienceYield</x:v>
      </x:c>
      <x:c r="N73" s="25" t="str"/>
      <x:c r="O73" s="25" t="str">
        <x:v>Una referencia completa; apellido, año y título concuerdan con el PDF.</x:v>
      </x:c>
      <x:c r="P73" s="25" t="str">
        <x:v>saki_research/published_papers/bianchi_bigio_portfolio_choice_settlement_frictions_theory_endogenous_convenience_yields.pdf</x:v>
      </x:c>
      <x:c r="Q73" s="25" t="str">
        <x:v>Página PDF 44:
Finance,October2001,56(5),1837–1867.
Hosios,ArthurJ,“Ontheefficiencyofmatchingandrelatedmodelsofsearchandunemployment,”
TheReviewofEconomicStudies,1990,57(2),279–298.
Hugonnier,Julien,BenjaminLester,andPierre-OlivierWeill,“Heterogeneityindecentralized
assetmarkets,”TheoreticalEconomics,2022,17(3),1313–1356.
, ,and ,TheEconomicsofOver-the-CounterMarkets: AToolkitfortheAnalysisofDecentralized
Exchange,PrincetonUniversityPress,2025.
Ismail,AliHaiderandDiegoZuniga,“WelfareCostofConvenienceYield,”2025. WorkingPaper.
Jacklin, Charles J., “Demand Deposits, Trading Restrictions, and Risk Sharing,” in Edward C.
Prescott and Neil Wallace, eds., Contractual Arrangements for Intertemporal Trade, Minneapolis:
UniversityofMinnesotaPress,1987,pp.26–47.
Kiyotaki,NobuhiroandRandallWright,“Asearch-theoreticapproachtomonetaryeconomics,”
TheAmericanEconomicReview,1993,pp.63–77.</x:v>
      </x:c>
    </x:row>
    <x:row r="74" ht="72" customHeight="1">
      <x:c r="A74" s="24" t="str">
        <x:v>T-062</x:v>
      </x:c>
      <x:c r="B74" s="24" t="str">
        <x:v>P13</x:v>
      </x:c>
      <x:c r="C74" s="24" t="n">
        <x:v>5</x:v>
      </x:c>
      <x:c r="D74" s="24" t="str">
        <x:v>27</x:v>
      </x:c>
      <x:c r="E74" s="24" t="str">
        <x:v>correcta</x:v>
      </x:c>
      <x:c r="F74" s="24" t="str">
        <x:v>sí</x:v>
      </x:c>
      <x:c r="G74" s="24" t="str">
        <x:v>sí</x:v>
      </x:c>
      <x:c r="H74" s="24" t="str">
        <x:v>sí</x:v>
      </x:c>
      <x:c r="I74" s="24" t="str">
        <x:v>sí</x:v>
      </x:c>
      <x:c r="J74" s="24" t="str">
        <x:v>sí</x:v>
      </x:c>
      <x:c r="K74" s="24" t="str">
        <x:v>Baqaee</x:v>
      </x:c>
      <x:c r="L74" s="26" t="n">
        <x:v>2023</x:v>
      </x:c>
      <x:c r="M74" s="25" t="str">
        <x:v>Welfare and output with income effects and taste shocks</x:v>
      </x:c>
      <x:c r="N74" s="25" t="str"/>
      <x:c r="O74" s="25" t="str">
        <x:v>Una referencia completa; apellido, año y título concuerdan con el PDF.</x:v>
      </x:c>
      <x:c r="P74" s="25" t="str">
        <x:v>saki_research/published_papers/bigio_kanzig_sanchez_walsh_carbon_pricing_inequality_normative_pespective.pdf</x:v>
      </x:c>
      <x:c r="Q74" s="25" t="str">
        <x:v>Página PDF 27:
Theroleofincomeinequality”.
Andersson, Julius J. (2019). “Carbon taxes and CO2 emissions: Sweden as a case study”.
AmericanEconomicJournal:EconomicPolicy11.4,pp.1–30.
Baqaee, David, Ariel T. Burstein, and Yasutaka Mori (2022). “A new method for mea-
suring welfare with income effects using cross-sectional data”. NBER Working Paper
w30549.
Baqaee, David R. and Ariel Burstein (2023). “Welfare and output with income effects
andtasteshocks”.TheQuarterlyJournalofEconomics138.2,pp.769–834.
Belfiori, Elisa and Manuel Macera (2025). “Optimal Climate Policy with Demographic
Transitions”.UTDTWorkingPaper.
Bernard, Jean-Thomas and Maral Kichian (2021). “The impact of a revenue-neutral car-
bontaxonGDPdynamics:ThecaseofBritishColumbia”.TheEnergyJournal42.3.
Bettarelli,Luca,DavideFurceri,LoredanaPisano,andPietroPizzuto(2025).“Greenfla-</x:v>
      </x:c>
    </x:row>
    <x:row r="75" ht="72" customHeight="1">
      <x:c r="A75" s="24" t="str">
        <x:v>T-063</x:v>
      </x:c>
      <x:c r="B75" s="24" t="str">
        <x:v>P13</x:v>
      </x:c>
      <x:c r="C75" s="24" t="n">
        <x:v>36</x:v>
      </x:c>
      <x:c r="D75" s="24" t="str">
        <x:v>29</x:v>
      </x:c>
      <x:c r="E75" s="24" t="str">
        <x:v>correcta</x:v>
      </x:c>
      <x:c r="F75" s="24" t="str">
        <x:v>sí</x:v>
      </x:c>
      <x:c r="G75" s="24" t="str">
        <x:v>sí</x:v>
      </x:c>
      <x:c r="H75" s="24" t="str">
        <x:v>sí</x:v>
      </x:c>
      <x:c r="I75" s="24" t="str">
        <x:v>sí</x:v>
      </x:c>
      <x:c r="J75" s="24" t="str">
        <x:v>sí</x:v>
      </x:c>
      <x:c r="K75" s="24" t="str">
        <x:v>Saez</x:v>
      </x:c>
      <x:c r="L75" s="26" t="n">
        <x:v>2016</x:v>
      </x:c>
      <x:c r="M75" s="25" t="str">
        <x:v>Generalized social marginal welfare weights for optimal tax theory</x:v>
      </x:c>
      <x:c r="N75" s="25" t="str"/>
      <x:c r="O75" s="25" t="str">
        <x:v>Una referencia completa; apellido, año y título concuerdan con el PDF.</x:v>
      </x:c>
      <x:c r="P75" s="25" t="str">
        <x:v>saki_research/published_papers/bigio_kanzig_sanchez_walsh_carbon_pricing_inequality_normative_pespective.pdf</x:v>
      </x:c>
      <x:c r="Q75" s="25" t="str">
        <x:v>Página PDF 29:
Metcalf, Gilbert E. and James H. Stock (2023). “The macroeconomic impact of Europe’s
carbontaxes”.AmericanEconomicJournal:Macroeconomics15.3,pp.265–286.
MontielOlea,JoséLuisandMikkelPlagborg-Møller(2021).“Localprojectioninference
issimplerandmorerobustthanyouthink”.Econometrica89.4,pp.1789–1823.
Poterba, James M. (May 1989). “Lifetime Incidence and the Distributional Burden of Ex-
ciseTaxes”.AmericanEconomicReview79.2,pp.325–330.
Saez, Emmanuel and Stefanie Stantcheva (2016). “Generalized social marginal welfare
weightsforoptimaltaxtheory”.AmericanEconomicReview106.01,pp.24–45.
Samuelson, Paul A. (1974). “Complementarity: An essay on the 40th anniversary of the
Hicks-Allenrevolutionindemandtheory”.JournalofEconomicliterature12.4,pp.1255–
1289.
Sandmo, Agnar (1975). “Optimal taxation in the presence of externalities”. The Swedish
JournalofEconomics,pp.86–98.</x:v>
      </x:c>
    </x:row>
    <x:row r="76" ht="72" customHeight="1">
      <x:c r="A76" s="24" t="str">
        <x:v>T-064</x:v>
      </x:c>
      <x:c r="B76" s="24" t="str">
        <x:v>V01</x:v>
      </x:c>
      <x:c r="C76" s="24" t="n">
        <x:v>2</x:v>
      </x:c>
      <x:c r="D76" s="24" t="str">
        <x:v>20</x:v>
      </x:c>
      <x:c r="E76" s="24" t="str">
        <x:v>correcta</x:v>
      </x:c>
      <x:c r="F76" s="24" t="str">
        <x:v>sí</x:v>
      </x:c>
      <x:c r="G76" s="24" t="str">
        <x:v>sí</x:v>
      </x:c>
      <x:c r="H76" s="24" t="str">
        <x:v>sí</x:v>
      </x:c>
      <x:c r="I76" s="24" t="str">
        <x:v>sí</x:v>
      </x:c>
      <x:c r="J76" s="24" t="str">
        <x:v>sí</x:v>
      </x:c>
      <x:c r="K76" s="24" t="str">
        <x:v>Acemoglu</x:v>
      </x:c>
      <x:c r="L76" s="26" t="n">
        <x:v>2012</x:v>
      </x:c>
      <x:c r="M76" s="25" t="str">
        <x:v>The Network Origins of Aggregate Fluctuations</x:v>
      </x:c>
      <x:c r="N76" s="25" t="str"/>
      <x:c r="O76" s="25" t="str">
        <x:v>Una referencia completa; apellido, año y título concuerdan con el PDF.</x:v>
      </x:c>
      <x:c r="P76" s="25" t="str">
        <x:v>saki_research/research_vision/research_vision.pdf</x:v>
      </x:c>
      <x:c r="Q76" s="25" t="str">
        <x:v>Página PDF 20:
liquidity and macroeconomics: a research vision and an agenda 20
References
Abad,Jorge,SakiBigio,SalomonGarcia-Villegas,JoelMarbet,andGaloNuno,
“TheHeterogeneousBankLendingChannelofMonetaryPolicy,”2025.
Acemoglu,Daron,VascoM.Carvalho,AsumanOzdaglar,andAlirezaTahbaz-
Salehi,“TheNetworkOriginsofAggregateFluctuations,”Econometrica,2012,
80(5),1977–2016.
Adrian,Tobias,ErkkoEtula,andTylerMuir,“Financialintermediariesandthe
cross-sectionofassetreturns,”TheJournalofFinance,2014,69(6),2557–2596.
Adrian, Tobias, Paolo Colla, and Hyun Song Shin, “Which Financial Fric-
tions?ParsingtheEvidencefromtheFinancialCrisisof2007-09,”2012. Federal</x:v>
      </x:c>
    </x:row>
    <x:row r="77" ht="72" customHeight="1">
      <x:c r="A77" s="24" t="str">
        <x:v>T-065</x:v>
      </x:c>
      <x:c r="B77" s="24" t="str">
        <x:v>V01</x:v>
      </x:c>
      <x:c r="C77" s="24" t="n">
        <x:v>30</x:v>
      </x:c>
      <x:c r="D77" s="24" t="str">
        <x:v>21</x:v>
      </x:c>
      <x:c r="E77" s="24" t="str">
        <x:v>correcta</x:v>
      </x:c>
      <x:c r="F77" s="24" t="str">
        <x:v>sí</x:v>
      </x:c>
      <x:c r="G77" s="24" t="str">
        <x:v>sí</x:v>
      </x:c>
      <x:c r="H77" s="24" t="str">
        <x:v>sí</x:v>
      </x:c>
      <x:c r="I77" s="24" t="str">
        <x:v>sí</x:v>
      </x:c>
      <x:c r="J77" s="24" t="str">
        <x:v>sí</x:v>
      </x:c>
      <x:c r="K77" s="24" t="str">
        <x:v>Bigio</x:v>
      </x:c>
      <x:c r="L77" s="26" t="n">
        <x:v>2025</x:v>
      </x:c>
      <x:c r="M77" s="25" t="str">
        <x:v>Sticky Inflation</x:v>
      </x:c>
      <x:c r="N77" s="25" t="str"/>
      <x:c r="O77" s="25" t="str">
        <x:v>Una referencia completa; apellido, año y título concuerdan con el PDF.</x:v>
      </x:c>
      <x:c r="P77" s="25" t="str">
        <x:v>saki_research/research_vision/research_vision.pdf</x:v>
      </x:c>
      <x:c r="Q77" s="25" t="str">
        <x:v>Página PDF 21:
2024. reviseandresubmit,JournalofFinance.
Bigio,Saki,DejanirSilva,andEduardoZilberman,“HeterogeneousBeliefs,Asset
Prices,andBusinessCycles,”JournalofFinancialEconomics,2026. forthcoming.
Bigio,Saki,EstebanMendez,andDianaVanPatten,“ATheoryofPayment-Chain
Crises,”September2025.
Bigio,Saki,GaloNuno,andJuanPassadore,“Debt-MaturityManagementwith
LiquidityCosts,”JournalofPoliticalEconomyMacroeconomics,2023,1(1).
Bigio,Saki,NicolasCaramp,andDejanirSilva,“StickyInflation,”2025. revise
andresubmit,JournalofPoliticalEconomyMacroeconomics.
Bigio,Saki,PabloD’Erasmo,andLuisYepez,“MonetaryPolicyImplementation
RegimesintheUSandReserveDemandEstimation,”2025.
Bigio,Saki,PaulCastillo,andSeungyubHan,“DollarLiquidityFlowsinSmall-
OpenEconomies,”2025.</x:v>
      </x:c>
    </x:row>
    <x:row r="78" ht="72" customHeight="1">
      <x:c r="A78" s="24" t="str">
        <x:v>T-066</x:v>
      </x:c>
      <x:c r="B78" s="24" t="str">
        <x:v>V01</x:v>
      </x:c>
      <x:c r="C78" s="24" t="n">
        <x:v>35</x:v>
      </x:c>
      <x:c r="D78" s="24" t="str">
        <x:v>22</x:v>
      </x:c>
      <x:c r="E78" s="24" t="str">
        <x:v>correcta</x:v>
      </x:c>
      <x:c r="F78" s="24" t="str">
        <x:v>sí</x:v>
      </x:c>
      <x:c r="G78" s="24" t="str">
        <x:v>sí</x:v>
      </x:c>
      <x:c r="H78" s="24" t="str">
        <x:v>sí</x:v>
      </x:c>
      <x:c r="I78" s="24" t="str">
        <x:v>sí</x:v>
      </x:c>
      <x:c r="J78" s="24" t="str">
        <x:v>sí</x:v>
      </x:c>
      <x:c r="K78" s="24" t="str">
        <x:v>Bigio</x:v>
      </x:c>
      <x:c r="L78" s="26" t="n">
        <x:v>2024</x:v>
      </x:c>
      <x:c r="M78" s="25" t="str">
        <x:v>A Comparative-Static Approach to Central Bank Balance Sheet Policies</x:v>
      </x:c>
      <x:c r="N78" s="25" t="str"/>
      <x:c r="O78" s="25" t="str">
        <x:v>Una referencia completa; apellido, año y título concuerdan con el PDF.</x:v>
      </x:c>
      <x:c r="P78" s="25" t="str">
        <x:v>saki_research/research_vision/research_vision.pdf</x:v>
      </x:c>
      <x:c r="Q78" s="25" t="str">
        <x:v>Página PDF 22:
liquidity and macroeconomics: a research vision and an agenda 22
Bigio,Saki,Pierre-OlivierWeill,andDiegoZuniga,“CompetitiveBankLiability
Design,”2026.
Bigio, Saki, Tobias Linzert, Fernando Mendo, Dominik Thaler, and Julian
Schumacher,“AComparative-StaticApproachtoCentralBankBalanceSheet
Policies,”2024.
Boyd,JohnHandEdwardCPrescott,“FinancialIntermediary-Coalitions,”Journal
ofEconomicTheory,1986,38(2),211–232.
Brunnermeier,MarkusK.andYuliySannikov,“AMacroeconomicModelwitha
FinancialSector,”AmericanEconomicReview,2014,104(2),379–421.
Buera, Francisco J. and Benjamin Moll, “Aggregate Implications of a Credit</x:v>
      </x:c>
    </x:row>
    <x:row r="79" ht="72" customHeight="1">
      <x:c r="A79" s="24" t="str">
        <x:v>T-067</x:v>
      </x:c>
      <x:c r="B79" s="24" t="str">
        <x:v>V01</x:v>
      </x:c>
      <x:c r="C79" s="24" t="n">
        <x:v>59</x:v>
      </x:c>
      <x:c r="D79" s="24" t="str">
        <x:v>23</x:v>
      </x:c>
      <x:c r="E79" s="24" t="str">
        <x:v>correcta</x:v>
      </x:c>
      <x:c r="F79" s="24" t="str">
        <x:v>sí</x:v>
      </x:c>
      <x:c r="G79" s="24" t="str">
        <x:v>sí</x:v>
      </x:c>
      <x:c r="H79" s="24" t="str">
        <x:v>sí</x:v>
      </x:c>
      <x:c r="I79" s="24" t="str">
        <x:v>sí</x:v>
      </x:c>
      <x:c r="J79" s="24" t="str">
        <x:v>sí</x:v>
      </x:c>
      <x:c r="K79" s="24" t="str">
        <x:v>Itskhoki</x:v>
      </x:c>
      <x:c r="L79" s="26" t="n">
        <x:v>2021</x:v>
      </x:c>
      <x:c r="M79" s="25" t="str">
        <x:v>Exchange Rate Disconnect in General Equilibrium</x:v>
      </x:c>
      <x:c r="N79" s="25" t="str"/>
      <x:c r="O79" s="25" t="str">
        <x:v>Una referencia completa; apellido, año y título concuerdan con el PDF.</x:v>
      </x:c>
      <x:c r="P79" s="25" t="str">
        <x:v>saki_research/research_vision/research_vision.pdf</x:v>
      </x:c>
      <x:c r="Q79" s="25" t="str">
        <x:v>Página PDF 23:
andtheRealSector,”TheQuarterlyJournalofEconomics,1997,112(3),pp.663–691.
Holmstrom, Bengt and Jean Tirole, “Private and Public Supply of Liquidity,”
JournalofPoliticalEconomy,1998,106(1),1–40.
Hsieh,Chang-TaiandPeterJ.Klenow,“MisallocationandManufacturingTFP
inChinaandIndia,”TheQuarterlyJournalofEconomics,November2009,124(4),
1403–1448.
Itskhoki, Oleg and Dmitry Mukhin, “Exchange Rate Disconnect in General
Equilibrium,”JournalofPoliticalEconomy,2021,129(8),2183–2232.
Keister,ToddandJamesMcAndrews,“WhyAreBanksHoldingSoManyExcess
Reserves?,”July2009. FederalReserveBankofNewYorkStaffReportno.380.
Kiyotaki,NobuhiroandJohnMoore,“CreditCycles,”JournalofPoliticalEconomy,
1997,105(2),211–248.
Kiyotaki,NobuhiroandJohnMoore,“Liquidity,BusinessCycles,andMonetary</x:v>
      </x:c>
    </x:row>
    <x:row r="80" ht="72" customHeight="1">
      <x:c r="A80" s="24" t="str">
        <x:v>T-068</x:v>
      </x:c>
      <x:c r="B80" s="24" t="str">
        <x:v>V01</x:v>
      </x:c>
      <x:c r="C80" s="24" t="n">
        <x:v>71</x:v>
      </x:c>
      <x:c r="D80" s="24" t="str">
        <x:v>24</x:v>
      </x:c>
      <x:c r="E80" s="24" t="str">
        <x:v>correcta</x:v>
      </x:c>
      <x:c r="F80" s="24" t="str">
        <x:v>sí</x:v>
      </x:c>
      <x:c r="G80" s="24" t="str">
        <x:v>sí</x:v>
      </x:c>
      <x:c r="H80" s="24" t="str">
        <x:v>sí</x:v>
      </x:c>
      <x:c r="I80" s="24" t="str">
        <x:v>sí</x:v>
      </x:c>
      <x:c r="J80" s="24" t="str">
        <x:v>sí</x:v>
      </x:c>
      <x:c r="K80" s="24" t="str">
        <x:v>Williamson</x:v>
      </x:c>
      <x:c r="L80" s="26" t="n">
        <x:v>1987</x:v>
      </x:c>
      <x:c r="M80" s="25" t="str">
        <x:v>CostlyMonitoring, LoanContracts, andEquilibriumCredit Rationing</x:v>
      </x:c>
      <x:c r="N80" s="25" t="str"/>
      <x:c r="O80" s="25" t="str">
        <x:v>Una referencia completa; apellido, año y título concuerdan con el PDF.</x:v>
      </x:c>
      <x:c r="P80" s="25" t="str">
        <x:v>saki_research/research_vision/research_vision.pdf</x:v>
      </x:c>
      <x:c r="Q80" s="25" t="str">
        <x:v>Página PDF 24:
liquidity and macroeconomics: a research vision and an agenda 24
Shi, Shouyong, “Liquidity, Assets and Business Cycles,” Journal of Monetary
Economics,2015,70,116–132.
Stigum, Marcia and Anthony Crescenzi, Stigum’s Money Market, fourth ed.,
McGraw-HillEducation,2007.
Williamson,Stephen,“CostlyMonitoring,LoanContracts,andEquilibriumCredit
Rationing,”TheQuarterlyJournalofEconomics,1987,102(1),135–146.
Woodford, Michael, “Doing without Money: Controlling Inflation in a Post-
MonetaryWorld,”ReviewofEconomicDynamics,1998,1(1),173–219.
Woodford,Michael,InterestandPrices: FoundationsofaTheoryofMonetaryPolicy,
PrincetonUniversityPress,2004.
Zetlin-Jones, Ariel and Ali Shourideh, “External Financing and the Role of</x:v>
      </x:c>
    </x:row>
    <x:row r="81" ht="72" customHeight="1">
      <x:c r="A81" s="24" t="str">
        <x:v>T-069</x:v>
      </x:c>
      <x:c r="B81" s="24" t="str">
        <x:v>W02</x:v>
      </x:c>
      <x:c r="C81" s="24" t="n">
        <x:v>4</x:v>
      </x:c>
      <x:c r="D81" s="24" t="str">
        <x:v>41</x:v>
      </x:c>
      <x:c r="E81" s="24" t="str">
        <x:v>correcta</x:v>
      </x:c>
      <x:c r="F81" s="24" t="str">
        <x:v>sí</x:v>
      </x:c>
      <x:c r="G81" s="24" t="str">
        <x:v>sí</x:v>
      </x:c>
      <x:c r="H81" s="24" t="str">
        <x:v>sí</x:v>
      </x:c>
      <x:c r="I81" s="24" t="str">
        <x:v>sí</x:v>
      </x:c>
      <x:c r="J81" s="24" t="str">
        <x:v>sí</x:v>
      </x:c>
      <x:c r="K81" s="24" t="str">
        <x:v>Aiyagari</x:v>
      </x:c>
      <x:c r="L81" s="26" t="n">
        <x:v>1998</x:v>
      </x:c>
      <x:c r="M81" s="25" t="str">
        <x:v>The optimum quantity of debt</x:v>
      </x:c>
      <x:c r="N81" s="25" t="str"/>
      <x:c r="O81" s="25" t="str">
        <x:v>Una referencia completa; apellido, año y título concuerdan con el PDF.</x:v>
      </x:c>
      <x:c r="P81" s="25" t="str">
        <x:v>saki_research/working_papers/bigio_sannikov_model_credit_money_interest_prices.pdf</x:v>
      </x:c>
      <x:c r="Q81" s="25" t="str">
        <x:v>Página PDF 41:
jamin Moll, “Income and Wealth Distribution in Macroeconomics: A Continuous-Time
Approach,” The Review of Economic Studies, 04 2021, 89 (1), 45–86.
Afonso, Gara and Ricardo Lagos, “An Empirical Study of Trade Dynamics in the
Fed Funds Market,” 2014. Federal Reserve Bank of Minneapolis Research Department,
Working Paper 708.
and , “Trade Dynamics in the Market for Federal Funds,” Econometrica, 2015, 83
(1), 263–313.
Aiyagari, S. and Ellen McGrattan, “The optimum quantity of debt,” Journal of Mon-
etary Economics, 1998, 42 (3), 447–469.
Aiyagari, S. Rao, “Uninsured Idiosyncratic Risk and Aggregate Saving,” The Quarterly
Journal of Economics, 1994, 109 (3), 659–684.
Arce, Oscar, Galo Nuno, Dominik Thaler, and Carlos Thomas, “A large central
bankbalancesheet? FloorvscorridorsystemsinaNewKeynesianenvironment,” Journal</x:v>
      </x:c>
    </x:row>
    <x:row r="82" ht="72" customHeight="1">
      <x:c r="A82" s="24" t="str">
        <x:v>T-070</x:v>
      </x:c>
      <x:c r="B82" s="24" t="str">
        <x:v>W02</x:v>
      </x:c>
      <x:c r="C82" s="24" t="n">
        <x:v>22</x:v>
      </x:c>
      <x:c r="D82" s="24" t="str">
        <x:v>42</x:v>
      </x:c>
      <x:c r="E82" s="24" t="str">
        <x:v>correcta</x:v>
      </x:c>
      <x:c r="F82" s="24" t="str">
        <x:v>sí</x:v>
      </x:c>
      <x:c r="G82" s="24" t="str">
        <x:v>sí</x:v>
      </x:c>
      <x:c r="H82" s="24" t="str">
        <x:v>sí</x:v>
      </x:c>
      <x:c r="I82" s="24" t="str">
        <x:v>sí</x:v>
      </x:c>
      <x:c r="J82" s="24" t="str">
        <x:v>sí</x:v>
      </x:c>
      <x:c r="K82" s="24" t="str">
        <x:v>Caballero</x:v>
      </x:c>
      <x:c r="L82" s="26" t="n">
        <x:v>1998</x:v>
      </x:c>
      <x:c r="M82" s="25" t="str">
        <x:v>The Macroeconomics of Specificity</x:v>
      </x:c>
      <x:c r="N82" s="25" t="str"/>
      <x:c r="O82" s="25" t="str">
        <x:v>Una referencia completa; apellido, año y título concuerdan con el PDF.</x:v>
      </x:c>
      <x:c r="P82" s="25" t="str">
        <x:v>saki_research/working_papers/bigio_sannikov_model_credit_money_interest_prices.pdf</x:v>
      </x:c>
      <x:c r="Q82" s="25" t="str">
        <x:v>Página PDF 42:
Keynesian Model with Unemployment,” American Economic Journal: Macroeconomics,
April 2010, 2 (2), 1–30.
Brunnermeier, Markus K. and Yuliy Sannikov, “The I-Theory of Money,” 2012.
Buera, Francisco J and Juan Pablo Nicolini, “Liquidity traps and monetary policy:
Managing a credit crunch,” American Economic Journal: Macroeconomics, 2020, 12 (3),
110–38.
Caballero, Ricardo J. and Mohamad L. Hammour, “The Macroeconomics of Speci-
ficity,” The Journal of Political Economy, 1998, 106 (4), 724–767.
Challe, Edouard, “Uninsured Unemployment Risk and Optimal Monetary Policy in a
Zero-Liquidity Economy,” American Economic Journal: Macroeconomics, April 2020, 12
(2), 241–83.
Chetty, Raj and Adam Szeidl, “Consumption Commitments and Risk Preferences*,”
The Quarterly Journal of Economics, 05 2007, 122 (2), 831–877.</x:v>
      </x:c>
    </x:row>
    <x:row r="83" ht="72" customHeight="1">
      <x:c r="A83" s="24" t="str">
        <x:v>T-071</x:v>
      </x:c>
      <x:c r="B83" s="24" t="str">
        <x:v>W02</x:v>
      </x:c>
      <x:c r="C83" s="24" t="n">
        <x:v>41</x:v>
      </x:c>
      <x:c r="D83" s="24" t="str">
        <x:v>44</x:v>
      </x:c>
      <x:c r="E83" s="24" t="str">
        <x:v>correcta</x:v>
      </x:c>
      <x:c r="F83" s="24" t="str">
        <x:v>sí</x:v>
      </x:c>
      <x:c r="G83" s="24" t="str">
        <x:v>sí</x:v>
      </x:c>
      <x:c r="H83" s="24" t="str">
        <x:v>sí</x:v>
      </x:c>
      <x:c r="I83" s="24" t="str">
        <x:v>sí</x:v>
      </x:c>
      <x:c r="J83" s="24" t="str">
        <x:v>sí</x:v>
      </x:c>
      <x:c r="K83" s="24" t="str">
        <x:v>Kaplan</x:v>
      </x:c>
      <x:c r="L83" s="26" t="n">
        <x:v>2018</x:v>
      </x:c>
      <x:c r="M83" s="25" t="str">
        <x:v>Monetary policy according to HANK</x:v>
      </x:c>
      <x:c r="N83" s="25" t="str"/>
      <x:c r="O83" s="25" t="str">
        <x:v>Una referencia completa; apellido, año y título concuerdan con el PDF.</x:v>
      </x:c>
      <x:c r="P83" s="25" t="str">
        <x:v>saki_research/working_papers/bigio_sannikov_model_credit_money_interest_prices.pdf</x:v>
      </x:c>
      <x:c r="Q83" s="25" t="str">
        <x:v>Página PDF 44:
Heider, Florian, Farzad Saidi, and Glenn Schepens, “Life below Zero: Bank Lending
under Negative Policy Rates,” Review of Financial Studies, 2019, forthcoming (10).
Hubmer, Joachim, Per Krusell, and Anthony A. Smith Jr., “SourcesofU.S.Wealth
Inequality: Past, Present, and Future,,” NBER Macroeconomics Annual, 2020, 35.
Huggett, Mark, “The risk-free rate in heterogeneous-agent incomplete-insurance
economies,” Journal of Economic Dynamics and Control, 1993, 17 (5), 953–969.
Kaplan, Greg, Benjamin Moll, and Giovanni L Violante, “Monetary policy accord-
ing to HANK,” American Economic Review, 2018, 108 (3), 697–743.
Kashyap, Anil K and Jeremy C. Stein, “What Do a Million Observations on Banks
Say about the Transmission of Monetary Policy?,” American Economic Review, 2000, 90
(3), pp. 407–428.
Koby, Yann and Markus Brunnermeier, “The Reversal Interest Rate,” 2022.
Korinek, Anton and Alp Simsek, “Liquidity Trap and Excessive Leverage,” American</x:v>
      </x:c>
    </x:row>
    <x:row r="84" ht="72" customHeight="1">
      <x:c r="A84" s="24" t="str">
        <x:v>T-072</x:v>
      </x:c>
      <x:c r="B84" s="24" t="str">
        <x:v>W02</x:v>
      </x:c>
      <x:c r="C84" s="24" t="n">
        <x:v>57</x:v>
      </x:c>
      <x:c r="D84" s="24" t="str">
        <x:v>45</x:v>
      </x:c>
      <x:c r="E84" s="24" t="str">
        <x:v>correcta</x:v>
      </x:c>
      <x:c r="F84" s="24" t="str">
        <x:v>sí</x:v>
      </x:c>
      <x:c r="G84" s="24" t="str">
        <x:v>sí</x:v>
      </x:c>
      <x:c r="H84" s="24" t="str">
        <x:v>sí</x:v>
      </x:c>
      <x:c r="I84" s="24" t="str">
        <x:v>sí</x:v>
      </x:c>
      <x:c r="J84" s="24" t="str">
        <x:v>sí</x:v>
      </x:c>
      <x:c r="K84" s="24" t="str">
        <x:v>Stein</x:v>
      </x:c>
      <x:c r="L84" s="26" t="n">
        <x:v>2012</x:v>
      </x:c>
      <x:c r="M84" s="25" t="str">
        <x:v>Monetary Policy as Financial Stability Regulation</x:v>
      </x:c>
      <x:c r="N84" s="25" t="str"/>
      <x:c r="O84" s="25" t="str">
        <x:v>Una referencia completa; apellido, año y título concuerdan con el PDF.</x:v>
      </x:c>
      <x:c r="P84" s="25" t="str">
        <x:v>saki_research/working_papers/bigio_sannikov_model_credit_money_interest_prices.pdf</x:v>
      </x:c>
      <x:c r="Q84" s="25" t="str">
        <x:v>Página PDF 45:
nal of Monetary Economics, 1 2021, 117, 64–90.
Schaab, Andreas, “Micro and Macro Uncertainty,” November 2020. Unpublished
Manuscript.
Schnabel, Isabel, “Back to normal? Balance sheet size and interest rate control,” March
2023. Speech at an event organised by Columbia University and SGH Macro Advisors.
Silva, Dejanir, “The Risk Channel of Unconventional Monetary Policy,” 2020. University
of Illinois, Urbana-Champaign working paper.
Stein, Jeremy C., “Monetary Policy as Financial Stability Regulation,” The Quarterly
Journal of Economics, 2012, 127 (1), pp. 57–95.
Ulate, Mauricio, “Going Negative at the Zero Lower Bound: The Effects of Negative
Nominal Interest Rates,” American Economic Review, 2020, Forthcoming.
Wallace, Neil, “A Modigliani-Miller Theorem for Open-Market Operations,” The Ameri-
can Economic Review, 1981, 71 (3), pp. 267–274.</x:v>
      </x:c>
    </x:row>
    <x:row r="85" ht="72" customHeight="1">
      <x:c r="A85" s="24" t="str">
        <x:v>T-073</x:v>
      </x:c>
      <x:c r="B85" s="24" t="str">
        <x:v>W02</x:v>
      </x:c>
      <x:c r="C85" s="24" t="n">
        <x:v>63</x:v>
      </x:c>
      <x:c r="D85" s="24" t="str">
        <x:v>46</x:v>
      </x:c>
      <x:c r="E85" s="24" t="str">
        <x:v>correcta</x:v>
      </x:c>
      <x:c r="F85" s="24" t="str">
        <x:v>sí</x:v>
      </x:c>
      <x:c r="G85" s="24" t="str">
        <x:v>sí</x:v>
      </x:c>
      <x:c r="H85" s="24" t="str">
        <x:v>sí</x:v>
      </x:c>
      <x:c r="I85" s="24" t="str">
        <x:v>sí</x:v>
      </x:c>
      <x:c r="J85" s="24" t="str">
        <x:v>sí</x:v>
      </x:c>
      <x:c r="K85" s="24" t="str">
        <x:v>Williamson</x:v>
      </x:c>
      <x:c r="L85" s="26" t="n">
        <x:v>2012</x:v>
      </x:c>
      <x:c r="M85" s="25" t="str">
        <x:v>Liquidity, Monetary Policy, and the Financial Crisis: A New Monetarist Approach</x:v>
      </x:c>
      <x:c r="N85" s="25" t="str"/>
      <x:c r="O85" s="25" t="str">
        <x:v>Una referencia completa; apellido, año y título concuerdan con el PDF.</x:v>
      </x:c>
      <x:c r="P85" s="25" t="str">
        <x:v>saki_research/working_papers/bigio_sannikov_model_credit_money_interest_prices.pdf</x:v>
      </x:c>
      <x:c r="Q85" s="25" t="str">
        <x:v>Página PDF 46:
Williamson, Stephen, “Liquidity, Monetary Policy, and the Financial Crisis: A New
Monetarist Approach,” American Economic Review, 2012, 102 (6), 2570–2605.
Wong, Arlene, “Refinancing and the transmission of monetary policy to consumption,”
Unpublished manuscript, 2019.</x:v>
      </x:c>
    </x:row>
    <x:row r="86" ht="72" customHeight="1">
      <x:c r="A86" s="24" t="str">
        <x:v>T-074</x:v>
      </x:c>
      <x:c r="B86" s="24" t="str">
        <x:v>W03</x:v>
      </x:c>
      <x:c r="C86" s="24" t="n">
        <x:v>8</x:v>
      </x:c>
      <x:c r="D86" s="24" t="str">
        <x:v>33</x:v>
      </x:c>
      <x:c r="E86" s="24" t="str">
        <x:v>correcta</x:v>
      </x:c>
      <x:c r="F86" s="24" t="str">
        <x:v>sí</x:v>
      </x:c>
      <x:c r="G86" s="24" t="str">
        <x:v>sí</x:v>
      </x:c>
      <x:c r="H86" s="24" t="str">
        <x:v>sí</x:v>
      </x:c>
      <x:c r="I86" s="24" t="str">
        <x:v>sí</x:v>
      </x:c>
      <x:c r="J86" s="24" t="str">
        <x:v>sí</x:v>
      </x:c>
      <x:c r="K86" s="24" t="str">
        <x:v>Armantier</x:v>
      </x:c>
      <x:c r="L86" s="26" t="n">
        <x:v>2024</x:v>
      </x:c>
      <x:c r="M86" s="25" t="str">
        <x:v>DiscountWindowStigmaAfter the Global Financial Crisis</x:v>
      </x:c>
      <x:c r="N86" s="25" t="str"/>
      <x:c r="O86" s="25" t="str">
        <x:v>Una referencia completa; apellido, año y título concuerdan con el PDF.</x:v>
      </x:c>
      <x:c r="P86" s="25" t="str">
        <x:v>saki_research/working_papers/bianchi_bigio_engel_scrambling_dollars_international_liquidity_banks_exchange_rate.pdf</x:v>
      </x:c>
      <x:c r="Q86" s="25" t="str">
        <x:v>Página PDF 33:
TheReviewofEconomicStudies
(3),851–878.
76
Amador,Manuel,JavierBianchi,LuigiBocola,andFabrizioPerri,“Exchangeratepolicies
atthezerolowerbound,” ,2020, (4),1605–1645.
TheReviewofEconomicStudies 87
Armantier,Olivier,MarcoCipriani,andAsaniSarkar,“DiscountWindowStigmaAfter
the Global Financial Crisis,” Staff Reports 1137, Federal Reserve Bank of New York
November2024.
32</x:v>
      </x:c>
    </x:row>
    <x:row r="87" ht="72" customHeight="1">
      <x:c r="A87" s="24" t="str">
        <x:v>T-075</x:v>
      </x:c>
      <x:c r="B87" s="24" t="str">
        <x:v>W03</x:v>
      </x:c>
      <x:c r="C87" s="24" t="n">
        <x:v>33</x:v>
      </x:c>
      <x:c r="D87" s="24" t="str">
        <x:v>35</x:v>
      </x:c>
      <x:c r="E87" s="24" t="str">
        <x:v>correcta</x:v>
      </x:c>
      <x:c r="F87" s="24" t="str">
        <x:v>sí</x:v>
      </x:c>
      <x:c r="G87" s="24" t="str">
        <x:v>sí</x:v>
      </x:c>
      <x:c r="H87" s="24" t="str">
        <x:v>sí</x:v>
      </x:c>
      <x:c r="I87" s="24" t="str">
        <x:v>sí</x:v>
      </x:c>
      <x:c r="J87" s="24" t="str">
        <x:v>sí</x:v>
      </x:c>
      <x:c r="K87" s="24" t="str">
        <x:v>Friedman</x:v>
      </x:c>
      <x:c r="L87" s="26" t="n">
        <x:v>1993</x:v>
      </x:c>
      <x:c r="M87" s="25" t="str">
        <x:v>WhyDoesthePaper-BillSpreadPredict RealEconomicActivity?</x:v>
      </x:c>
      <x:c r="N87" s="25" t="str"/>
      <x:c r="O87" s="25" t="str">
        <x:v>Una referencia completa; apellido, año y título concuerdan con el PDF.</x:v>
      </x:c>
      <x:c r="P87" s="25" t="str">
        <x:v>saki_research/working_papers/bianchi_bigio_engel_scrambling_dollars_international_liquidity_banks_exchange_rate.pdf</x:v>
      </x:c>
      <x:c r="Q87" s="25" t="str">
        <x:v>Página PDF 35:
Farhi,EmmanuelandXavierGabaix,“Raredisastersandexchangerates,”
TheQuarterly
,2016, (1),1–52.
JournalofEconomics 131
Fiore, Fiorella De, Marie Hoerova, and Harald Uhlig, “Money markets, collateral and
monetarypolicy,”2018. NBERWorkingPaperNo.25319.
Friedman,BenjaminM.andKennethN.Kuttner,“WhyDoesthePaper-BillSpreadPredict
RealEconomicActivity?,”inJamesH.StockandMarkW.Watson,eds.,
BusinessCycles,
,UniversityofChicagoPress,1993,pp.213–254.
IndicatorsandForecasting
Gabaix,XavierandMatteoMaggiori,“Internationalliquidityandexchangeratedynamics,”
,2015, (3),1369–1420.</x:v>
      </x:c>
    </x:row>
    <x:row r="88" ht="72" customHeight="1">
      <x:c r="A88" s="24" t="str">
        <x:v>T-076</x:v>
      </x:c>
      <x:c r="B88" s="24" t="str">
        <x:v>W03</x:v>
      </x:c>
      <x:c r="C88" s="24" t="n">
        <x:v>40</x:v>
      </x:c>
      <x:c r="D88" s="24" t="str">
        <x:v>36</x:v>
      </x:c>
      <x:c r="E88" s="24" t="str">
        <x:v>correcta</x:v>
      </x:c>
      <x:c r="F88" s="24" t="str">
        <x:v>sí</x:v>
      </x:c>
      <x:c r="G88" s="24" t="str">
        <x:v>sí</x:v>
      </x:c>
      <x:c r="H88" s="24" t="str">
        <x:v>sí</x:v>
      </x:c>
      <x:c r="I88" s="24" t="str">
        <x:v>sí</x:v>
      </x:c>
      <x:c r="J88" s="24" t="str">
        <x:v>sí</x:v>
      </x:c>
      <x:c r="K88" s="24" t="str">
        <x:v>Hassan</x:v>
      </x:c>
      <x:c r="L88" s="26" t="n">
        <x:v>2019</x:v>
      </x:c>
      <x:c r="M88" s="25" t="str">
        <x:v>Forwardandspotexchangeratesinamulti-currencyworld</x:v>
      </x:c>
      <x:c r="N88" s="25" t="str"/>
      <x:c r="O88" s="25" t="str">
        <x:v>Una referencia completa; apellido, año y título concuerdan con el PDF.</x:v>
      </x:c>
      <x:c r="P88" s="25" t="str">
        <x:v>saki_research/working_papers/bianchi_bigio_engel_scrambling_dollars_international_liquidity_banks_exchange_rate.pdf</x:v>
      </x:c>
      <x:c r="Q88" s="25" t="str">
        <x:v>Página PDF 36:
Hamilton,JamesD.,“ANewApproachtotheEconomicAnalysisofNonstationaryTime
SeriesandtheBusinessCycle,” ,1989, (2),357–384.
Econometrica 57
Hassan, Tarek A, “Country size, currency unions, and international asset returns,”
The
,2013, (6),2269–2308.
JournalofFinance 68
and Rui C Mano, “Forward and spot exchange rates in a multi-currency world,”
The
,2019, (1),397–450.
QuarterlyJournalofEconomics 134
IMF,2019. nternationalMonetaryFund,WorldEconomicOutlook.
Itskhoki, Oleg and Dmitry Mukhin, “Exchange rate disconnect in general equilibrium,”</x:v>
      </x:c>
    </x:row>
    <x:row r="89" ht="72" customHeight="1">
      <x:c r="A89" s="24" t="str">
        <x:v>T-077</x:v>
      </x:c>
      <x:c r="B89" s="24" t="str">
        <x:v>W04</x:v>
      </x:c>
      <x:c r="C89" s="24" t="n">
        <x:v>3</x:v>
      </x:c>
      <x:c r="D89" s="24" t="str">
        <x:v>43</x:v>
      </x:c>
      <x:c r="E89" s="24" t="str">
        <x:v>correcta</x:v>
      </x:c>
      <x:c r="F89" s="24" t="str">
        <x:v>sí</x:v>
      </x:c>
      <x:c r="G89" s="24" t="str">
        <x:v>sí</x:v>
      </x:c>
      <x:c r="H89" s="24" t="str">
        <x:v>sí</x:v>
      </x:c>
      <x:c r="I89" s="24" t="str">
        <x:v>sí</x:v>
      </x:c>
      <x:c r="J89" s="24" t="str">
        <x:v>sí</x:v>
      </x:c>
      <x:c r="K89" s="24" t="str">
        <x:v>Arutyunov</x:v>
      </x:c>
      <x:c r="L89" s="26" t="n">
        <x:v>2019</x:v>
      </x:c>
      <x:c r="M89" s="25" t="str">
        <x:v>Optimal impulsive control</x:v>
      </x:c>
      <x:c r="N89" s="25" t="str"/>
      <x:c r="O89" s="25" t="str">
        <x:v>Una referencia completa; apellido, año y título concuerdan con el PDF.</x:v>
      </x:c>
      <x:c r="P89" s="25" t="str">
        <x:v>saki_research/working_papers/bigio_caramp_silva_sticky_inflation_monetary_policy_debt_drags_inflation_expectations.pdf</x:v>
      </x:c>
      <x:c r="Q89" s="25" t="str">
        <x:v>Página PDF 43:
References
Aiyagari, S Rao, Albert Marcet, Thomas J Sargent, and Juha Seppa¨la¨, “Optimal taxation
withoutstate-contingentdebt,”JournalofPoliticalEconomy,2002,110(6),1220–1254. 4.1
Angeletos, George-Marios, Chen Lian, and Christian K Wolf, “Deficits and Inflation:
HANKmeetsFTPL,”2024. 1
Arutyunov, Aram, Dmitry Karamzin, and Fernando Lobo Pereira, “Optimal impulsive
control,”LectureNotesinControlandInformationSciences.Springer,Cham,2019,477. 17,36
Attanasio, Orazio P and Guglielmo Weber, “Is consumption growth consistent with in-
tertemporal optimization? Evidence from the consumer expenditure survey,” Journal of
politicalEconomy,1995,103(6),1121–1157. 1,5.2
Barro, Robert and Francesco Bianchi, “Fiscal Influences on Inflation in OECD Countries,
2020-2023,”July2024. Unpublished. 1</x:v>
      </x:c>
    </x:row>
    <x:row r="90" ht="72" customHeight="1">
      <x:c r="A90" s="24" t="str">
        <x:v>T-078</x:v>
      </x:c>
      <x:c r="B90" s="24" t="str">
        <x:v>W04</x:v>
      </x:c>
      <x:c r="C90" s="24" t="n">
        <x:v>44</x:v>
      </x:c>
      <x:c r="D90" s="24" t="str">
        <x:v>46</x:v>
      </x:c>
      <x:c r="E90" s="24" t="str">
        <x:v>correcta</x:v>
      </x:c>
      <x:c r="F90" s="24" t="str">
        <x:v>sí</x:v>
      </x:c>
      <x:c r="G90" s="24" t="str">
        <x:v>sí</x:v>
      </x:c>
      <x:c r="H90" s="24" t="str">
        <x:v>sí</x:v>
      </x:c>
      <x:c r="I90" s="24" t="str">
        <x:v>sí</x:v>
      </x:c>
      <x:c r="J90" s="24" t="str">
        <x:v>sí</x:v>
      </x:c>
      <x:c r="K90" s="24" t="str">
        <x:v>Leeper</x:v>
      </x:c>
      <x:c r="L90" s="26" t="n">
        <x:v>2021</x:v>
      </x:c>
      <x:c r="M90" s="25" t="str">
        <x:v>Optimal time-consistent monetary, fiscal and debt maturity policy</x:v>
      </x:c>
      <x:c r="N90" s="25" t="str"/>
      <x:c r="O90" s="25" t="str">
        <x:v>Una referencia completa; apellido, año y título concuerdan con el PDF.</x:v>
      </x:c>
      <x:c r="P90" s="25" t="str">
        <x:v>saki_research/working_papers/bigio_caramp_silva_sticky_inflation_monetary_policy_debt_drags_inflation_expectations.pdf</x:v>
      </x:c>
      <x:c r="Q90" s="25" t="str">
        <x:v>Página PDF 46:
Leeper, Eric M, “Equilibria under ‘active’ and ‘passive’ monetary and fiscal policies,” Jour-
nalofMonetaryEconomics,1991,27(1),129–147. 1,2.1,2.2
andCampbellLeith,“Understandinginflationasajointmonetary–fiscalphenomenon,”
HandbookofMacroeconomics,2016,2,2305–2415. 1
and Tao Zha, “Modest policy interventions,” Journal of Monetary Economics, 2003, 50 (8),
1673–1700. 8
,CampbellLeith,and DingLiu,“Optimaltime-consistentmonetary,fiscaland debtma-
turitypolicy,”JournalofMonetaryEconomics,2021,117,600–617. 1
Li, Jian, Zhiyu Fu, and Yinxi Xie, “Convenience yield, inflation expectations, and public
debtgrowth,”InflationExpectations,andPublicDebtGrowth(February5,2022),2022. 10
Liemen,MaxOleandOlafPosch,“FTPLandthematuritystructureofgovernmentdebtin
theNew-KeynesianModel,”AvailableatSSRN4157228,2022. 1
Ljungqvist,LarsandThomasJSargent,Recursivemacroeconomictheory,MITpress,2018. 1</x:v>
      </x:c>
    </x:row>
    <x:row r="91" ht="72" customHeight="1">
      <x:c r="A91" s="24" t="str">
        <x:v>T-079</x:v>
      </x:c>
      <x:c r="B91" s="24" t="str">
        <x:v>W04</x:v>
      </x:c>
      <x:c r="C91" s="24" t="n">
        <x:v>58</x:v>
      </x:c>
      <x:c r="D91" s="24" t="str">
        <x:v>47</x:v>
      </x:c>
      <x:c r="E91" s="24" t="str">
        <x:v>correcta</x:v>
      </x:c>
      <x:c r="F91" s="24" t="str">
        <x:v>sí</x:v>
      </x:c>
      <x:c r="G91" s="24" t="str">
        <x:v>sí</x:v>
      </x:c>
      <x:c r="H91" s="24" t="str">
        <x:v>sí</x:v>
      </x:c>
      <x:c r="I91" s="24" t="str">
        <x:v>sí</x:v>
      </x:c>
      <x:c r="J91" s="24" t="str">
        <x:v>sí</x:v>
      </x:c>
      <x:c r="K91" s="24" t="str">
        <x:v>Smets</x:v>
      </x:c>
      <x:c r="L91" s="26" t="n">
        <x:v>2024</x:v>
      </x:c>
      <x:c r="M91" s="25" t="str">
        <x:v>Fiscal backing, inflation and US business cycles</x:v>
      </x:c>
      <x:c r="N91" s="25" t="str"/>
      <x:c r="O91" s="25" t="str">
        <x:v>Una referencia completa; apellido, año y título concuerdan con el PDF.</x:v>
      </x:c>
      <x:c r="P91" s="25" t="str">
        <x:v>saki_research/working_papers/bigio_caramp_silva_sticky_inflation_monetary_policy_debt_drags_inflation_expectations.pdf</x:v>
      </x:c>
      <x:c r="Q91" s="25" t="str">
        <x:v>Página PDF 47:
Report,NationalBureauofEconomicResearch2024. 5.2
Sargent, Thomas and Neil Wallace, “Some unpleasant monetarist arithmetic,” Quarterly
Review,1981,5(Fall). 1,3
Shapiro, Adam Hale, “Decomposing Supply-and Demand-Driven Inflation,” Journal of
Money,CreditandBanking,2024. 1
Sims, Christopher A, “Stepping on a rake: The role of fiscal policy in the inflation of the
1970s,”EuropeanEconomicReview,2011,55(1),48–56. 1,3
Smets,FrankandRafWouters,“Fiscalbacking,inflationandUSbusinesscycles,”2024. 1
Woodford,Michael,“Publicdebtandthepricelevel,”Mimeo,1998. 1
,“Commentary: Howshouldmonetarypolicybeconductedinaneraofpricestability?,”
Newchallengesformonetarypolicy,1999,277316. 4.3
, “Optimal monetary stabilization policy,” Handbook of monetary economics, 2010, 3, 723–
828. 4.2</x:v>
      </x:c>
    </x:row>
    <x:row r="92" ht="72" customHeight="1">
      <x:c r="A92" s="24" t="str">
        <x:v>T-080</x:v>
      </x:c>
      <x:c r="B92" s="24" t="str">
        <x:v>W05</x:v>
      </x:c>
      <x:c r="C92" s="24" t="n">
        <x:v>41</x:v>
      </x:c>
      <x:c r="D92" s="24" t="str">
        <x:v>38</x:v>
      </x:c>
      <x:c r="E92" s="24" t="str">
        <x:v>correcta</x:v>
      </x:c>
      <x:c r="F92" s="24" t="str">
        <x:v>sí</x:v>
      </x:c>
      <x:c r="G92" s="24" t="str">
        <x:v>sí</x:v>
      </x:c>
      <x:c r="H92" s="24" t="str">
        <x:v>sí</x:v>
      </x:c>
      <x:c r="I92" s="24" t="str">
        <x:v>sí</x:v>
      </x:c>
      <x:c r="J92" s="24" t="str">
        <x:v>sí</x:v>
      </x:c>
      <x:c r="K92" s="24" t="str">
        <x:v>Reinhart</x:v>
      </x:c>
      <x:c r="L92" s="26" t="n">
        <x:v>2009</x:v>
      </x:c>
      <x:c r="M92" s="25" t="str">
        <x:v>This time is different: Eight centuries of financial folly</x:v>
      </x:c>
      <x:c r="N92" s="25" t="str"/>
      <x:c r="O92" s="25" t="str">
        <x:v>Una referencia completa; apellido, año y título concuerdan con el PDF.</x:v>
      </x:c>
      <x:c r="P92" s="25" t="str">
        <x:v>saki_research/working_papers/bigio_nuno_decomposing_optimal_debt_maturity.pdf</x:v>
      </x:c>
      <x:c r="Q92" s="25" t="str">
        <x:v>Página PDF 38:
assets,”JournalofMonetaryEconomics,May2008,55(4),710–727. 1
Pasquariello,PaoloandClaraVega,“Theon-the-runliquidityphenomenon,”Journal
ofFinancialEconomics,2009,92(1),1–24. 2
Pelizzon, Loriana, MartiGSubrahmanyam, DavideTomio, andJunUno, “Sovereign
credit risk, liquidity, and European Central Bank intervention: Deus ex machina?,”
JournalofFinancialEconomics,2016,122(1),86–115. 2
Reinhart, Carmen M and Kenneth S Rogoff, This time is different: Eight centuries of
financialfolly,PrincetonUniversityPress,2009. 4
Reiter, Michael, “Solving heterogeneous-agent models by projection and perturba-
tion,”JournalofEconomicDynamicsandControl,2009,33(3),649–665. 1,3.2
Spindt,PaulA.andRichardW.Stolz,“AreUStreasurybillsunderpricedintheprimary
market?,”JournalofBanking&amp;Finance,1992,16(5),891–908. 2
Valaitis,VytautasandAlessandroT.Villa,“AMachineLearningProjectionMethodfor</x:v>
      </x:c>
    </x:row>
    <x:row r="93" ht="72" customHeight="1">
      <x:c r="A93" s="24" t="str">
        <x:v>T-081</x:v>
      </x:c>
      <x:c r="B93" s="24" t="str">
        <x:v>W06</x:v>
      </x:c>
      <x:c r="C93" s="24" t="n">
        <x:v>5</x:v>
      </x:c>
      <x:c r="D93" s="24" t="str">
        <x:v>25</x:v>
      </x:c>
      <x:c r="E93" s="24" t="str">
        <x:v>correcta</x:v>
      </x:c>
      <x:c r="F93" s="24" t="str">
        <x:v>sí</x:v>
      </x:c>
      <x:c r="G93" s="24" t="str">
        <x:v>sí</x:v>
      </x:c>
      <x:c r="H93" s="24" t="str">
        <x:v>sí</x:v>
      </x:c>
      <x:c r="I93" s="24" t="str">
        <x:v>sí</x:v>
      </x:c>
      <x:c r="J93" s="24" t="str">
        <x:v>sí</x:v>
      </x:c>
      <x:c r="K93" s="24" t="str">
        <x:v>Berriel</x:v>
      </x:c>
      <x:c r="L93" s="26" t="n">
        <x:v>2011</x:v>
      </x:c>
      <x:c r="M93" s="25" t="str">
        <x:v>TargetingthePoor: AMacroeconomicAnalysisofCashTransfer Programs</x:v>
      </x:c>
      <x:c r="N93" s="25" t="str"/>
      <x:c r="O93" s="25" t="str">
        <x:v>Una referencia completa; apellido, año y título concuerdan con el PDF.</x:v>
      </x:c>
      <x:c r="P93" s="25" t="str">
        <x:v>saki_research/working_papers/bigio_zhang_zilberman_transfers_credit_policy_macroeconomic_policy_trade_offs_during_covid_19.pdf</x:v>
      </x:c>
      <x:c r="Q93" s="25" t="str">
        <x:v>Página PDF 25:
Barro, Robert J, José F Ursúa, and Joanna Weng, “The coronavirus and the great influenza pandemic:
Lessonsfromthe“spanishflu"forthecoronavirus’spotentialeffectsonmortalityandeconomicactiv-
ity,”TechnicalReport26866,NationalBureauofEconomicResearch2020.
Berger, David W, Kyle F Herkenhoff, and Simon Mongey, “An seir infectious disease model with
testing and conditional quarantine,” Technical Report 26901, National Bureau of Economic Research
2020.
Berriel,TiagoandEduardoZilberman,“TargetingthePoor: AMacroeconomicAnalysisofCashTrans-
ferPrograms,”2011. Draft,PUC-Rio.
Bethune,ZacharyAandAntonKorinek,“Covid-19InfectionExternalities: TradingOffLivesvs.Liveli-
hoods,”WorkingPaper27009,NationalBureauofEconomicResearchApril2020.
Bigio,SakiandYuliySannikov,“AModelofCredit,Money,Interest,andPrices,”2019. Draft,UCLA.
Brunnermeier,Markus,Jean-PierreLandau,MarcoPagano,andRicardoReis,“ThrowingCOVIDLiq-
uidityLife-Line,”2020.</x:v>
      </x:c>
    </x:row>
    <x:row r="94" ht="72" customHeight="1">
      <x:c r="A94" s="24" t="str">
        <x:v>T-082</x:v>
      </x:c>
      <x:c r="B94" s="24" t="str">
        <x:v>W06</x:v>
      </x:c>
      <x:c r="C94" s="24" t="n">
        <x:v>7</x:v>
      </x:c>
      <x:c r="D94" s="24" t="str">
        <x:v>25</x:v>
      </x:c>
      <x:c r="E94" s="24" t="str">
        <x:v>correcta</x:v>
      </x:c>
      <x:c r="F94" s="24" t="str">
        <x:v>sí</x:v>
      </x:c>
      <x:c r="G94" s="24" t="str">
        <x:v>sí</x:v>
      </x:c>
      <x:c r="H94" s="24" t="str">
        <x:v>sí</x:v>
      </x:c>
      <x:c r="I94" s="24" t="str">
        <x:v>sí</x:v>
      </x:c>
      <x:c r="J94" s="24" t="str">
        <x:v>sí</x:v>
      </x:c>
      <x:c r="K94" s="24" t="str">
        <x:v>Bigio</x:v>
      </x:c>
      <x:c r="L94" s="26" t="n">
        <x:v>2019</x:v>
      </x:c>
      <x:c r="M94" s="25" t="str">
        <x:v>A Model of Credit, Money, Interest, and Prices</x:v>
      </x:c>
      <x:c r="N94" s="25" t="str"/>
      <x:c r="O94" s="25" t="str">
        <x:v>Una referencia completa; apellido, año y título concuerdan con el PDF.</x:v>
      </x:c>
      <x:c r="P94" s="25" t="str">
        <x:v>saki_research/working_papers/bigio_zhang_zilberman_transfers_credit_policy_macroeconomic_policy_trade_offs_during_covid_19.pdf</x:v>
      </x:c>
      <x:c r="Q94" s="25" t="str">
        <x:v>Página PDF 25:
Berger, David W, Kyle F Herkenhoff, and Simon Mongey, “An seir infectious disease model with
testing and conditional quarantine,” Technical Report 26901, National Bureau of Economic Research
2020.
Berriel,TiagoandEduardoZilberman,“TargetingthePoor: AMacroeconomicAnalysisofCashTrans-
ferPrograms,”2011. Draft,PUC-Rio.
Bethune,ZacharyAandAntonKorinek,“Covid-19InfectionExternalities: TradingOffLivesvs.Liveli-
hoods,”WorkingPaper27009,NationalBureauofEconomicResearchApril2020.
Bigio,SakiandYuliySannikov,“AModelofCredit,Money,Interest,andPrices,”2019. Draft,UCLA.
Brunnermeier,Markus,Jean-PierreLandau,MarcoPagano,andRicardoReis,“ThrowingCOVIDLiq-
uidityLife-Line,”2020.
Buera, Francisco J., Roberto N. Fattal-Jaef, P. André Neumeyer, and Yongseok Shin, “The Economic
RippleEffectsofCOVID-19,”Draft,WorldBank,2020.
Caballero,RicardoandAlpSimsek,“AModelofAssetPriceSpiralsandAggregateDemandAmplifi-</x:v>
      </x:c>
    </x:row>
    <x:row r="95" ht="72" customHeight="1">
      <x:c r="A95" s="24" t="str">
        <x:v>T-083</x:v>
      </x:c>
      <x:c r="B95" s="24" t="str">
        <x:v>W07</x:v>
      </x:c>
      <x:c r="C95" s="24" t="n">
        <x:v>10</x:v>
      </x:c>
      <x:c r="D95" s="24" t="str">
        <x:v>41</x:v>
      </x:c>
      <x:c r="E95" s="24" t="str">
        <x:v>correcta</x:v>
      </x:c>
      <x:c r="F95" s="24" t="str">
        <x:v>sí</x:v>
      </x:c>
      <x:c r="G95" s="24" t="str">
        <x:v>sí</x:v>
      </x:c>
      <x:c r="H95" s="24" t="str">
        <x:v>sí</x:v>
      </x:c>
      <x:c r="I95" s="24" t="str">
        <x:v>sí</x:v>
      </x:c>
      <x:c r="J95" s="24" t="str">
        <x:v>sí</x:v>
      </x:c>
      <x:c r="K95" s="24" t="str">
        <x:v>Bianchi</x:v>
      </x:c>
      <x:c r="L95" s="26" t="n">
        <x:v>2025</x:v>
      </x:c>
      <x:c r="M95" s="25" t="str">
        <x:v>PortfolioChoiceandSettlementFrictions: aTheoryofEndogenousConvenience Yields</x:v>
      </x:c>
      <x:c r="N95" s="25" t="str"/>
      <x:c r="O95" s="25" t="str">
        <x:v>Una referencia completa; apellido, año y título concuerdan con el PDF.</x:v>
      </x:c>
      <x:c r="P95" s="25" t="str">
        <x:v>saki_research/working_papers/bigio_d_erasmo_yepez_monetary_policy_implementation_regimes_reserve_demand_us.pdf</x:v>
      </x:c>
      <x:c r="Q95" s="25" t="str">
        <x:v>Página PDF 41:
Benati, Luca, “Long-Run Evidence on the Quantity Theory of Money,” Journal of Mone-
tary Economics, 2021, 117, 897–911.
Bernanke, Ben S. and Alan S. Blinder, “The Federal Funds Rate and the Channels of
Monetary Transmission,” American Economic Review, 1992, 82 (4), 901–921.
Bianchi, Javier and Saki Bigio, “Banks, liquidity management, and monetary policy,”
Econometrica, 2022, 90 (1), 391–454.
and , “PortfolioChoiceandSettlementFrictions: aTheoryofEndogenousConvenience
Yields,” 2025. Working Paper.
Bindseil, Ulrich, Monetary Policy Operations and the Financial System, first ed., Oxford
University Press, 2014.
Bordo, Michael D., “The Bretton Woods International Monetary System: A Historical
Overview,” in Michael D. Bordo and Barry Eichengreen, eds., A Retrospective on the
Bretton Woods System: Lessons for International Monetary Reform, Chicago: University</x:v>
      </x:c>
    </x:row>
    <x:row r="96" ht="72" customHeight="1">
      <x:c r="A96" s="24" t="str">
        <x:v>T-084</x:v>
      </x:c>
      <x:c r="B96" s="24" t="str">
        <x:v>W07</x:v>
      </x:c>
      <x:c r="C96" s="24" t="n">
        <x:v>24</x:v>
      </x:c>
      <x:c r="D96" s="24" t="str">
        <x:v>42</x:v>
      </x:c>
      <x:c r="E96" s="24" t="str">
        <x:v>correcta</x:v>
      </x:c>
      <x:c r="F96" s="24" t="str">
        <x:v>sí</x:v>
      </x:c>
      <x:c r="G96" s="24" t="str">
        <x:v>sí</x:v>
      </x:c>
      <x:c r="H96" s="24" t="str">
        <x:v>no</x:v>
      </x:c>
      <x:c r="I96" s="24" t="str">
        <x:v>no</x:v>
      </x:c>
      <x:c r="J96" s="24" t="str">
        <x:v>sí</x:v>
      </x:c>
      <x:c r="K96" s="24" t="str">
        <x:v>Ihrig</x:v>
      </x:c>
      <x:c r="L96" s="26" t="n">
        <x:v>2020</x:v>
      </x:c>
      <x:c r="M96" s="25" t="str">
        <x:v>The Fed’s “Ample- Reserves</x:v>
      </x:c>
      <x:c r="N96" s="25" t="str">
        <x:v>title: The Fed’s “Ample-Reserves” Approach to Implementing Monetary Policy</x:v>
      </x:c>
      <x:c r="O96" s="25" t="str">
        <x:v>El título quedó truncado dentro de la expresión entre comillas «Ample-Reserves».</x:v>
      </x:c>
      <x:c r="P96" s="25" t="str">
        <x:v>saki_research/working_papers/bigio_d_erasmo_yepez_monetary_policy_implementation_regimes_reserve_demand_us.pdf</x:v>
      </x:c>
      <x:c r="Q96" s="25" t="str">
        <x:v>Página PDF 42:
1228–1247.
Haavelmo, Trygve, “The Statistical Implications of a System of Simultaneous Equations,”
Econometrica, 1943, 11 (1), 1–12.
Hamilton, James D.,“TheDailyMarketforFederalFunds,”Journal of Political Economy,
1996, 104 (1), 26–56.
, “Measuring the Liquidity Effect,” American Economic Review, 1997, 87 (1), 80–97.
Ihrig, Jane E., Zeynep Senyuz, and Gretchen C. Weinbach, “The Fed’s “Ample-
Reserves” Approach to Implementing Monetary Policy,” Finance and Economics Discus-
sion Series (Board of Governors of the Federal Reserve System), February 2020, 2020
(022). Survey and primer on the ample-reserves operating framework, IOR and imple-
mentation issues.
Ireland, Peter N., “On the Welfare Cost of Inflation and the Recent Behavior of Money
Demand,” American Economic Review, 2009, 99 (3), 1040–1052.</x:v>
      </x:c>
    </x:row>
    <x:row r="97" ht="72" customHeight="1">
      <x:c r="A97" s="24" t="str">
        <x:v>T-085</x:v>
      </x:c>
      <x:c r="B97" s="24" t="str">
        <x:v>W08</x:v>
      </x:c>
      <x:c r="C97" s="24" t="n">
        <x:v>13</x:v>
      </x:c>
      <x:c r="D97" s="24" t="str">
        <x:v>51</x:v>
      </x:c>
      <x:c r="E97" s="24" t="str">
        <x:v>correcta</x:v>
      </x:c>
      <x:c r="F97" s="24" t="str">
        <x:v>sí</x:v>
      </x:c>
      <x:c r="G97" s="24" t="str">
        <x:v>sí</x:v>
      </x:c>
      <x:c r="H97" s="24" t="str">
        <x:v>sí</x:v>
      </x:c>
      <x:c r="I97" s="24" t="str">
        <x:v>sí</x:v>
      </x:c>
      <x:c r="J97" s="24" t="str">
        <x:v>sí</x:v>
      </x:c>
      <x:c r="K97" s="24" t="str">
        <x:v>Eggertsson</x:v>
      </x:c>
      <x:c r="L97" s="26" t="n">
        <x:v>2012</x:v>
      </x:c>
      <x:c r="M97" s="25" t="str">
        <x:v>Debt, Deleveraging, and the Liquidity Trap: A Fisher-Minsky-Koo Approach</x:v>
      </x:c>
      <x:c r="N97" s="25" t="str"/>
      <x:c r="O97" s="25" t="str">
        <x:v>Una referencia completa; apellido, año y título concuerdan con el PDF.</x:v>
      </x:c>
      <x:c r="P97" s="25" t="str">
        <x:v>saki_research/working_papers/bigio_mendez_patten_theory_payments_chain_crises.pdf</x:v>
      </x:c>
      <x:c r="Q97" s="25" t="str">
        <x:v>Página PDF 51:
u´ltimos 25 an˜os: sistema de pagos number 2. In ‘Monograf´ıa.’, San Jose´, Costa Rica:
AcademiadeCentroame´rica,2014. 28cm. 10
Costello,AnnaMarie,“CreditMarketDisruptionsandLiquiditySpilloverEffectsinthe
SupplyChain,”JournalofPoliticalEconomy,forthcoming,2020. 1
Diamond,PeterA., “AggregateDemandManagementinSearchEquilibrium,” Journal
ofPoliticalEconomy,1982,90,881–894. 1
Eggertsson, Gauti B. and Paul Krugman, “Debt, Deleveraging, and the Liquid-
ity Trap: A Fisher-Minsky-Koo Approach,” The Quarterly Journal of Economics,
July 2012, 127 (3), 1469–1513. eprint: https://academic.oup.com/qje/article-
pdf/127/3/1469/30457060/qjs023.pdf. 1
Elliott,Matthew,BenjaminGolub,andMatthewO.Jackson,“FinancialNetworksand
Contagion,”AmericanEconomicReview,102014,104,3115–53. 1
, , and Matthew V. Leduc, “Supply Network Formation and Fragility,” American</x:v>
      </x:c>
    </x:row>
    <x:row r="98" ht="72" customHeight="1">
      <x:c r="A98" s="24" t="str">
        <x:v>T-086</x:v>
      </x:c>
      <x:c r="B98" s="24" t="str">
        <x:v>W08</x:v>
      </x:c>
      <x:c r="C98" s="24" t="n">
        <x:v>19</x:v>
      </x:c>
      <x:c r="D98" s="24" t="str">
        <x:v>52</x:v>
      </x:c>
      <x:c r="E98" s="24" t="str">
        <x:v>correcta</x:v>
      </x:c>
      <x:c r="F98" s="24" t="str">
        <x:v>sí</x:v>
      </x:c>
      <x:c r="G98" s="24" t="str">
        <x:v>sí</x:v>
      </x:c>
      <x:c r="H98" s="24" t="str">
        <x:v>sí</x:v>
      </x:c>
      <x:c r="I98" s="24" t="str">
        <x:v>sí</x:v>
      </x:c>
      <x:c r="J98" s="24" t="str">
        <x:v>sí</x:v>
      </x:c>
      <x:c r="K98" s="24" t="str">
        <x:v>Guerrieri</x:v>
      </x:c>
      <x:c r="L98" s="26" t="n">
        <x:v>2017</x:v>
      </x:c>
      <x:c r="M98" s="25" t="str">
        <x:v>CreditCrises,PrecautionarySavings,andtheLiquidityTrap*</x:v>
      </x:c>
      <x:c r="N98" s="25" t="str"/>
      <x:c r="O98" s="25" t="str">
        <x:v>Una referencia completa; apellido, año y título concuerdan con el PDF.</x:v>
      </x:c>
      <x:c r="P98" s="25" t="str">
        <x:v>saki_research/working_papers/bigio_mendez_patten_theory_payments_chain_crises.pdf</x:v>
      </x:c>
      <x:c r="Q98" s="25" t="str">
        <x:v>Página PDF 52:
Guerrieri,VeronicaandGuidoLorenzoni, “Liquidity and Trading Dynamics,” Econo-
metrica,2009,77(6),1751–1790. 1
and ,“CreditCrises,PrecautionarySavings,andtheLiquidityTrap*,”TheQuarterly
JournalofEconomics,2017,132(3),1427–1467. 1
, , LudwigStraub, andIvanWerning, “Macroeconomic Implications of Covid-19:
Can Negative Supply Shocks Cause Demand Shortages?,” American Economic Re-
view,2022. 1
Hardy,Bryan,InaSimonovska,andFelipeE.Saffie, “Economic Stabilizers in Emerg-
ingMarkets:TheCaseforTradeCredit,”2022. 1
Jorda`, O`scar, “Estimation and inference of impulse responses by local projections,”</x:v>
      </x:c>
    </x:row>
    <x:row r="99" ht="72" customHeight="1">
      <x:c r="A99" s="24" t="str">
        <x:v>T-087</x:v>
      </x:c>
      <x:c r="B99" s="24" t="str">
        <x:v>W08</x:v>
      </x:c>
      <x:c r="C99" s="24" t="n">
        <x:v>24</x:v>
      </x:c>
      <x:c r="D99" s="24" t="str">
        <x:v>52</x:v>
      </x:c>
      <x:c r="E99" s="24" t="str">
        <x:v>correcta</x:v>
      </x:c>
      <x:c r="F99" s="24" t="str">
        <x:v>sí</x:v>
      </x:c>
      <x:c r="G99" s="24" t="str">
        <x:v>sí</x:v>
      </x:c>
      <x:c r="H99" s="24" t="str">
        <x:v>sí</x:v>
      </x:c>
      <x:c r="I99" s="24" t="str">
        <x:v>sí</x:v>
      </x:c>
      <x:c r="J99" s="24" t="str">
        <x:v>sí</x:v>
      </x:c>
      <x:c r="K99" s="24" t="str">
        <x:v>Karabarbounis</x:v>
      </x:c>
      <x:c r="L99" s="26" t="n">
        <x:v>2021</x:v>
      </x:c>
      <x:c r="M99" s="25" t="str">
        <x:v>The Macroeconomics of the Greek Depression</x:v>
      </x:c>
      <x:c r="N99" s="25" t="str"/>
      <x:c r="O99" s="25" t="str">
        <x:v>Una referencia completa; apellido, año y título concuerdan con el PDF.</x:v>
      </x:c>
      <x:c r="P99" s="25" t="str">
        <x:v>saki_research/working_papers/bigio_mendez_patten_theory_payments_chain_crises.pdf</x:v>
      </x:c>
      <x:c r="Q99" s="25" t="str">
        <x:v>Página PDF 52:
Hardy,Bryan,InaSimonovska,andFelipeE.Saffie, “Economic Stabilizers in Emerg-
ingMarkets:TheCaseforTradeCredit,”2022. 1
Jorda`, O`scar, “Estimation and inference of impulse responses by local projections,”
Americaneconomicreview,2005,95(1),161–182. 2,1
andAlanMTaylor,“Localprojections,”JournalofEconomicLiterature,2025,63(1),
59–110. 2,1
Karabarbounis, Loukas, Gabriel Chodorow-Reich, and Rohan Kekre, “The Macroe-
conomicsoftheGreekDepression,”2021. 1
Kiyotaki,NobuhiroandJohnMoore,“CreditChains,”1997. Publisher: LondonSchool
ofEconomics. 1
and , “Credit Cycles,” Journal of Political Economy, 1997, 105 (2), 211–248. Pub-
lisher: TheUniversityofChicagoPress. 4.2,5
and Randall Wright, “On Money as a Medium of Exchange,” Journal of Political</x:v>
      </x:c>
    </x:row>
    <x:row r="100" ht="72" customHeight="1">
      <x:c r="A100" s="24" t="str">
        <x:v>T-088</x:v>
      </x:c>
      <x:c r="B100" s="24" t="str">
        <x:v>W08</x:v>
      </x:c>
      <x:c r="C100" s="24" t="n">
        <x:v>25</x:v>
      </x:c>
      <x:c r="D100" s="24" t="str">
        <x:v>52</x:v>
      </x:c>
      <x:c r="E100" s="24" t="str">
        <x:v>correcta</x:v>
      </x:c>
      <x:c r="F100" s="24" t="str">
        <x:v>sí</x:v>
      </x:c>
      <x:c r="G100" s="24" t="str">
        <x:v>sí</x:v>
      </x:c>
      <x:c r="H100" s="24" t="str">
        <x:v>sí</x:v>
      </x:c>
      <x:c r="I100" s="24" t="str">
        <x:v>sí</x:v>
      </x:c>
      <x:c r="J100" s="24" t="str">
        <x:v>sí</x:v>
      </x:c>
      <x:c r="K100" s="24" t="str">
        <x:v>Kiyotaki</x:v>
      </x:c>
      <x:c r="L100" s="26" t="n">
        <x:v>1997</x:v>
      </x:c>
      <x:c r="M100" s="25" t="str">
        <x:v>CreditChains</x:v>
      </x:c>
      <x:c r="N100" s="25" t="str"/>
      <x:c r="O100" s="25" t="str">
        <x:v>Una referencia completa; apellido, año y título concuerdan con el PDF.</x:v>
      </x:c>
      <x:c r="P100" s="25" t="str">
        <x:v>saki_research/working_papers/bigio_mendez_patten_theory_payments_chain_crises.pdf</x:v>
      </x:c>
      <x:c r="Q100" s="25" t="str">
        <x:v>Página PDF 52:
ingMarkets:TheCaseforTradeCredit,”2022. 1
Jorda`, O`scar, “Estimation and inference of impulse responses by local projections,”
Americaneconomicreview,2005,95(1),161–182. 2,1
andAlanMTaylor,“Localprojections,”JournalofEconomicLiterature,2025,63(1),
59–110. 2,1
Karabarbounis, Loukas, Gabriel Chodorow-Reich, and Rohan Kekre, “The Macroe-
conomicsoftheGreekDepression,”2021. 1
Kiyotaki,NobuhiroandJohnMoore,“CreditChains,”1997. Publisher: LondonSchool
ofEconomics. 1
and , “Credit Cycles,” Journal of Political Economy, 1997, 105 (2), 211–248. Pub-
lisher: TheUniversityofChicagoPress. 4.2,5
and Randall Wright, “On Money as a Medium of Exchange,” Journal of Political
Economy,1989,97(4),927–954. Publisher: TheUniversityofChicagoPress. 1</x:v>
      </x:c>
    </x:row>
    <x:row r="101" ht="72" customHeight="1">
      <x:c r="A101" s="24" t="str">
        <x:v>T-089</x:v>
      </x:c>
      <x:c r="B101" s="24" t="str">
        <x:v>W08</x:v>
      </x:c>
      <x:c r="C101" s="24" t="n">
        <x:v>26</x:v>
      </x:c>
      <x:c r="D101" s="24" t="str">
        <x:v>52</x:v>
      </x:c>
      <x:c r="E101" s="24" t="str">
        <x:v>correcta</x:v>
      </x:c>
      <x:c r="F101" s="24" t="str">
        <x:v>sí</x:v>
      </x:c>
      <x:c r="G101" s="24" t="str">
        <x:v>sí</x:v>
      </x:c>
      <x:c r="H101" s="24" t="str">
        <x:v>sí</x:v>
      </x:c>
      <x:c r="I101" s="24" t="str">
        <x:v>sí</x:v>
      </x:c>
      <x:c r="J101" s="24" t="str">
        <x:v>sí</x:v>
      </x:c>
      <x:c r="K101" s="24" t="str">
        <x:v>Kiyotaki</x:v>
      </x:c>
      <x:c r="L101" s="26" t="n">
        <x:v>1997</x:v>
      </x:c>
      <x:c r="M101" s="25" t="str">
        <x:v>Credit Cycles</x:v>
      </x:c>
      <x:c r="N101" s="25" t="str"/>
      <x:c r="O101" s="25" t="str">
        <x:v>Una referencia completa; apellido, año y título concuerdan con el PDF.</x:v>
      </x:c>
      <x:c r="P101" s="25" t="str">
        <x:v>saki_research/working_papers/bigio_mendez_patten_theory_payments_chain_crises.pdf</x:v>
      </x:c>
      <x:c r="Q101" s="25" t="str">
        <x:v>Página PDF 52:
Americaneconomicreview,2005,95(1),161–182. 2,1
andAlanMTaylor,“Localprojections,”JournalofEconomicLiterature,2025,63(1),
59–110. 2,1
Karabarbounis, Loukas, Gabriel Chodorow-Reich, and Rohan Kekre, “The Macroe-
conomicsoftheGreekDepression,”2021. 1
Kiyotaki,NobuhiroandJohnMoore,“CreditChains,”1997. Publisher: LondonSchool
ofEconomics. 1
and , “Credit Cycles,” Journal of Political Economy, 1997, 105 (2), 211–248. Pub-
lisher: TheUniversityofChicagoPress. 4.2,5
and Randall Wright, “On Money as a Medium of Exchange,” Journal of Political
Economy,1989,97(4),927–954. Publisher: TheUniversityofChicagoPress. 1
Kopytov, Alexandr, Bineet Mishra, Kristoffer Nimark, and Mathieu Taschereau-
Dumouchel, “Endogenous Production Networks under Supply Chain Uncertainty,”</x:v>
      </x:c>
    </x:row>
    <x:row r="102" ht="72" customHeight="1">
      <x:c r="A102" s="24" t="str">
        <x:v>T-090</x:v>
      </x:c>
      <x:c r="B102" s="24" t="str">
        <x:v>W08</x:v>
      </x:c>
      <x:c r="C102" s="24" t="n">
        <x:v>28</x:v>
      </x:c>
      <x:c r="D102" s="24" t="str">
        <x:v>52</x:v>
      </x:c>
      <x:c r="E102" s="24" t="str">
        <x:v>correcta</x:v>
      </x:c>
      <x:c r="F102" s="24" t="str">
        <x:v>sí</x:v>
      </x:c>
      <x:c r="G102" s="24" t="str">
        <x:v>sí</x:v>
      </x:c>
      <x:c r="H102" s="24" t="str">
        <x:v>sí</x:v>
      </x:c>
      <x:c r="I102" s="24" t="str">
        <x:v>sí</x:v>
      </x:c>
      <x:c r="J102" s="24" t="str">
        <x:v>sí</x:v>
      </x:c>
      <x:c r="K102" s="24" t="str">
        <x:v>Kopytov</x:v>
      </x:c>
      <x:c r="L102" s="26" t="n">
        <x:v>2022</x:v>
      </x:c>
      <x:c r="M102" s="25" t="str">
        <x:v>Endogenous Production Networks under Supply Chain Uncertainty</x:v>
      </x:c>
      <x:c r="N102" s="25" t="str"/>
      <x:c r="O102" s="25" t="str">
        <x:v>Una referencia completa; apellido, año y título concuerdan con el PDF.</x:v>
      </x:c>
      <x:c r="P102" s="25" t="str">
        <x:v>saki_research/working_papers/bigio_mendez_patten_theory_payments_chain_crises.pdf</x:v>
      </x:c>
      <x:c r="Q102" s="25" t="str">
        <x:v>Página PDF 52:
Kiyotaki,NobuhiroandJohnMoore,“CreditChains,”1997. Publisher: LondonSchool
ofEconomics. 1
and , “Credit Cycles,” Journal of Political Economy, 1997, 105 (2), 211–248. Pub-
lisher: TheUniversityofChicagoPress. 4.2,5
and Randall Wright, “On Money as a Medium of Exchange,” Journal of Political
Economy,1989,97(4),927–954. Publisher: TheUniversityofChicagoPress. 1
Kopytov, Alexandr, Bineet Mishra, Kristoffer Nimark, and Mathieu Taschereau-
Dumouchel, “Endogenous Production Networks under Supply Chain Uncertainty,”
2022. 1
Krugman,Paul,“Baby-SittingtheEconomy,”Slate,August1998. 1
Lagos, Ricardo and Guillaume Rocheteau, “Liquidity in Asset Markets with Search
Frictions,”Econometrica,2009,77,403–426. 2
andRandallWright,“UnifiedFrameworkforMonetaryTheoryandPolicyAnalysis,”</x:v>
      </x:c>
    </x:row>
    <x:row r="103" ht="72" customHeight="1">
      <x:c r="A103" s="24" t="str">
        <x:v>T-091</x:v>
      </x:c>
      <x:c r="B103" s="24" t="str">
        <x:v>W09</x:v>
      </x:c>
      <x:c r="C103" s="24" t="n">
        <x:v>1</x:v>
      </x:c>
      <x:c r="D103" s="24" t="str">
        <x:v>36</x:v>
      </x:c>
      <x:c r="E103" s="24" t="str">
        <x:v>correcta</x:v>
      </x:c>
      <x:c r="F103" s="24" t="str">
        <x:v>sí</x:v>
      </x:c>
      <x:c r="G103" s="24" t="str">
        <x:v>sí</x:v>
      </x:c>
      <x:c r="H103" s="24" t="str">
        <x:v>sí</x:v>
      </x:c>
      <x:c r="I103" s="24" t="str">
        <x:v>sí</x:v>
      </x:c>
      <x:c r="J103" s="24" t="str">
        <x:v>sí</x:v>
      </x:c>
      <x:c r="K103" s="24" t="str">
        <x:v>Altavilla</x:v>
      </x:c>
      <x:c r="L103" s="26" t="n">
        <x:v>2020</x:v>
      </x:c>
      <x:c r="M103" s="25" t="str">
        <x:v>Mendingthebrokenlink: Heterogeneous bank lending rates and monetary policy pass-through</x:v>
      </x:c>
      <x:c r="N103" s="25" t="str"/>
      <x:c r="O103" s="25" t="str">
        <x:v>Una referencia completa; apellido, año y título concuerdan con el PDF.</x:v>
      </x:c>
      <x:c r="P103" s="25" t="str">
        <x:v>saki_research/working_papers/abad_bigio_garcia_villegas_marbet_nuno_heterogeneous_bank_lending_channel_monetary_policy.pdf</x:v>
      </x:c>
      <x:c r="Q103" s="25" t="str">
        <x:v>Página PDF 36:
References
Altavilla,C.,Canova,F.,andCiccarelli,M.(2020). Mendingthebrokenlink: Heteroge-
neousbanklendingratesandmonetarypolicypass-through. JournalofMonetary
Economics,110:81–98.
Altunok, F., Arslan, Y., and Ongena, S. (2023). Monetary policy transmission with
adjustableandfixedratemortgages:Theroleofcreditsupply.CEPRDiscussionPaper,
(18293).
Auclert,A.(2019). Monetarypolicyandtheredistributionchannel. AmericanEconomic
Review,109(6):2333–67.
Bellifemine, M., Jamilov, R., andMonacelli, T.(2022). Hbank: Monetarypolicywith</x:v>
      </x:c>
    </x:row>
    <x:row r="104" ht="72" customHeight="1">
      <x:c r="A104" s="24" t="str">
        <x:v>T-092</x:v>
      </x:c>
      <x:c r="B104" s="24" t="str">
        <x:v>W09</x:v>
      </x:c>
      <x:c r="C104" s="24" t="n">
        <x:v>3</x:v>
      </x:c>
      <x:c r="D104" s="24" t="str">
        <x:v>36</x:v>
      </x:c>
      <x:c r="E104" s="24" t="str">
        <x:v>correcta</x:v>
      </x:c>
      <x:c r="F104" s="24" t="str">
        <x:v>sí</x:v>
      </x:c>
      <x:c r="G104" s="24" t="str">
        <x:v>sí</x:v>
      </x:c>
      <x:c r="H104" s="24" t="str">
        <x:v>sí</x:v>
      </x:c>
      <x:c r="I104" s="24" t="str">
        <x:v>sí</x:v>
      </x:c>
      <x:c r="J104" s="24" t="str">
        <x:v>sí</x:v>
      </x:c>
      <x:c r="K104" s="24" t="str">
        <x:v>Auclert</x:v>
      </x:c>
      <x:c r="L104" s="26" t="n">
        <x:v>2019</x:v>
      </x:c>
      <x:c r="M104" s="25" t="str">
        <x:v>Monetary policy andthe redistributionchannel</x:v>
      </x:c>
      <x:c r="N104" s="25" t="str"/>
      <x:c r="O104" s="25" t="str">
        <x:v>Una referencia completa; apellido, año y título concuerdan con el PDF.</x:v>
      </x:c>
      <x:c r="P104" s="25" t="str">
        <x:v>saki_research/working_papers/abad_bigio_garcia_villegas_marbet_nuno_heterogeneous_bank_lending_channel_monetary_policy.pdf</x:v>
      </x:c>
      <x:c r="Q104" s="25" t="str">
        <x:v>Página PDF 36:
References
Altavilla,C.,Canova,F.,andCiccarelli,M.(2020). Mendingthebrokenlink: Heteroge-
neousbanklendingratesandmonetarypolicypass-through. JournalofMonetary
Economics,110:81–98.
Altunok, F., Arslan, Y., and Ongena, S. (2023). Monetary policy transmission with
adjustableandfixedratemortgages:Theroleofcreditsupply.CEPRDiscussionPaper,
(18293).
Auclert,A.(2019). Monetarypolicyandtheredistributionchannel. AmericanEconomic
Review,109(6):2333–67.
Bellifemine, M., Jamilov, R., andMonacelli, T.(2022). Hbank: Monetarypolicywith
heterogeneousbanks. CEPRWorkingPaperDP17129.
Beraja, M., Fuster, A., Hurst, E., and Vavra, J. (2018). Regional heterogeneity and
therefinancingchannelofmonetarypolicy*. TheQuarterlyJournalofEconomics,</x:v>
      </x:c>
    </x:row>
    <x:row r="105" ht="72" customHeight="1">
      <x:c r="A105" s="24" t="str">
        <x:v>T-093</x:v>
      </x:c>
      <x:c r="B105" s="24" t="str">
        <x:v>W09</x:v>
      </x:c>
      <x:c r="C105" s="24" t="n">
        <x:v>18</x:v>
      </x:c>
      <x:c r="D105" s="24" t="str">
        <x:v>37</x:v>
      </x:c>
      <x:c r="E105" s="24" t="str">
        <x:v>correcta</x:v>
      </x:c>
      <x:c r="F105" s="24" t="str">
        <x:v>sí</x:v>
      </x:c>
      <x:c r="G105" s="24" t="str">
        <x:v>sí</x:v>
      </x:c>
      <x:c r="H105" s="24" t="str">
        <x:v>sí</x:v>
      </x:c>
      <x:c r="I105" s="24" t="str">
        <x:v>sí</x:v>
      </x:c>
      <x:c r="J105" s="24" t="str">
        <x:v>sí</x:v>
      </x:c>
      <x:c r="K105" s="24" t="str">
        <x:v>Elenev</x:v>
      </x:c>
      <x:c r="L105" s="26" t="n">
        <x:v>2025</x:v>
      </x:c>
      <x:c r="M105" s="25" t="str">
        <x:v>Amacro-financemodelofmortgagestructure: Financial stability and risk sharing</x:v>
      </x:c>
      <x:c r="N105" s="25" t="str"/>
      <x:c r="O105" s="25" t="str">
        <x:v>Una referencia completa; apellido, año y título concuerdan con el PDF.</x:v>
      </x:c>
      <x:c r="P105" s="25" t="str">
        <x:v>saki_research/working_papers/abad_bigio_garcia_villegas_marbet_nuno_heterogeneous_bank_lending_channel_monetary_policy.pdf</x:v>
      </x:c>
      <x:c r="Q105" s="25" t="str">
        <x:v>Página PDF 37:
ingcountries: Sourcesoflongandshort-termism. TheWorldEconomy,41:3288–3316.
Dell’Ariccia, G., Laeven, L., and Suarez, G. A. (2017). Bank leverage and monetary
policy’srisk-takingchannel: Evidencefromtheunitedstates. TheJournalofFinance,
72(2):613–654.
Eichenbaum,M.,Rebelo,S.,andWong,A.(2022). State-dependenteffectsofmonetary
policy: Therefinancingchannel. AmericanEconomicReview,112(3):721–61.
Elenev,V.andLiu,L.(2025). Amacro-financemodelofmortgagestructure: Financial
stabilityandrisksharing. Manuscript.
Gabaix,X.(2009). PowerLawsinEconomicsandFinance. AnnualReviewofEconomics,
1:255–294.
Gambacorta,L.andMistrulli,P.E.(2004). Doesbankcapitalaffectlendingbehavior?
JournalofFinancialIntermediation,13(4):436–457.
Gambacorta,L.andShin,H.S.(2018). Whybankcapitalmattersformonetarypolicy.</x:v>
      </x:c>
    </x:row>
    <x:row r="106" ht="72" customHeight="1">
      <x:c r="A106" s="24" t="str">
        <x:v>T-094</x:v>
      </x:c>
      <x:c r="B106" s="24" t="str">
        <x:v>W09</x:v>
      </x:c>
      <x:c r="C106" s="24" t="n">
        <x:v>22</x:v>
      </x:c>
      <x:c r="D106" s="24" t="str">
        <x:v>37</x:v>
      </x:c>
      <x:c r="E106" s="24" t="str">
        <x:v>correcta</x:v>
      </x:c>
      <x:c r="F106" s="24" t="str">
        <x:v>sí</x:v>
      </x:c>
      <x:c r="G106" s="24" t="str">
        <x:v>sí</x:v>
      </x:c>
      <x:c r="H106" s="24" t="str">
        <x:v>sí</x:v>
      </x:c>
      <x:c r="I106" s="24" t="str">
        <x:v>sí</x:v>
      </x:c>
      <x:c r="J106" s="24" t="str">
        <x:v>sí</x:v>
      </x:c>
      <x:c r="K106" s="24" t="str">
        <x:v>Garriga</x:v>
      </x:c>
      <x:c r="L106" s="26" t="n">
        <x:v>2020</x:v>
      </x:c>
      <x:c r="M106" s="25" t="str">
        <x:v>Mortgage debt, consumption, and illiquid housing markets inthe greatrecession</x:v>
      </x:c>
      <x:c r="N106" s="25" t="str"/>
      <x:c r="O106" s="25" t="str">
        <x:v>Una referencia completa; apellido, año y título concuerdan con el PDF.</x:v>
      </x:c>
      <x:c r="P106" s="25" t="str">
        <x:v>saki_research/working_papers/abad_bigio_garcia_villegas_marbet_nuno_heterogeneous_bank_lending_channel_monetary_policy.pdf</x:v>
      </x:c>
      <x:c r="Q106" s="25" t="str">
        <x:v>Página PDF 37:
1:255–294.
Gambacorta,L.andMistrulli,P.E.(2004). Doesbankcapitalaffectlendingbehavior?
JournalofFinancialIntermediation,13(4):436–457.
Gambacorta,L.andShin,H.S.(2018). Whybankcapitalmattersformonetarypolicy.
Journal of Financial Intermediation, 35:17–29. Banking and regulation: the next
frontier.
Garriga,C.andHedlund,A.(2020). Mortgagedebt,consumption,andilliquidhousing
marketsinthegreatrecession. AmericanEconomicReview,110(6):1603–34.
Gertler,M.andKaradi,P.(2011). Amodelofunconventionalmonetarypolicy. Journal
ofMonetaryEconomics,58:17–34.
36</x:v>
      </x:c>
    </x:row>
    <x:row r="107" ht="72" customHeight="1">
      <x:c r="A107" s="24" t="str">
        <x:v>T-095</x:v>
      </x:c>
      <x:c r="B107" s="24" t="str">
        <x:v>W09</x:v>
      </x:c>
      <x:c r="C107" s="24" t="n">
        <x:v>25</x:v>
      </x:c>
      <x:c r="D107" s="24" t="str">
        <x:v>38</x:v>
      </x:c>
      <x:c r="E107" s="24" t="str">
        <x:v>correcta</x:v>
      </x:c>
      <x:c r="F107" s="24" t="str">
        <x:v>sí</x:v>
      </x:c>
      <x:c r="G107" s="24" t="str">
        <x:v>sí</x:v>
      </x:c>
      <x:c r="H107" s="24" t="str">
        <x:v>sí</x:v>
      </x:c>
      <x:c r="I107" s="24" t="str">
        <x:v>sí</x:v>
      </x:c>
      <x:c r="J107" s="24" t="str">
        <x:v>sí</x:v>
      </x:c>
      <x:c r="K107" s="24" t="str">
        <x:v>Gordy</x:v>
      </x:c>
      <x:c r="L107" s="26" t="n">
        <x:v>2003</x:v>
      </x:c>
      <x:c r="M107" s="25" t="str">
        <x:v>A risk-factor model foundationfor ratings-based bank capital rules</x:v>
      </x:c>
      <x:c r="N107" s="25" t="str"/>
      <x:c r="O107" s="25" t="str">
        <x:v>Una referencia completa; apellido, año y título concuerdan con el PDF.</x:v>
      </x:c>
      <x:c r="P107" s="25" t="str">
        <x:v>saki_research/working_papers/abad_bigio_garcia_villegas_marbet_nuno_heterogeneous_bank_lending_channel_monetary_policy.pdf</x:v>
      </x:c>
      <x:c r="Q107" s="25" t="str">
        <x:v>Página PDF 38:
Gertler,M.andKiyotaki,N.(2010). Chapter11-financialintermediationandcredit
policy in business cycle analysis. In Friedman, B. M. and Woodford, M., editors,
HandbookofMonetaryEconomics,volume3,pages547–599.Elsevier.
Gordy,M.(2003). Arisk-factormodelfoundationforratings-basedbankcapitalrules.
JournalofFinancialIntermediation,12:199–232.
Greenwald,D.(2018). Themortgagecreditchannelofmacroeconomictransmission.
Manuscript.
Guren, A. M., Krishnamurthy, A., and McQuade, T. J. (2021). Mortgage design in an
equilibriummodelofthehousingmarket. TheJournalofFinance,76(1):113–168.
He,Z.andKrishnamurthy,A.(2013). Intermediaryassetpricing. AmericanEconomic</x:v>
      </x:c>
    </x:row>
    <x:row r="108" ht="72" customHeight="1">
      <x:c r="A108" s="24" t="str">
        <x:v>T-096</x:v>
      </x:c>
      <x:c r="B108" s="24" t="str">
        <x:v>W09</x:v>
      </x:c>
      <x:c r="C108" s="24" t="n">
        <x:v>45</x:v>
      </x:c>
      <x:c r="D108" s="24" t="str">
        <x:v>39</x:v>
      </x:c>
      <x:c r="E108" s="24" t="str">
        <x:v>correcta</x:v>
      </x:c>
      <x:c r="F108" s="24" t="str">
        <x:v>sí</x:v>
      </x:c>
      <x:c r="G108" s="24" t="str">
        <x:v>sí</x:v>
      </x:c>
      <x:c r="H108" s="24" t="str">
        <x:v>sí</x:v>
      </x:c>
      <x:c r="I108" s="24" t="str">
        <x:v>sí</x:v>
      </x:c>
      <x:c r="J108" s="24" t="str">
        <x:v>sí</x:v>
      </x:c>
      <x:c r="K108" s="24" t="str">
        <x:v>Repullo</x:v>
      </x:c>
      <x:c r="L108" s="26" t="n">
        <x:v>2004</x:v>
      </x:c>
      <x:c r="M108" s="25" t="str">
        <x:v>LoanpricingunderBaselcapitalrequirements</x:v>
      </x:c>
      <x:c r="N108" s="25" t="str"/>
      <x:c r="O108" s="25" t="str">
        <x:v>Una referencia completa; apellido, año y título concuerdan con el PDF.</x:v>
      </x:c>
      <x:c r="P108" s="25" t="str">
        <x:v>saki_research/working_papers/abad_bigio_garcia_villegas_marbet_nuno_heterogeneous_bank_lending_channel_monetary_policy.pdf</x:v>
      </x:c>
      <x:c r="Q108" s="25" t="str">
        <x:v>Página PDF 39:
defaultsandbankcapitalrequirements. TheJournalofFinance.
Mendicino,C.,Nikolov,K.,Suarez,J.,andSupera,D.(2018). Optimaldynamiccapital
requirements. JournalofMoney,CreditandBanking,50(6):1271–1297.
Mendicino,C.,Nikolov,K.,Suarez,J.,andSupera,D.(2020). Bankcapitalintheshort
andinthelongrun. JournalofMonetaryEconomics,115:64–79.
Nagel,S.andPurnanandam,A.(2020). Banks’RiskDynamicsandDistancetoDefault.
TheReviewofFinancialStudies,33(6):2421–2467.
Repullo,R.andSuarez,J.(2004). LoanpricingunderBaselcapitalrequirements. Journal
ofFinancialIntermediation,13:496–521.
Rios-Rull, J.-V., Takamura, T., and Terajima, Y. (2020). Banking dynamics, market
disciplineandcapitalregulations. Technicalreport,Manuscript.
Varraso, P. (2025). Banks and the macroeconomic transmission of interest rate risk.
Technicalreport,Manuscript.</x:v>
      </x:c>
    </x:row>
    <x:row r="109" ht="72" customHeight="1">
      <x:c r="A109" s="24" t="str">
        <x:v>T-097</x:v>
      </x:c>
      <x:c r="B109" s="24" t="str">
        <x:v>W10</x:v>
      </x:c>
      <x:c r="C109" s="24" t="n">
        <x:v>2</x:v>
      </x:c>
      <x:c r="D109" s="24" t="str">
        <x:v>19</x:v>
      </x:c>
      <x:c r="E109" s="24" t="str">
        <x:v>correcta</x:v>
      </x:c>
      <x:c r="F109" s="24" t="str">
        <x:v>sí</x:v>
      </x:c>
      <x:c r="G109" s="24" t="str">
        <x:v>sí</x:v>
      </x:c>
      <x:c r="H109" s="24" t="str">
        <x:v>sí</x:v>
      </x:c>
      <x:c r="I109" s="24" t="str">
        <x:v>sí</x:v>
      </x:c>
      <x:c r="J109" s="24" t="str">
        <x:v>sí</x:v>
      </x:c>
      <x:c r="K109" s="24" t="str">
        <x:v>Atkeson</x:v>
      </x:c>
      <x:c r="L109" s="26" t="n">
        <x:v>2010</x:v>
      </x:c>
      <x:c r="M109" s="25" t="str">
        <x:v>Sophisticated monetary policies</x:v>
      </x:c>
      <x:c r="N109" s="25" t="str"/>
      <x:c r="O109" s="25" t="str">
        <x:v>Una referencia completa; apellido, año y título concuerdan con el PDF.</x:v>
      </x:c>
      <x:c r="P109" s="25" t="str">
        <x:v>saki_research/working_papers/bigio_ishide_new_keynesian_economics_through_extensive_margin.pdf</x:v>
      </x:c>
      <x:c r="Q109" s="25" t="str">
        <x:v>Página PDF 19:
References
Angeletos, George-Marios and Chen Lian, “Determinacy without the Taylor principle,” Jour-
nalofPoliticalEconomy,2023,131(8),2125–2164.
Atkeson, Andrew, Varadarajan V Chari, and Patrick J Kehoe, “Sophisticated monetary poli-
cies,”TheQuarterlyJournalofEconomics,2010,125(1),47–89.
Auclert, Adrien, Matthew Rognlie, and Ludwig Straub, “Micro jumps, macro humps: Mon-
etary policy and business cycles in an estimated HANK model,” Technical Report, National
BureauofEconomicResearch2020.
Barro, Robert J. and Herschel I. Grossman, “A General Disequilibrium Model of Income and
Employment,”TheAmericanEconomicReview,1971,61(1),82–93.</x:v>
      </x:c>
    </x:row>
    <x:row r="110" ht="72" customHeight="1">
      <x:c r="A110" s="24" t="str">
        <x:v>T-098</x:v>
      </x:c>
      <x:c r="B110" s="24" t="str">
        <x:v>W10</x:v>
      </x:c>
      <x:c r="C110" s="24" t="n">
        <x:v>6</x:v>
      </x:c>
      <x:c r="D110" s="24" t="str">
        <x:v>19</x:v>
      </x:c>
      <x:c r="E110" s="24" t="str">
        <x:v>correcta</x:v>
      </x:c>
      <x:c r="F110" s="24" t="str">
        <x:v>sí</x:v>
      </x:c>
      <x:c r="G110" s="24" t="str">
        <x:v>sí</x:v>
      </x:c>
      <x:c r="H110" s="24" t="str">
        <x:v>sí</x:v>
      </x:c>
      <x:c r="I110" s="24" t="str">
        <x:v>sí</x:v>
      </x:c>
      <x:c r="J110" s="24" t="str">
        <x:v>sí</x:v>
      </x:c>
      <x:c r="K110" s="24" t="str">
        <x:v>Blanchard</x:v>
      </x:c>
      <x:c r="L110" s="26" t="n">
        <x:v>2010</x:v>
      </x:c>
      <x:c r="M110" s="25" t="str">
        <x:v>Labor Markets and Monetary Policy: A New Keynesian Model with Unemployment</x:v>
      </x:c>
      <x:c r="N110" s="25" t="str"/>
      <x:c r="O110" s="25" t="str">
        <x:v>Una referencia completa; apellido, año y título concuerdan con el PDF.</x:v>
      </x:c>
      <x:c r="P110" s="25" t="str">
        <x:v>saki_research/working_papers/bigio_ishide_new_keynesian_economics_through_extensive_margin.pdf</x:v>
      </x:c>
      <x:c r="Q110" s="25" t="str">
        <x:v>Página PDF 19:
BureauofEconomicResearch2020.
Barro, Robert J. and Herschel I. Grossman, “A General Disequilibrium Model of Income and
Employment,”TheAmericanEconomicReview,1971,61(1),82–93.
Benigno, Pierpaolo and Gauti B Eggertsson, “It’s baaack: The surge in inflation in the 2020s
and the return of the non-linear phillips curve,” Technical Report, National Bureau of Eco-
nomicResearch2023.
Blanchard, Olivier and Jordi Gali, “Labor Markets and Monetary Policy: A New Keynesian
Model with Unemployment,” American Economic Journal: Macroeconomics, April 2010, 2 (2),
1–30.
Caballero, Ricardo J. and Mohamad L. Hammour, “The Macroeconomics of Specificity,” The
JournalofPoliticalEconomy,1998,106(4),724–767.
Carlstrom, Charles T and Timothy S Fuerst, “Investment and interest rate policy: a discrete
timeanalysis,”JournalofEconomicTheory,2005,123(1),4–20.</x:v>
      </x:c>
    </x:row>
    <x:row r="111" ht="72" customHeight="1">
      <x:c r="A111" s="24" t="str">
        <x:v>T-099</x:v>
      </x:c>
      <x:c r="B111" s="24" t="str">
        <x:v>W10</x:v>
      </x:c>
      <x:c r="C111" s="24" t="n">
        <x:v>18</x:v>
      </x:c>
      <x:c r="D111" s="24" t="str">
        <x:v>20</x:v>
      </x:c>
      <x:c r="E111" s="24" t="str">
        <x:v>correcta</x:v>
      </x:c>
      <x:c r="F111" s="24" t="str">
        <x:v>sí</x:v>
      </x:c>
      <x:c r="G111" s="24" t="str">
        <x:v>sí</x:v>
      </x:c>
      <x:c r="H111" s="24" t="str">
        <x:v>sí</x:v>
      </x:c>
      <x:c r="I111" s="24" t="str">
        <x:v>sí</x:v>
      </x:c>
      <x:c r="J111" s="24" t="str">
        <x:v>sí</x:v>
      </x:c>
      <x:c r="K111" s="24" t="str">
        <x:v>Michaillat</x:v>
      </x:c>
      <x:c r="L111" s="26" t="n">
        <x:v>2024</x:v>
      </x:c>
      <x:c r="M111" s="25" t="str">
        <x:v>Beveridgean Phillips Curve</x:v>
      </x:c>
      <x:c r="N111" s="25" t="str"/>
      <x:c r="O111" s="25" t="str">
        <x:v>Una referencia completa; apellido, año y título concuerdan con el PDF.</x:v>
      </x:c>
      <x:c r="P111" s="25" t="str">
        <x:v>saki_research/working_papers/bigio_ishide_new_keynesian_economics_through_extensive_margin.pdf</x:v>
      </x:c>
      <x:c r="Q111" s="25" t="str">
        <x:v>Página PDF 20:
Mankiw, N Gregory and Ricardo Reis, “Sticky information versus sticky prices: a proposal to
replace the New Keynesian Phillips curve,” The Quarterly Journal of Economics, 2002, 117 (4),
1295–1328.
and , “Sticky information in general equilibrium,” Journal of the European Economic Associ-
ation,2007,5(2-3),603–613.
Michaillat,PascalandEmmanuelSaez,“AggregateDemand,IdleTime,andUnemployment,”
TheQuarterlyJournalofEconomics,2015,130(2),507–569.
and ,“BeveridgeanPhillipsCurve,”TechnicalReportarXiv:2401.12475v22024.
Mortensen, Dale T and Christopher A Pissarides, “Job creation and job destruction in the
theoryofunemployment,”Thereviewofeconomicstudies,1994,61(3),397–415.
Ravn,MortenOandVincentSterk,“Jobuncertaintyanddeeprecessions,”JournalofMonetary
Economics,2017,90,125–141.
Reis,Ricardo,“Inattentiveconsumers,”JournalofmonetaryEconomics,2006,53(8),1761–1800.</x:v>
      </x:c>
    </x:row>
    <x:row r="112" ht="72" customHeight="1">
      <x:c r="A112" s="24" t="str">
        <x:v>T-100</x:v>
      </x:c>
      <x:c r="B112" s="24" t="str">
        <x:v>W11</x:v>
      </x:c>
      <x:c r="C112" s="24" t="n">
        <x:v>27</x:v>
      </x:c>
      <x:c r="D112" s="24" t="str">
        <x:v>55</x:v>
      </x:c>
      <x:c r="E112" s="24" t="str">
        <x:v>correcta</x:v>
      </x:c>
      <x:c r="F112" s="24" t="str">
        <x:v>sí</x:v>
      </x:c>
      <x:c r="G112" s="24" t="str">
        <x:v>sí</x:v>
      </x:c>
      <x:c r="H112" s="24" t="str">
        <x:v>sí</x:v>
      </x:c>
      <x:c r="I112" s="24" t="str">
        <x:v>sí</x:v>
      </x:c>
      <x:c r="J112" s="24" t="str">
        <x:v>sí</x:v>
      </x:c>
      <x:c r="K112" s="24" t="str">
        <x:v>Jiang</x:v>
      </x:c>
      <x:c r="L112" s="26" t="n">
        <x:v>2021</x:v>
      </x:c>
      <x:c r="M112" s="25" t="str">
        <x:v>Foreign Safe Asset Demand and the Dollar Exchange Rate</x:v>
      </x:c>
      <x:c r="N112" s="25" t="str"/>
      <x:c r="O112" s="25" t="str">
        <x:v>Una referencia completa; apellido, año y título concuerdan con el PDF.</x:v>
      </x:c>
      <x:c r="P112" s="25" t="str">
        <x:v>saki_research/working_papers/bigio_castillo_han_dollar_liquidity_flows_soe.pdf</x:v>
      </x:c>
      <x:c r="Q112" s="25" t="str">
        <x:v>Página PDF 55:
Itskhoki, Oleg and Dmitry Mukhin. 2021. “Exchange rate disconnect in general equi-
librium.” Journal of Political Economy 129.
Ivashina, Victoria, David S. Scharfstein and Jeremy C. Stein. 2015. “Dollar Funding
and the Lending Behavior of Global Banks*.” The Quarterly Journal of Economics
130(3):1241–1281.
URL: https://doi.org/10.1093/qje/qjv017
Jiang, Zhengyang, Arvind Krishnamurthy and Hanno Lustig. 2021. “Foreign Safe
Asset Demand and the Dollar Exchange Rate.” Journal of Finance 76.
Jiang, Zhengyang, Arvind Krishnamurthy and Hanno Lustig. 2023. “Dollar Safety
and the Global Financial Cycle.” The Review of Economic Studies 91(5):2878–2915.
54</x:v>
      </x:c>
    </x:row>
    <x:row r="113">
      <x:c r="A113" s="23"/>
      <x:c r="B113" s="23"/>
      <x:c r="C113" s="23"/>
      <x:c r="D113" s="23"/>
      <x:c r="E113" s="23"/>
      <x:c r="F113" s="23"/>
      <x:c r="G113" s="23"/>
      <x:c r="H113" s="23"/>
      <x:c r="I113" s="23"/>
      <x:c r="J113" s="23"/>
      <x:c r="K113" s="23"/>
      <x:c r="L113" s="23"/>
      <x:c r="M113" s="23"/>
      <x:c r="N113" s="23"/>
      <x:c r="O113" s="23"/>
      <x:c r="P113" s="23"/>
      <x:c r="Q113" s="23"/>
    </x:row>
    <x:row r="114">
      <x:c r="A114" s="23"/>
      <x:c r="B114" s="23"/>
      <x:c r="C114" s="23"/>
      <x:c r="D114" s="23"/>
      <x:c r="E114" s="23"/>
      <x:c r="F114" s="23"/>
      <x:c r="G114" s="23"/>
      <x:c r="H114" s="23"/>
      <x:c r="I114" s="23"/>
      <x:c r="J114" s="23"/>
      <x:c r="K114" s="23"/>
      <x:c r="L114" s="23"/>
      <x:c r="M114" s="23"/>
      <x:c r="N114" s="23"/>
      <x:c r="O114" s="23"/>
      <x:c r="P114" s="23"/>
      <x:c r="Q114" s="23"/>
    </x:row>
    <x:row r="115">
      <x:c r="A115" s="23"/>
      <x:c r="B115" s="23"/>
      <x:c r="C115" s="23"/>
      <x:c r="D115" s="23"/>
      <x:c r="E115" s="23"/>
      <x:c r="F115" s="23"/>
      <x:c r="G115" s="23"/>
      <x:c r="H115" s="23"/>
      <x:c r="I115" s="23"/>
      <x:c r="J115" s="23"/>
      <x:c r="K115" s="23"/>
      <x:c r="L115" s="23"/>
      <x:c r="M115" s="23"/>
      <x:c r="N115" s="23"/>
      <x:c r="O115" s="23"/>
      <x:c r="P115" s="23"/>
      <x:c r="Q115" s="23"/>
    </x:row>
  </x:sheetData>
  <x:conditionalFormatting sqref="F13:J112">
    <x:cfRule type="containsText" dxfId="19" priority="1" operator="containsText" text="no"/>
    <x:cfRule type="containsText" dxfId="20" priority="2" operator="containsText" text="no"/>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3" hidden="0" customWidth="1"/>
    <x:col min="2" max="2" width="74" hidden="0" customWidth="1"/>
    <x:col min="3" max="3" width="4" hidden="0" customWidth="1"/>
    <x:col min="4" max="4" width="43" hidden="0" customWidth="1"/>
    <x:col min="5" max="5" width="18" hidden="0" customWidth="1"/>
    <x:col min="6" max="6" width="35" hidden="0" customWidth="1"/>
  </x:cols>
  <x:sheetData>
    <x:row r="1" ht="25" customHeight="1">
      <x:c r="A1" s="1" t="str">
        <x:v>Auditoría integral de referencias</x:v>
      </x:c>
      <x:c r="B1" s="23"/>
      <x:c r="C1" s="23"/>
      <x:c r="D1" s="23"/>
      <x:c r="E1" s="23"/>
      <x:c r="F1" s="23"/>
    </x:row>
    <x:row r="2" ht="34" customHeight="1">
      <x:c r="A2" s="23" t="str">
        <x:v>Cobertura técnica completa del corpus, realizada con revisión asistida por Codex; no constituye una auditoría humana externa.</x:v>
      </x:c>
      <x:c r="B2" s="23"/>
      <x:c r="C2" s="23"/>
      <x:c r="D2" s="23"/>
      <x:c r="E2" s="23"/>
      <x:c r="F2" s="23"/>
    </x:row>
    <x:row r="3">
      <x:c r="A3" s="23" t="str">
        <x:v>Fecha de cierre</x:v>
      </x:c>
      <x:c r="B3" s="23" t="str">
        <x:v>2026-09-21</x:v>
      </x:c>
      <x:c r="C3" s="23"/>
      <x:c r="D3" s="23"/>
      <x:c r="E3" s="23"/>
      <x:c r="F3" s="23"/>
    </x:row>
    <x:row r="4">
      <x:c r="A4" s="23"/>
      <x:c r="B4" s="23"/>
      <x:c r="C4" s="23"/>
      <x:c r="D4" s="23"/>
      <x:c r="E4" s="23"/>
      <x:c r="F4" s="23"/>
    </x:row>
    <x:row r="5">
      <x:c r="A5" s="85" t="str">
        <x:v>Cobertura local</x:v>
      </x:c>
      <x:c r="B5" s="85" t="str">
        <x:v>Valor</x:v>
      </x:c>
      <x:c r="C5" s="23"/>
      <x:c r="D5" s="85" t="str">
        <x:v>Resolución OpenAlex</x:v>
      </x:c>
      <x:c r="E5" s="85" t="str">
        <x:v>Valor</x:v>
      </x:c>
      <x:c r="F5" s="23"/>
    </x:row>
    <x:row r="6">
      <x:c r="A6" s="23" t="str">
        <x:v>Referencias auditadas</x:v>
      </x:c>
      <x:c r="B6" s="89" t="n">
        <x:f>COUNTA('Detalle integral'!A5:A1439)</x:f>
        <x:v>1435</x:v>
      </x:c>
      <x:c r="C6" s="23"/>
      <x:c r="D6" s="23" t="str">
        <x:v>Consultas únicas</x:v>
      </x:c>
      <x:c r="E6" s="89" t="n">
        <x:v>1267</x:v>
      </x:c>
      <x:c r="F6" s="23"/>
    </x:row>
    <x:row r="7">
      <x:c r="A7" s="23" t="str">
        <x:v>Tamizaje automático sin señales</x:v>
      </x:c>
      <x:c r="B7" s="89" t="n">
        <x:f>COUNTIF('Detalle integral'!K5:K1439,"automatic_screen_pass")</x:f>
        <x:v>1012</x:v>
      </x:c>
      <x:c r="C7" s="23"/>
      <x:c r="D7" s="23" t="str">
        <x:v>Alta confianza automática</x:v>
      </x:c>
      <x:c r="E7" s="89" t="n">
        <x:v>370</x:v>
      </x:c>
      <x:c r="F7" s="23"/>
    </x:row>
    <x:row r="8">
      <x:c r="A8" s="23" t="str">
        <x:v>Controles muestrales previos</x:v>
      </x:c>
      <x:c r="B8" s="89" t="n">
        <x:f>COUNTIF('Detalle integral'!K5:K1439,"prior_manual_sample")</x:f>
        <x:v>300</x:v>
      </x:c>
      <x:c r="C8" s="23"/>
      <x:c r="D8" s="23" t="str">
        <x:v>Coincidencias provisionales revisadas</x:v>
      </x:c>
      <x:c r="E8" s="89" t="n">
        <x:v>24</x:v>
      </x:c>
      <x:c r="F8" s="23"/>
    </x:row>
    <x:row r="9">
      <x:c r="A9" s="23" t="str">
        <x:v>Patrones de múltiples obras aceptados</x:v>
      </x:c>
      <x:c r="B9" s="89" t="n">
        <x:f>COUNTIF('Detalle integral'!K5:K1439,"exhaustive_visual_multiwork_pattern_accepted")</x:f>
        <x:v>30</x:v>
      </x:c>
      <x:c r="C9" s="23"/>
      <x:c r="D9" s="23" t="str">
        <x:v>Coincidencias provisionales aceptadas</x:v>
      </x:c>
      <x:c r="E9" s="89" t="n">
        <x:v>19</x:v>
      </x:c>
      <x:c r="F9" s="23"/>
    </x:row>
    <x:row r="10">
      <x:c r="A10" s="23" t="str">
        <x:v>Correcciones por revisión visual integral</x:v>
      </x:c>
      <x:c r="B10" s="89" t="n">
        <x:f>COUNTIF('Detalle integral'!K5:K1439,"exhaustive_visual_correction")</x:f>
        <x:v>90</x:v>
      </x:c>
      <x:c r="C10" s="23"/>
      <x:c r="D10" s="23" t="str">
        <x:v>Coincidencias provisionales rechazadas</x:v>
      </x:c>
      <x:c r="E10" s="89" t="n">
        <x:v>5</x:v>
      </x:c>
      <x:c r="F10" s="23"/>
    </x:row>
    <x:row r="11">
      <x:c r="A11" s="23" t="str">
        <x:v>Excepciones visuales aceptadas</x:v>
      </x:c>
      <x:c r="B11" s="89" t="n">
        <x:f>COUNTIF('Detalle integral'!K5:K1439,"exhaustive_visual_exception_accepted")</x:f>
        <x:v>3</x:v>
      </x:c>
      <x:c r="C11" s="23"/>
      <x:c r="D11" s="23" t="str">
        <x:v>Resolución directa por DOI</x:v>
      </x:c>
      <x:c r="E11" s="89" t="n">
        <x:v>1</x:v>
      </x:c>
      <x:c r="F11" s="23"/>
    </x:row>
    <x:row r="12">
      <x:c r="A12" s="23" t="str">
        <x:v>Filas aceptadas</x:v>
      </x:c>
      <x:c r="B12" s="89" t="n">
        <x:f>COUNTIF('Detalle integral'!L5:L1439,"accepted")</x:f>
        <x:v>1343</x:v>
      </x:c>
      <x:c r="C12" s="23"/>
      <x:c r="D12" s="23" t="str">
        <x:v>Filas con identidad aceptada</x:v>
      </x:c>
      <x:c r="E12" s="89" t="n">
        <x:v>390</x:v>
      </x:c>
      <x:c r="F12" s="23"/>
    </x:row>
    <x:row r="13">
      <x:c r="A13" s="23" t="str">
        <x:v>Filas corregidas</x:v>
      </x:c>
      <x:c r="B13" s="89" t="n">
        <x:f>COUNTIF('Detalle integral'!L5:L1439,"corrected")</x:f>
        <x:v>90</x:v>
      </x:c>
      <x:c r="C13" s="23"/>
      <x:c r="D13" s="23" t="str">
        <x:v>Identidades OpenAlex únicas</x:v>
      </x:c>
      <x:c r="E13" s="89" t="n">
        <x:v>320</x:v>
      </x:c>
      <x:c r="F13" s="23"/>
    </x:row>
    <x:row r="14">
      <x:c r="A14" s="23" t="str">
        <x:v>Excepciones atribuibles a la fuente</x:v>
      </x:c>
      <x:c r="B14" s="89" t="n">
        <x:f>COUNTIF('Detalle integral'!L5:L1439,"accepted_source_exception")</x:f>
        <x:v>2</x:v>
      </x:c>
      <x:c r="C14" s="23"/>
      <x:c r="D14" s="23" t="str">
        <x:v>Filas sin identidad aceptada</x:v>
      </x:c>
      <x:c r="E14" s="89" t="n">
        <x:v>1045</x:v>
      </x:c>
      <x:c r="F14" s="23"/>
    </x:row>
    <x:row r="15">
      <x:c r="A15" s="23" t="str">
        <x:v>Operaciones estructurales</x:v>
      </x:c>
      <x:c r="B15" s="89" t="n">
        <x:v>18</x:v>
      </x:c>
      <x:c r="C15" s="23"/>
      <x:c r="D15" s="23"/>
      <x:c r="E15" s="23"/>
      <x:c r="F15" s="23"/>
    </x:row>
    <x:row r="16">
      <x:c r="A16" s="23" t="str">
        <x:v>Filas netas añadidas</x:v>
      </x:c>
      <x:c r="B16" s="89" t="n">
        <x:v>19</x:v>
      </x:c>
      <x:c r="C16" s="23"/>
      <x:c r="D16" s="85" t="str">
        <x:v>Condición de uso</x:v>
      </x:c>
      <x:c r="E16" s="85" t="str">
        <x:v>Estado</x:v>
      </x:c>
      <x:c r="F16" s="23"/>
    </x:row>
    <x:row r="17">
      <x:c r="A17" s="23" t="str">
        <x:v>Correcciones de frontera de título</x:v>
      </x:c>
      <x:c r="B17" s="89" t="n">
        <x:v>17</x:v>
      </x:c>
      <x:c r="C17" s="23"/>
      <x:c r="D17" s="23" t="str">
        <x:v>Control técnico local completo</x:v>
      </x:c>
      <x:c r="E17" s="23" t="str">
        <x:v>sí</x:v>
      </x:c>
      <x:c r="F17" s="23"/>
    </x:row>
    <x:row r="18">
      <x:c r="A18" s="23" t="str">
        <x:v>Años faltantes</x:v>
      </x:c>
      <x:c r="B18" s="89" t="n">
        <x:v>6</x:v>
      </x:c>
      <x:c r="C18" s="23"/>
      <x:c r="D18" s="23" t="str">
        <x:v>Auditoría humana externa</x:v>
      </x:c>
      <x:c r="E18" s="23" t="str">
        <x:v>no</x:v>
      </x:c>
      <x:c r="F18" s="23"/>
    </x:row>
    <x:row r="19">
      <x:c r="A19" s="23" t="str">
        <x:v>Año mal impreso en la fuente</x:v>
      </x:c>
      <x:c r="B19" s="89" t="n">
        <x:v>1</x:v>
      </x:c>
      <x:c r="C19" s="23"/>
      <x:c r="D19" s="23" t="str">
        <x:v>Redes exhaustivas habilitadas</x:v>
      </x:c>
      <x:c r="E19" s="23" t="str">
        <x:v>no</x:v>
      </x:c>
      <x:c r="F19" s="23"/>
    </x:row>
    <x:row r="20">
      <x:c r="A20" s="23" t="str">
        <x:v>Título no aislable desde la fuente</x:v>
      </x:c>
      <x:c r="B20" s="89" t="n">
        <x:v>1</x:v>
      </x:c>
      <x:c r="C20" s="23"/>
      <x:c r="D20" s="23"/>
      <x:c r="E20" s="23"/>
      <x:c r="F20" s="23"/>
    </x:row>
    <x:row r="21">
      <x:c r="A21" s="23"/>
      <x:c r="B21" s="23"/>
      <x:c r="C21" s="23"/>
      <x:c r="D21" s="87" t="str">
        <x:v>Límite vigente</x:v>
      </x:c>
      <x:c r="E21" s="23"/>
      <x:c r="F21" s="23"/>
    </x:row>
    <x:row r="22" ht="42" customHeight="1">
      <x:c r="A22" s="87" t="str">
        <x:v>Trazabilidad</x:v>
      </x:c>
      <x:c r="B22" s="87"/>
      <x:c r="C22" s="23"/>
      <x:c r="D22" s="25" t="str">
        <x:v>La revisión integral fue realizada por Codex, no por un auditor humano externo, y 1.045 filas siguen sin identidad OpenAlex aceptada después del recálculo.</x:v>
      </x:c>
      <x:c r="E22" s="25"/>
      <x:c r="F22" s="25"/>
    </x:row>
    <x:row r="23" ht="42" customHeight="1">
      <x:c r="A23" s="25" t="str">
        <x:v>Fuente auditada</x:v>
      </x:c>
      <x:c r="B23" s="88" t="str">
        <x:v>data/referencias_parseadas_candidate.json</x:v>
      </x:c>
      <x:c r="C23" s="23"/>
      <x:c r="D23" s="25"/>
      <x:c r="E23" s="25"/>
      <x:c r="F23" s="25"/>
    </x:row>
    <x:row r="24" ht="42" customHeight="1">
      <x:c r="A24" s="25" t="str">
        <x:v>SHA-256 de la fuente</x:v>
      </x:c>
      <x:c r="B24" s="88" t="str">
        <x:v>7bdffa54897bfa724fb606dee85e02fbe0cba5fd9b69f31295d0528f2062188d</x:v>
      </x:c>
      <x:c r="C24" s="23"/>
      <x:c r="D24" s="25"/>
      <x:c r="E24" s="25"/>
      <x:c r="F24" s="25"/>
    </x:row>
    <x:row r="25" ht="42" customHeight="1">
      <x:c r="A25" s="25" t="str">
        <x:v>Método</x:v>
      </x:c>
      <x:c r="B25" s="88" t="str">
        <x:v>Tamizaje determinista de las 1.435 filas; incorporación de los 300 controles previos; revisión visual asistida de todos los fallos literales, patrones de múltiples obras, entradas largas, años atípicos y marcadores de contaminación; remediación y nueva regresión.</x:v>
      </x:c>
      <x:c r="C25" s="23"/>
      <x:c r="D25" s="23"/>
      <x:c r="E25" s="23"/>
      <x:c r="F25" s="23"/>
    </x:row>
    <x:row r="26" ht="42" customHeight="1">
      <x:c r="A26" s="25" t="str">
        <x:v>Detalle de filas</x:v>
      </x:c>
      <x:c r="B26" s="88" t="str">
        <x:v>Hoja «Detalle integral»</x:v>
      </x:c>
      <x:c r="C26" s="23"/>
      <x:c r="D26" s="23"/>
      <x:c r="E26" s="23"/>
      <x:c r="F26" s="23"/>
    </x:row>
    <x:row r="27" ht="42" customHeight="1">
      <x:c r="A27" s="25" t="str">
        <x:v>Dictamen de coincidencias</x:v>
      </x:c>
      <x:c r="B27" s="88" t="str">
        <x:v>data/auditoria_openalex_coincidencias_provisionales.json</x:v>
      </x:c>
      <x:c r="C27" s="23"/>
      <x:c r="D27" s="23"/>
      <x:c r="E27" s="23"/>
      <x:c r="F27" s="23"/>
    </x:row>
    <x:row r="28">
      <x:c r="A28" s="23"/>
      <x:c r="B28" s="23"/>
      <x:c r="C28" s="23"/>
      <x:c r="D28" s="23"/>
      <x:c r="E28" s="23"/>
      <x:c r="F28" s="23"/>
    </x:row>
    <x:row r="29">
      <x:c r="A29" s="23"/>
      <x:c r="B29" s="23"/>
      <x:c r="C29" s="23"/>
      <x:c r="D29" s="23"/>
      <x:c r="E29" s="23"/>
      <x:c r="F29" s="23"/>
    </x:row>
    <x:row r="30">
      <x:c r="A30" s="23"/>
      <x:c r="B30" s="23"/>
      <x:c r="C30" s="23"/>
      <x:c r="D30" s="23"/>
      <x:c r="E30" s="23"/>
      <x:c r="F30" s="23"/>
    </x:row>
    <x:row r="31">
      <x:c r="A31" s="23"/>
      <x:c r="B31" s="23"/>
      <x:c r="C31" s="23"/>
      <x:c r="D31" s="23"/>
      <x:c r="E31" s="23"/>
      <x:c r="F31" s="23"/>
    </x:row>
    <x:row r="32">
      <x:c r="A32" s="23"/>
      <x:c r="B32" s="23"/>
      <x:c r="C32" s="23"/>
      <x:c r="D32" s="23"/>
      <x:c r="E32" s="23"/>
      <x:c r="F32" s="23"/>
    </x:row>
    <x:row r="33">
      <x:c r="A33" s="23"/>
      <x:c r="B33" s="23"/>
      <x:c r="C33" s="23"/>
      <x:c r="D33" s="23"/>
      <x:c r="E33" s="23"/>
      <x:c r="F33" s="23"/>
    </x:row>
    <x:row r="34">
      <x:c r="A34" s="23"/>
      <x:c r="B34" s="23"/>
      <x:c r="C34" s="23"/>
      <x:c r="D34" s="23"/>
      <x:c r="E34" s="23"/>
      <x:c r="F34" s="23"/>
    </x:row>
    <x:row r="35">
      <x:c r="A35" s="23"/>
      <x:c r="B35" s="23"/>
      <x:c r="C35" s="23"/>
      <x:c r="D35" s="23"/>
      <x:c r="E35" s="23"/>
      <x:c r="F35" s="23"/>
    </x:row>
    <x:row r="36">
      <x:c r="A36" s="23"/>
      <x:c r="B36" s="23"/>
      <x:c r="C36" s="23"/>
      <x:c r="D36" s="23"/>
      <x:c r="E36" s="23"/>
      <x:c r="F36" s="23"/>
    </x:row>
    <x:row r="37">
      <x:c r="A37" s="23"/>
      <x:c r="B37" s="23"/>
      <x:c r="C37" s="23"/>
      <x:c r="D37" s="23"/>
      <x:c r="E37" s="23"/>
      <x:c r="F37" s="23"/>
    </x:row>
    <x:row r="38">
      <x:c r="A38" s="23"/>
      <x:c r="B38" s="23"/>
      <x:c r="C38" s="23"/>
      <x:c r="D38" s="23"/>
      <x:c r="E38" s="23"/>
      <x:c r="F38" s="23"/>
    </x:row>
    <x:row r="39">
      <x:c r="A39" s="23"/>
      <x:c r="B39" s="23"/>
      <x:c r="C39" s="23"/>
      <x:c r="D39" s="23"/>
      <x:c r="E39" s="23"/>
      <x:c r="F39" s="23"/>
    </x:row>
    <x:row r="40">
      <x:c r="A40" s="23"/>
      <x:c r="B40" s="23"/>
      <x:c r="C40" s="23"/>
      <x:c r="D40" s="23"/>
      <x:c r="E40" s="23"/>
      <x:c r="F40" s="23"/>
    </x:row>
  </x:sheetData>
  <x:conditionalFormatting sqref="E18:E19">
    <x:cfRule type="containsText" dxfId="21" priority="1" operator="containsText" text="no"/>
  </x:conditionalFormatting>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12" hidden="0" customWidth="1"/>
    <x:col min="3" max="3" width="10" hidden="0" customWidth="1"/>
    <x:col min="4" max="4" width="14" hidden="0" customWidth="1"/>
    <x:col min="5" max="5" width="12" hidden="0" customWidth="1"/>
    <x:col min="6" max="6" width="22" hidden="0" customWidth="1"/>
    <x:col min="7" max="7" width="10" hidden="0" customWidth="1"/>
    <x:col min="8" max="8" width="66" hidden="0" customWidth="1"/>
    <x:col min="9" max="9" width="38" hidden="0" customWidth="1"/>
    <x:col min="10" max="10" width="52" hidden="0" customWidth="1"/>
    <x:col min="11" max="11" width="43" hidden="0" customWidth="1"/>
    <x:col min="12" max="12" width="31" hidden="0" customWidth="1"/>
    <x:col min="13" max="13" width="22" hidden="0" customWidth="1"/>
    <x:col min="14" max="14" width="65" hidden="0" customWidth="1"/>
    <x:col min="15" max="15" width="110" hidden="0" customWidth="1"/>
  </x:cols>
  <x:sheetData>
    <x:row r="1">
      <x:c r="A1" s="1" t="str">
        <x:v>Detalle integral de las referencias auditadas</x:v>
      </x:c>
      <x:c r="B1" s="23"/>
      <x:c r="C1" s="23"/>
      <x:c r="D1" s="23"/>
      <x:c r="E1" s="23"/>
      <x:c r="F1" s="23"/>
      <x:c r="G1" s="23"/>
      <x:c r="H1" s="23"/>
      <x:c r="I1" s="23"/>
      <x:c r="J1" s="23"/>
      <x:c r="K1" s="23"/>
      <x:c r="L1" s="23"/>
      <x:c r="M1" s="23"/>
      <x:c r="N1" s="23"/>
      <x:c r="O1" s="23"/>
    </x:row>
    <x:row r="2">
      <x:c r="A2" s="23" t="str">
        <x:v>Cada fila conserva la referencia candidata, su localización, las banderas de calidad y la ruta del dictamen técnico.</x:v>
      </x:c>
      <x:c r="B2" s="23"/>
      <x:c r="C2" s="23"/>
      <x:c r="D2" s="23"/>
      <x:c r="E2" s="23"/>
      <x:c r="F2" s="23"/>
      <x:c r="G2" s="23"/>
      <x:c r="H2" s="23"/>
      <x:c r="I2" s="23"/>
      <x:c r="J2" s="23"/>
      <x:c r="K2" s="23"/>
      <x:c r="L2" s="23"/>
      <x:c r="M2" s="23"/>
      <x:c r="N2" s="23"/>
      <x:c r="O2" s="23"/>
    </x:row>
    <x:row r="3">
      <x:c r="A3" s="23" t="str">
        <x:v>Las columnas de ruta y estado describen el control asistido; no representan certificación humana externa.</x:v>
      </x:c>
      <x:c r="B3" s="23"/>
      <x:c r="C3" s="23"/>
      <x:c r="D3" s="23"/>
      <x:c r="E3" s="23"/>
      <x:c r="F3" s="23"/>
      <x:c r="G3" s="23"/>
      <x:c r="H3" s="23"/>
      <x:c r="I3" s="23"/>
      <x:c r="J3" s="23"/>
      <x:c r="K3" s="23"/>
      <x:c r="L3" s="23"/>
      <x:c r="M3" s="23"/>
      <x:c r="N3" s="23"/>
      <x:c r="O3" s="23"/>
    </x:row>
    <x:row r="4" ht="36" customHeight="1">
      <x:c r="A4" s="85" t="str">
        <x:v>ID</x:v>
      </x:c>
      <x:c r="B4" s="85" t="str">
        <x:v>Documento</x:v>
      </x:c>
      <x:c r="C4" s="85" t="str">
        <x:v>Índice</x:v>
      </x:c>
      <x:c r="D4" s="85" t="str">
        <x:v>Página inicial</x:v>
      </x:c>
      <x:c r="E4" s="85" t="str">
        <x:v>Página final</x:v>
      </x:c>
      <x:c r="F4" s="85" t="str">
        <x:v>Apellido</x:v>
      </x:c>
      <x:c r="G4" s="85" t="str">
        <x:v>Año</x:v>
      </x:c>
      <x:c r="H4" s="85" t="str">
        <x:v>Título</x:v>
      </x:c>
      <x:c r="I4" s="85" t="str">
        <x:v>Banderas de calidad</x:v>
      </x:c>
      <x:c r="J4" s="85" t="str">
        <x:v>Proveniencia de corrección</x:v>
      </x:c>
      <x:c r="K4" s="85" t="str">
        <x:v>Ruta de auditoría</x:v>
      </x:c>
      <x:c r="L4" s="85" t="str">
        <x:v>Estado</x:v>
      </x:c>
      <x:c r="M4" s="85" t="str">
        <x:v>Patrón multiobra revisado</x:v>
      </x:c>
      <x:c r="N4" s="85" t="str">
        <x:v>PDF fuente</x:v>
      </x:c>
      <x:c r="O4" s="85" t="str">
        <x:v>Entrada bibliográfica</x:v>
      </x:c>
    </x:row>
    <x:row r="5" ht="48" customHeight="1">
      <x:c r="A5" s="24" t="str">
        <x:v>S01-R001</x:v>
      </x:c>
      <x:c r="B5" s="24" t="str">
        <x:v>S01</x:v>
      </x:c>
      <x:c r="C5" s="26" t="n">
        <x:v>1</x:v>
      </x:c>
      <x:c r="D5" s="26" t="n">
        <x:v>12</x:v>
      </x:c>
      <x:c r="E5" s="26" t="n">
        <x:v>12</x:v>
      </x:c>
      <x:c r="F5" s="26" t="str">
        <x:v>Bianchi</x:v>
      </x:c>
      <x:c r="G5" s="26" t="n">
        <x:v>2022</x:v>
      </x:c>
      <x:c r="H5" s="25" t="str">
        <x:v>Banks, liquidity management, and monetary policy</x:v>
      </x:c>
      <x:c r="I5" s="25" t="str"/>
      <x:c r="J5" s="25" t="str"/>
      <x:c r="K5" s="25" t="str">
        <x:v>automatic_screen_pass</x:v>
      </x:c>
      <x:c r="L5" s="25" t="str">
        <x:v>accepted</x:v>
      </x:c>
      <x:c r="M5" s="25" t="str">
        <x:v>no</x:v>
      </x:c>
      <x:c r="N5" s="25" t="str">
        <x:v>bigio_politica_monetaria_nueva_perspectiva.pdf</x:v>
      </x:c>
      <x:c r="O5" s="25" t="str">
        <x:v>Bianchi, J., &amp; Bigio, S. (2022). Banks, liquidity management, and monetary policy. Econometrica, 90(1), 391-454.</x:v>
      </x:c>
    </x:row>
    <x:row r="6" ht="48" customHeight="1">
      <x:c r="A6" s="24" t="str">
        <x:v>S01-R002</x:v>
      </x:c>
      <x:c r="B6" s="24" t="str">
        <x:v>S01</x:v>
      </x:c>
      <x:c r="C6" s="26" t="n">
        <x:v>2</x:v>
      </x:c>
      <x:c r="D6" s="26" t="n">
        <x:v>12</x:v>
      </x:c>
      <x:c r="E6" s="26" t="n">
        <x:v>12</x:v>
      </x:c>
      <x:c r="F6" s="26" t="str">
        <x:v>Rossini</x:v>
      </x:c>
      <x:c r="G6" s="26" t="n">
        <x:v>2016</x:v>
      </x:c>
      <x:c r="H6" s="25" t="str">
        <x:v>La política monetaria del Banco Central de Reserva del Perú en los últimos 25 años</x:v>
      </x:c>
      <x:c r="I6" s="25" t="str"/>
      <x:c r="J6" s="25" t="str"/>
      <x:c r="K6" s="25" t="str">
        <x:v>automatic_screen_pass</x:v>
      </x:c>
      <x:c r="L6" s="25" t="str">
        <x:v>accepted</x:v>
      </x:c>
      <x:c r="M6" s="25" t="str">
        <x:v>no</x:v>
      </x:c>
      <x:c r="N6" s="25" t="str">
        <x:v>bigio_politica_monetaria_nueva_perspectiva.pdf</x:v>
      </x:c>
      <x:c r="O6" s="25" t="str">
        <x:v>Rossini, R. (2016). La política monetaria del Banco Central de Reserva del Perú en los últimos 25 años. En G. Yamada &amp; D. Winkelried (Eds.), Política y estabilidad monetariaenelPerú(p.23-35). Lima:FondoEditorialdelaUniversidaddelPacífico.</x:v>
      </x:c>
    </x:row>
    <x:row r="7" ht="48" customHeight="1">
      <x:c r="A7" s="24" t="str">
        <x:v>S01-R003</x:v>
      </x:c>
      <x:c r="B7" s="24" t="str">
        <x:v>S01</x:v>
      </x:c>
      <x:c r="C7" s="26" t="n">
        <x:v>3</x:v>
      </x:c>
      <x:c r="D7" s="26" t="n">
        <x:v>12</x:v>
      </x:c>
      <x:c r="E7" s="26" t="n">
        <x:v>12</x:v>
      </x:c>
      <x:c r="F7" s="26" t="str">
        <x:v>Wallace</x:v>
      </x:c>
      <x:c r="G7" s="26" t="n">
        <x:v>1981</x:v>
      </x:c>
      <x:c r="H7" s="25" t="str">
        <x:v>AModigliani-Millertheoremforopen-marketoperations</x:v>
      </x:c>
      <x:c r="I7" s="25" t="str"/>
      <x:c r="J7" s="25" t="str"/>
      <x:c r="K7" s="25" t="str">
        <x:v>automatic_screen_pass</x:v>
      </x:c>
      <x:c r="L7" s="25" t="str">
        <x:v>accepted</x:v>
      </x:c>
      <x:c r="M7" s="25" t="str">
        <x:v>no</x:v>
      </x:c>
      <x:c r="N7" s="25" t="str">
        <x:v>bigio_politica_monetaria_nueva_perspectiva.pdf</x:v>
      </x:c>
      <x:c r="O7" s="25" t="str">
        <x:v>Wallace,N. (1981). AModigliani-Millertheoremforopen-marketoperations. American Economic Review, 71(3), 267-274.</x:v>
      </x:c>
    </x:row>
    <x:row r="8" ht="48" customHeight="1">
      <x:c r="A8" s="24" t="str">
        <x:v>E01-R001</x:v>
      </x:c>
      <x:c r="B8" s="24" t="str">
        <x:v>E01</x:v>
      </x:c>
      <x:c r="C8" s="26" t="n">
        <x:v>1</x:v>
      </x:c>
      <x:c r="D8" s="26" t="n">
        <x:v>20</x:v>
      </x:c>
      <x:c r="E8" s="26" t="n">
        <x:v>20</x:v>
      </x:c>
      <x:c r="F8" s="26" t="str">
        <x:v>Acemoglu</x:v>
      </x:c>
      <x:c r="G8" s="26" t="n">
        <x:v>2003</x:v>
      </x:c>
      <x:c r="H8" s="25" t="str">
        <x:v>Institutional Causes, Macroeconomic Symptoms: Volatility, Crises and Growth</x:v>
      </x:c>
      <x:c r="I8" s="25" t="str"/>
      <x:c r="J8" s="25" t="str"/>
      <x:c r="K8" s="25" t="str">
        <x:v>automatic_screen_pass</x:v>
      </x:c>
      <x:c r="L8" s="25" t="str">
        <x:v>accepted</x:v>
      </x:c>
      <x:c r="M8" s="25" t="str">
        <x:v>no</x:v>
      </x:c>
      <x:c r="N8" s="25" t="str">
        <x:v>saki_research/pre_phd_papers/bigio_ramirez_corrupcion_indicadores_desarrollo_pery_mundo_revision_empirica.pdf</x:v>
      </x:c>
      <x:c r="O8" s="25" t="str">
        <x:v>Acemoglu, D., S. Johnson; J. Robinson y Y. Thaicharoen (2003): “Institutional Causes, Macroeconomic Symptoms: Volatility, Crises and Growth.” Journal of Monetary Economics, 50(1), pp. 49-123.</x:v>
      </x:c>
    </x:row>
    <x:row r="9" ht="48" customHeight="1">
      <x:c r="A9" s="24" t="str">
        <x:v>E01-R002</x:v>
      </x:c>
      <x:c r="B9" s="24" t="str">
        <x:v>E01</x:v>
      </x:c>
      <x:c r="C9" s="26" t="n">
        <x:v>2</x:v>
      </x:c>
      <x:c r="D9" s="26" t="n">
        <x:v>20</x:v>
      </x:c>
      <x:c r="E9" s="26" t="n">
        <x:v>20</x:v>
      </x:c>
      <x:c r="F9" s="26" t="str">
        <x:v>Ades</x:v>
      </x:c>
      <x:c r="G9" s="26" t="n">
        <x:v>1999</x:v>
      </x:c>
      <x:c r="H9" s="25" t="str">
        <x:v>Rents, Competition and Corruption</x:v>
      </x:c>
      <x:c r="I9" s="25" t="str"/>
      <x:c r="J9" s="25" t="str"/>
      <x:c r="K9" s="25" t="str">
        <x:v>automatic_screen_pass</x:v>
      </x:c>
      <x:c r="L9" s="25" t="str">
        <x:v>accepted</x:v>
      </x:c>
      <x:c r="M9" s="25" t="str">
        <x:v>no</x:v>
      </x:c>
      <x:c r="N9" s="25" t="str">
        <x:v>saki_research/pre_phd_papers/bigio_ramirez_corrupcion_indicadores_desarrollo_pery_mundo_revision_empirica.pdf</x:v>
      </x:c>
      <x:c r="O9" s="25" t="str">
        <x:v>Ades, A. y R. Di Tella (1999): “Rents, Competition and Corruption.” American Economic Review, 89(4), pp. 482-493.</x:v>
      </x:c>
    </x:row>
    <x:row r="10" ht="48" customHeight="1">
      <x:c r="A10" s="24" t="str">
        <x:v>E01-R003</x:v>
      </x:c>
      <x:c r="B10" s="24" t="str">
        <x:v>E01</x:v>
      </x:c>
      <x:c r="C10" s="26" t="n">
        <x:v>3</x:v>
      </x:c>
      <x:c r="D10" s="26" t="n">
        <x:v>20</x:v>
      </x:c>
      <x:c r="E10" s="26" t="n">
        <x:v>20</x:v>
      </x:c>
      <x:c r="F10" s="26" t="str">
        <x:v>Alesina</x:v>
      </x:c>
      <x:c r="G10" s="26" t="n">
        <x:v>2002</x:v>
      </x:c>
      <x:c r="H10" s="25" t="str">
        <x:v>Do corrupt governments receive less foreign aid?</x:v>
      </x:c>
      <x:c r="I10" s="25" t="str"/>
      <x:c r="J10" s="25" t="str"/>
      <x:c r="K10" s="25" t="str">
        <x:v>automatic_screen_pass</x:v>
      </x:c>
      <x:c r="L10" s="25" t="str">
        <x:v>accepted</x:v>
      </x:c>
      <x:c r="M10" s="25" t="str">
        <x:v>no</x:v>
      </x:c>
      <x:c r="N10" s="25" t="str">
        <x:v>saki_research/pre_phd_papers/bigio_ramirez_corrupcion_indicadores_desarrollo_pery_mundo_revision_empirica.pdf</x:v>
      </x:c>
      <x:c r="O10" s="25" t="str">
        <x:v>Alesina, A. y B. Weder (2002): “Do corrupt governments receive less foreign aid?” American Economic Review, 92(4), pp. 1126-1137.</x:v>
      </x:c>
    </x:row>
    <x:row r="11" ht="48" customHeight="1">
      <x:c r="A11" s="24" t="str">
        <x:v>E01-R004</x:v>
      </x:c>
      <x:c r="B11" s="24" t="str">
        <x:v>E01</x:v>
      </x:c>
      <x:c r="C11" s="26" t="n">
        <x:v>4</x:v>
      </x:c>
      <x:c r="D11" s="26" t="n">
        <x:v>20</x:v>
      </x:c>
      <x:c r="E11" s="26" t="n">
        <x:v>20</x:v>
      </x:c>
      <x:c r="F11" s="26" t="str">
        <x:v>Arellano</x:v>
      </x:c>
      <x:c r="G11" s="26" t="n">
        <x:v>1991</x:v>
      </x:c>
      <x:c r="H11" s="25" t="str">
        <x:v>Some tests of specification for panel data: Monte Carlo evidence and an application to employment equations</x:v>
      </x:c>
      <x:c r="I11" s="25" t="str"/>
      <x:c r="J11" s="25" t="str"/>
      <x:c r="K11" s="25" t="str">
        <x:v>automatic_screen_pass</x:v>
      </x:c>
      <x:c r="L11" s="25" t="str">
        <x:v>accepted</x:v>
      </x:c>
      <x:c r="M11" s="25" t="str">
        <x:v>no</x:v>
      </x:c>
      <x:c r="N11" s="25" t="str">
        <x:v>saki_research/pre_phd_papers/bigio_ramirez_corrupcion_indicadores_desarrollo_pery_mundo_revision_empirica.pdf</x:v>
      </x:c>
      <x:c r="O11" s="25" t="str">
        <x:v>Arellano, M. y S. Bond (1991): “Some tests of specification for panel data: Monte Carlo evidence and an application to employment equations.” Review of Economic Studies, 58(2), pp 277–297.</x:v>
      </x:c>
    </x:row>
    <x:row r="12" ht="48" customHeight="1">
      <x:c r="A12" s="24" t="str">
        <x:v>E01-R005</x:v>
      </x:c>
      <x:c r="B12" s="24" t="str">
        <x:v>E01</x:v>
      </x:c>
      <x:c r="C12" s="26" t="n">
        <x:v>5</x:v>
      </x:c>
      <x:c r="D12" s="26" t="n">
        <x:v>20</x:v>
      </x:c>
      <x:c r="E12" s="26" t="n">
        <x:v>20</x:v>
      </x:c>
      <x:c r="F12" s="26" t="str">
        <x:v>Arellano</x:v>
      </x:c>
      <x:c r="G12" s="26" t="n">
        <x:v>1995</x:v>
      </x:c>
      <x:c r="H12" s="25" t="str">
        <x:v>Another Look at the Instrumental-Variable Estimation of Error-Components Models</x:v>
      </x:c>
      <x:c r="I12" s="25" t="str"/>
      <x:c r="J12" s="25" t="str"/>
      <x:c r="K12" s="25" t="str">
        <x:v>automatic_screen_pass</x:v>
      </x:c>
      <x:c r="L12" s="25" t="str">
        <x:v>accepted</x:v>
      </x:c>
      <x:c r="M12" s="25" t="str">
        <x:v>no</x:v>
      </x:c>
      <x:c r="N12" s="25" t="str">
        <x:v>saki_research/pre_phd_papers/bigio_ramirez_corrupcion_indicadores_desarrollo_pery_mundo_revision_empirica.pdf</x:v>
      </x:c>
      <x:c r="O12" s="25" t="str">
        <x:v>Arellano, M. y O Bover (1995): “Another Look at the Instrumental-Variable Estimation of Error-Components Models.” Journal of Econometrics, 68(1), pp. 29-51.</x:v>
      </x:c>
    </x:row>
    <x:row r="13" ht="48" customHeight="1">
      <x:c r="A13" s="24" t="str">
        <x:v>E01-R006</x:v>
      </x:c>
      <x:c r="B13" s="24" t="str">
        <x:v>E01</x:v>
      </x:c>
      <x:c r="C13" s="26" t="n">
        <x:v>6</x:v>
      </x:c>
      <x:c r="D13" s="26" t="n">
        <x:v>20</x:v>
      </x:c>
      <x:c r="E13" s="26" t="n">
        <x:v>20</x:v>
      </x:c>
      <x:c r="F13" s="26" t="str">
        <x:v>Bardhan</x:v>
      </x:c>
      <x:c r="G13" s="26" t="n">
        <x:v>1997</x:v>
      </x:c>
      <x:c r="H13" s="25" t="str">
        <x:v>Corruption and development: A review of issues</x:v>
      </x:c>
      <x:c r="I13" s="25" t="str"/>
      <x:c r="J13" s="25" t="str"/>
      <x:c r="K13" s="25" t="str">
        <x:v>automatic_screen_pass</x:v>
      </x:c>
      <x:c r="L13" s="25" t="str">
        <x:v>accepted</x:v>
      </x:c>
      <x:c r="M13" s="25" t="str">
        <x:v>no</x:v>
      </x:c>
      <x:c r="N13" s="25" t="str">
        <x:v>saki_research/pre_phd_papers/bigio_ramirez_corrupcion_indicadores_desarrollo_pery_mundo_revision_empirica.pdf</x:v>
      </x:c>
      <x:c r="O13" s="25" t="str">
        <x:v>Bardhan, P. (1997): “Corruption and development: A review of issues.” Journal of Economic Literature, 35(3), pp. 1320-1346.</x:v>
      </x:c>
    </x:row>
    <x:row r="14" ht="48" customHeight="1">
      <x:c r="A14" s="24" t="str">
        <x:v>E01-R007</x:v>
      </x:c>
      <x:c r="B14" s="24" t="str">
        <x:v>E01</x:v>
      </x:c>
      <x:c r="C14" s="26" t="n">
        <x:v>7</x:v>
      </x:c>
      <x:c r="D14" s="26" t="n">
        <x:v>20</x:v>
      </x:c>
      <x:c r="E14" s="26" t="n">
        <x:v>20</x:v>
      </x:c>
      <x:c r="F14" s="26" t="str">
        <x:v>Chand</x:v>
      </x:c>
      <x:c r="G14" s="26" t="n">
        <x:v>2002</x:v>
      </x:c>
      <x:c r="H14" s="25" t="str">
        <x:v>Controlling Fiscal Corruption</x:v>
      </x:c>
      <x:c r="I14" s="25" t="str"/>
      <x:c r="J14" s="25" t="str"/>
      <x:c r="K14" s="25" t="str">
        <x:v>automatic_screen_pass</x:v>
      </x:c>
      <x:c r="L14" s="25" t="str">
        <x:v>accepted</x:v>
      </x:c>
      <x:c r="M14" s="25" t="str">
        <x:v>no</x:v>
      </x:c>
      <x:c r="N14" s="25" t="str">
        <x:v>saki_research/pre_phd_papers/bigio_ramirez_corrupcion_indicadores_desarrollo_pery_mundo_revision_empirica.pdf</x:v>
      </x:c>
      <x:c r="O14" s="25" t="str">
        <x:v>Chand, S. y K. Moene (2002): “Controlling Fiscal Corruption.” En: Governance, Corruption &amp; Economic Performance. Abed, G. y S. Gupta (eds.). Washington, D.C.: International Monetary Fund (IMF), pp. 89-100.</x:v>
      </x:c>
    </x:row>
    <x:row r="15" ht="48" customHeight="1">
      <x:c r="A15" s="24" t="str">
        <x:v>E01-R008</x:v>
      </x:c>
      <x:c r="B15" s="24" t="str">
        <x:v>E01</x:v>
      </x:c>
      <x:c r="C15" s="26" t="n">
        <x:v>8</x:v>
      </x:c>
      <x:c r="D15" s="26" t="n">
        <x:v>20</x:v>
      </x:c>
      <x:c r="E15" s="26" t="n">
        <x:v>20</x:v>
      </x:c>
      <x:c r="F15" s="26" t="str">
        <x:v>Chang</x:v>
      </x:c>
      <x:c r="G15" s="26" t="n">
        <x:v>2009</x:v>
      </x:c>
      <x:c r="H15" s="25" t="str">
        <x:v>Openness can be good for growth: The role of policy complementarities:</x:v>
      </x:c>
      <x:c r="I15" s="25" t="str"/>
      <x:c r="J15" s="25" t="str"/>
      <x:c r="K15" s="25" t="str">
        <x:v>prior_manual_sample</x:v>
      </x:c>
      <x:c r="L15" s="25" t="str">
        <x:v>accepted</x:v>
      </x:c>
      <x:c r="M15" s="25" t="str">
        <x:v>no</x:v>
      </x:c>
      <x:c r="N15" s="25" t="str">
        <x:v>saki_research/pre_phd_papers/bigio_ramirez_corrupcion_indicadores_desarrollo_pery_mundo_revision_empirica.pdf</x:v>
      </x:c>
      <x:c r="O15" s="25" t="str">
        <x:v>Chang, R., L. Kaltani y N. Loayza (2009): “Openness can be good for growth: The role of policy complementarities:” Journal of Development Economics, 90(1), pp. 33-49.</x:v>
      </x:c>
    </x:row>
    <x:row r="16" ht="48" customHeight="1">
      <x:c r="A16" s="24" t="str">
        <x:v>E01-R009</x:v>
      </x:c>
      <x:c r="B16" s="24" t="str">
        <x:v>E01</x:v>
      </x:c>
      <x:c r="C16" s="26" t="n">
        <x:v>9</x:v>
      </x:c>
      <x:c r="D16" s="26" t="n">
        <x:v>20</x:v>
      </x:c>
      <x:c r="E16" s="26" t="n">
        <x:v>20</x:v>
      </x:c>
      <x:c r="F16" s="26" t="str">
        <x:v>Charap</x:v>
      </x:c>
      <x:c r="G16" s="26" t="n">
        <x:v>2002</x:v>
      </x:c>
      <x:c r="H16" s="25" t="str">
        <x:v>Institutional corruption and the kleptocratic state</x:v>
      </x:c>
      <x:c r="I16" s="25" t="str"/>
      <x:c r="J16" s="25" t="str"/>
      <x:c r="K16" s="25" t="str">
        <x:v>automatic_screen_pass</x:v>
      </x:c>
      <x:c r="L16" s="25" t="str">
        <x:v>accepted</x:v>
      </x:c>
      <x:c r="M16" s="25" t="str">
        <x:v>no</x:v>
      </x:c>
      <x:c r="N16" s="25" t="str">
        <x:v>saki_research/pre_phd_papers/bigio_ramirez_corrupcion_indicadores_desarrollo_pery_mundo_revision_empirica.pdf</x:v>
      </x:c>
      <x:c r="O16" s="25" t="str">
        <x:v>Charap, J. y C. Harm (2002): “Institutional corruption and the kleptocratic state.” En: Governance, Corruption &amp; Economic Performance. Abed, G. y S. Gupta (eds.). Washington, D.C.: International Monetary Fund (IMF), pp. 135-58.</x:v>
      </x:c>
    </x:row>
    <x:row r="17" ht="48" customHeight="1">
      <x:c r="A17" s="24" t="str">
        <x:v>E01-R010</x:v>
      </x:c>
      <x:c r="B17" s="24" t="str">
        <x:v>E01</x:v>
      </x:c>
      <x:c r="C17" s="26" t="n">
        <x:v>10</x:v>
      </x:c>
      <x:c r="D17" s="26" t="n">
        <x:v>20</x:v>
      </x:c>
      <x:c r="E17" s="26" t="n">
        <x:v>20</x:v>
      </x:c>
      <x:c r="F17" s="26" t="str">
        <x:v>Easterly</x:v>
      </x:c>
      <x:c r="G17" s="26" t="n">
        <x:v>2001</x:v>
      </x:c>
      <x:c r="H17" s="25" t="str">
        <x:v>The Elusive Quest for Growth Economists</x:v>
      </x:c>
      <x:c r="I17" s="25" t="str"/>
      <x:c r="J17" s="25" t="str"/>
      <x:c r="K17" s="25" t="str">
        <x:v>automatic_screen_pass</x:v>
      </x:c>
      <x:c r="L17" s="25" t="str">
        <x:v>accepted</x:v>
      </x:c>
      <x:c r="M17" s="25" t="str">
        <x:v>no</x:v>
      </x:c>
      <x:c r="N17" s="25" t="str">
        <x:v>saki_research/pre_phd_papers/bigio_ramirez_corrupcion_indicadores_desarrollo_pery_mundo_revision_empirica.pdf</x:v>
      </x:c>
      <x:c r="O17" s="25" t="str">
        <x:v>Easterly, W. (2001): The Elusive Quest for Growth Economists. Cambridge, Mass.: The MIT Press.</x:v>
      </x:c>
    </x:row>
    <x:row r="18" ht="48" customHeight="1">
      <x:c r="A18" s="24" t="str">
        <x:v>E01-R011</x:v>
      </x:c>
      <x:c r="B18" s="24" t="str">
        <x:v>E01</x:v>
      </x:c>
      <x:c r="C18" s="26" t="n">
        <x:v>11</x:v>
      </x:c>
      <x:c r="D18" s="26" t="n">
        <x:v>20</x:v>
      </x:c>
      <x:c r="E18" s="26" t="n">
        <x:v>20</x:v>
      </x:c>
      <x:c r="F18" s="26" t="str">
        <x:v>Feenstra</x:v>
      </x:c>
      <x:c r="G18" s="26" t="n">
        <x:v>2015</x:v>
      </x:c>
      <x:c r="H18" s="25" t="str">
        <x:v>The Next Generation of the Penn World Table</x:v>
      </x:c>
      <x:c r="I18" s="25" t="str"/>
      <x:c r="J18" s="25" t="str"/>
      <x:c r="K18" s="25" t="str">
        <x:v>automatic_screen_pass</x:v>
      </x:c>
      <x:c r="L18" s="25" t="str">
        <x:v>accepted</x:v>
      </x:c>
      <x:c r="M18" s="25" t="str">
        <x:v>no</x:v>
      </x:c>
      <x:c r="N18" s="25" t="str">
        <x:v>saki_research/pre_phd_papers/bigio_ramirez_corrupcion_indicadores_desarrollo_pery_mundo_revision_empirica.pdf</x:v>
      </x:c>
      <x:c r="O18" s="25" t="str">
        <x:v>Feenstra, R.C., R. Inklaar y M.P. Timmer (2015): "The Next Generation of the Penn World Table." American Economic Review, 105(10), pp. 3150-3182.</x:v>
      </x:c>
    </x:row>
    <x:row r="19" ht="48" customHeight="1">
      <x:c r="A19" s="24" t="str">
        <x:v>E01-R012</x:v>
      </x:c>
      <x:c r="B19" s="24" t="str">
        <x:v>E01</x:v>
      </x:c>
      <x:c r="C19" s="26" t="n">
        <x:v>12</x:v>
      </x:c>
      <x:c r="D19" s="26" t="n">
        <x:v>20</x:v>
      </x:c>
      <x:c r="E19" s="26" t="n">
        <x:v>20</x:v>
      </x:c>
      <x:c r="F19" s="26" t="str">
        <x:v>Fisman</x:v>
      </x:c>
      <x:c r="G19" s="26" t="n">
        <x:v>2002</x:v>
      </x:c>
      <x:c r="H19" s="25" t="str">
        <x:v>Decentralization and corruption: Evidence across countries</x:v>
      </x:c>
      <x:c r="I19" s="25" t="str"/>
      <x:c r="J19" s="25" t="str"/>
      <x:c r="K19" s="25" t="str">
        <x:v>prior_manual_sample</x:v>
      </x:c>
      <x:c r="L19" s="25" t="str">
        <x:v>accepted</x:v>
      </x:c>
      <x:c r="M19" s="25" t="str">
        <x:v>no</x:v>
      </x:c>
      <x:c r="N19" s="25" t="str">
        <x:v>saki_research/pre_phd_papers/bigio_ramirez_corrupcion_indicadores_desarrollo_pery_mundo_revision_empirica.pdf</x:v>
      </x:c>
      <x:c r="O19" s="25" t="str">
        <x:v>Fisman, R. y R. Gatti (2002): “Decentralization and corruption: Evidence across countries.” Journal of Public Economics, 83(3), pp. 325-345.</x:v>
      </x:c>
    </x:row>
    <x:row r="20" ht="48" customHeight="1">
      <x:c r="A20" s="24" t="str">
        <x:v>E01-R013</x:v>
      </x:c>
      <x:c r="B20" s="24" t="str">
        <x:v>E01</x:v>
      </x:c>
      <x:c r="C20" s="26" t="n">
        <x:v>13</x:v>
      </x:c>
      <x:c r="D20" s="26" t="n">
        <x:v>20</x:v>
      </x:c>
      <x:c r="E20" s="26" t="n">
        <x:v>20</x:v>
      </x:c>
      <x:c r="F20" s="26" t="str">
        <x:v>Ghura</x:v>
      </x:c>
      <x:c r="G20" s="26" t="n">
        <x:v>2002</x:v>
      </x:c>
      <x:c r="H20" s="25" t="str">
        <x:v>Tax Revenue in Sub-Saharan Africa: Effects of economic policies and corruption</x:v>
      </x:c>
      <x:c r="I20" s="25" t="str"/>
      <x:c r="J20" s="25" t="str"/>
      <x:c r="K20" s="25" t="str">
        <x:v>automatic_screen_pass</x:v>
      </x:c>
      <x:c r="L20" s="25" t="str">
        <x:v>accepted</x:v>
      </x:c>
      <x:c r="M20" s="25" t="str">
        <x:v>no</x:v>
      </x:c>
      <x:c r="N20" s="25" t="str">
        <x:v>saki_research/pre_phd_papers/bigio_ramirez_corrupcion_indicadores_desarrollo_pery_mundo_revision_empirica.pdf</x:v>
      </x:c>
      <x:c r="O20" s="25" t="str">
        <x:v>Ghura, D. (2002): “Tax Revenue in Sub-Saharan Africa: Effects of economic policies and corruption.” En: Governance, Corruption &amp; Economic Performance. Abed, G. y S. Gupta (eds.). Washington, D.C.: International Monetary Fund (IMF), pp. 369-395.</x:v>
      </x:c>
    </x:row>
    <x:row r="21" ht="48" customHeight="1">
      <x:c r="A21" s="24" t="str">
        <x:v>E01-R014</x:v>
      </x:c>
      <x:c r="B21" s="24" t="str">
        <x:v>E01</x:v>
      </x:c>
      <x:c r="C21" s="26" t="n">
        <x:v>14</x:v>
      </x:c>
      <x:c r="D21" s="26" t="n">
        <x:v>20</x:v>
      </x:c>
      <x:c r="E21" s="26" t="n">
        <x:v>20</x:v>
      </x:c>
      <x:c r="F21" s="26" t="str">
        <x:v>Gray</x:v>
      </x:c>
      <x:c r="G21" s="26" t="n">
        <x:v>1998</x:v>
      </x:c>
      <x:c r="H21" s="25" t="str">
        <x:v>Corruption and Development</x:v>
      </x:c>
      <x:c r="I21" s="25" t="str"/>
      <x:c r="J21" s="25" t="str"/>
      <x:c r="K21" s="25" t="str">
        <x:v>automatic_screen_pass</x:v>
      </x:c>
      <x:c r="L21" s="25" t="str">
        <x:v>accepted</x:v>
      </x:c>
      <x:c r="M21" s="25" t="str">
        <x:v>no</x:v>
      </x:c>
      <x:c r="N21" s="25" t="str">
        <x:v>saki_research/pre_phd_papers/bigio_ramirez_corrupcion_indicadores_desarrollo_pery_mundo_revision_empirica.pdf</x:v>
      </x:c>
      <x:c r="O21" s="25" t="str">
        <x:v>Gray, C. W. y D. Kaufmann (1998): “Corruption and Development”. Finance &amp; Development, 35(1), pp. 7-10.</x:v>
      </x:c>
    </x:row>
    <x:row r="22" ht="48" customHeight="1">
      <x:c r="A22" s="24" t="str">
        <x:v>E01-R015</x:v>
      </x:c>
      <x:c r="B22" s="24" t="str">
        <x:v>E01</x:v>
      </x:c>
      <x:c r="C22" s="26" t="n">
        <x:v>15</x:v>
      </x:c>
      <x:c r="D22" s="26" t="n">
        <x:v>20</x:v>
      </x:c>
      <x:c r="E22" s="26" t="n">
        <x:v>20</x:v>
      </x:c>
      <x:c r="F22" s="26" t="str">
        <x:v>Gupta</x:v>
      </x:c>
      <x:c r="G22" s="26" t="n">
        <x:v>2002</x:v>
      </x:c>
      <x:c r="H22" s="25" t="str">
        <x:v>Does Corruption Affect Income Inequality and Poverty?</x:v>
      </x:c>
      <x:c r="I22" s="25" t="str"/>
      <x:c r="J22" s="25" t="str"/>
      <x:c r="K22" s="25" t="str">
        <x:v>automatic_screen_pass</x:v>
      </x:c>
      <x:c r="L22" s="25" t="str">
        <x:v>accepted</x:v>
      </x:c>
      <x:c r="M22" s="25" t="str">
        <x:v>no</x:v>
      </x:c>
      <x:c r="N22" s="25" t="str">
        <x:v>saki_research/pre_phd_papers/bigio_ramirez_corrupcion_indicadores_desarrollo_pery_mundo_revision_empirica.pdf</x:v>
      </x:c>
      <x:c r="O22" s="25" t="str">
        <x:v>Gupta, S., H. Davoodi y R. Alonso-Terme (2002): “Does Corruption Affect Income Inequality and Poverty?” En: Governance, Corruption &amp; Economic Performance. Abed, G. y S. Gupta (eds.). Washington, D.C.: International Monetary Fund (IMF), pp. 458-486.</x:v>
      </x:c>
    </x:row>
    <x:row r="23" ht="48" customHeight="1">
      <x:c r="A23" s="24" t="str">
        <x:v>E01-R016</x:v>
      </x:c>
      <x:c r="B23" s="24" t="str">
        <x:v>E01</x:v>
      </x:c>
      <x:c r="C23" s="26" t="n">
        <x:v>16</x:v>
      </x:c>
      <x:c r="D23" s="26" t="n">
        <x:v>20</x:v>
      </x:c>
      <x:c r="E23" s="26" t="n">
        <x:v>20</x:v>
      </x:c>
      <x:c r="F23" s="26" t="str">
        <x:v>Gupta</x:v>
      </x:c>
      <x:c r="G23" s="26" t="n">
        <x:v>2002</x:v>
      </x:c>
      <x:c r="H23" s="25" t="str">
        <x:v>Corruption and the Provision of Health Care and Education Services</x:v>
      </x:c>
      <x:c r="I23" s="25" t="str"/>
      <x:c r="J23" s="25" t="str"/>
      <x:c r="K23" s="25" t="str">
        <x:v>prior_manual_sample</x:v>
      </x:c>
      <x:c r="L23" s="25" t="str">
        <x:v>accepted</x:v>
      </x:c>
      <x:c r="M23" s="25" t="str">
        <x:v>no</x:v>
      </x:c>
      <x:c r="N23" s="25" t="str">
        <x:v>saki_research/pre_phd_papers/bigio_ramirez_corrupcion_indicadores_desarrollo_pery_mundo_revision_empirica.pdf</x:v>
      </x:c>
      <x:c r="O23" s="25" t="str">
        <x:v>Gupta, S., H. Davoodi y E. Tiongson (2002): “Corruption and the Provision of Health Care and Education Services.” En: Governance, Corruption &amp; Economic Performance Abed, G. y S. Gupta (eds.). Washington, D.C.: International Monetary Fund (IMF), pp. 245-279.</x:v>
      </x:c>
    </x:row>
    <x:row r="24" ht="48" customHeight="1">
      <x:c r="A24" s="24" t="str">
        <x:v>E01-R017</x:v>
      </x:c>
      <x:c r="B24" s="24" t="str">
        <x:v>E01</x:v>
      </x:c>
      <x:c r="C24" s="26" t="n">
        <x:v>17</x:v>
      </x:c>
      <x:c r="D24" s="26" t="n">
        <x:v>20</x:v>
      </x:c>
      <x:c r="E24" s="26" t="n">
        <x:v>20</x:v>
      </x:c>
      <x:c r="F24" s="26" t="str">
        <x:v>Gupta</x:v>
      </x:c>
      <x:c r="G24" s="26" t="n">
        <x:v>2001</x:v>
      </x:c>
      <x:c r="H24" s="25" t="str">
        <x:v>Corruption and Military Spending</x:v>
      </x:c>
      <x:c r="I24" s="25" t="str"/>
      <x:c r="J24" s="25" t="str"/>
      <x:c r="K24" s="25" t="str">
        <x:v>automatic_screen_pass</x:v>
      </x:c>
      <x:c r="L24" s="25" t="str">
        <x:v>accepted</x:v>
      </x:c>
      <x:c r="M24" s="25" t="str">
        <x:v>no</x:v>
      </x:c>
      <x:c r="N24" s="25" t="str">
        <x:v>saki_research/pre_phd_papers/bigio_ramirez_corrupcion_indicadores_desarrollo_pery_mundo_revision_empirica.pdf</x:v>
      </x:c>
      <x:c r="O24" s="25" t="str">
        <x:v>Gupta, S., L. De Mello y R. Sharan (2001): “Corruption and Military Spending.” European Journal of Political Economy, 17(4), pp.749-777.</x:v>
      </x:c>
    </x:row>
    <x:row r="25" ht="48" customHeight="1">
      <x:c r="A25" s="24" t="str">
        <x:v>E01-R018</x:v>
      </x:c>
      <x:c r="B25" s="24" t="str">
        <x:v>E01</x:v>
      </x:c>
      <x:c r="C25" s="26" t="n">
        <x:v>18</x:v>
      </x:c>
      <x:c r="D25" s="26" t="n">
        <x:v>20</x:v>
      </x:c>
      <x:c r="E25" s="26" t="n">
        <x:v>20</x:v>
      </x:c>
      <x:c r="F25" s="26" t="str">
        <x:v>Hindriks</x:v>
      </x:c>
      <x:c r="G25" s="26" t="n">
        <x:v>2002</x:v>
      </x:c>
      <x:c r="H25" s="25" t="str">
        <x:v>Corruption, Extortion and Evasion</x:v>
      </x:c>
      <x:c r="I25" s="25" t="str"/>
      <x:c r="J25" s="25" t="str"/>
      <x:c r="K25" s="25" t="str">
        <x:v>automatic_screen_pass</x:v>
      </x:c>
      <x:c r="L25" s="25" t="str">
        <x:v>accepted</x:v>
      </x:c>
      <x:c r="M25" s="25" t="str">
        <x:v>no</x:v>
      </x:c>
      <x:c r="N25" s="25" t="str">
        <x:v>saki_research/pre_phd_papers/bigio_ramirez_corrupcion_indicadores_desarrollo_pery_mundo_revision_empirica.pdf</x:v>
      </x:c>
      <x:c r="O25" s="25" t="str">
        <x:v>Hindriks, J., M. Keen y A. Muthoo (2002): “Corruption, Extortion and Evasion.” En: Governance, Corruption &amp; Economic Performance. Abed, G. y S. Gupta (eds.). Washington, D.C.: International Monetary Fund (IMF), pp. 396-436.</x:v>
      </x:c>
    </x:row>
    <x:row r="26" ht="48" customHeight="1">
      <x:c r="A26" s="24" t="str">
        <x:v>E01-R019</x:v>
      </x:c>
      <x:c r="B26" s="24" t="str">
        <x:v>E01</x:v>
      </x:c>
      <x:c r="C26" s="26" t="n">
        <x:v>19</x:v>
      </x:c>
      <x:c r="D26" s="26" t="n">
        <x:v>20</x:v>
      </x:c>
      <x:c r="E26" s="26" t="n">
        <x:v>20</x:v>
      </x:c>
      <x:c r="F26" s="26" t="str">
        <x:v>Islam</x:v>
      </x:c>
      <x:c r="G26" s="26" t="n">
        <x:v>2003</x:v>
      </x:c>
      <x:c r="H26" s="25" t="str">
        <x:v>Do More Transparent Government Govern Better?</x:v>
      </x:c>
      <x:c r="I26" s="25" t="str"/>
      <x:c r="J26" s="25" t="str"/>
      <x:c r="K26" s="25" t="str">
        <x:v>automatic_screen_pass</x:v>
      </x:c>
      <x:c r="L26" s="25" t="str">
        <x:v>accepted</x:v>
      </x:c>
      <x:c r="M26" s="25" t="str">
        <x:v>no</x:v>
      </x:c>
      <x:c r="N26" s="25" t="str">
        <x:v>saki_research/pre_phd_papers/bigio_ramirez_corrupcion_indicadores_desarrollo_pery_mundo_revision_empirica.pdf</x:v>
      </x:c>
      <x:c r="O26" s="25" t="str">
        <x:v>Islam, R. (2003) “Do More Transparent Government Govern Better?” Policy Research Working Paper 3077. Washington, D.C.: World Bank.</x:v>
      </x:c>
    </x:row>
    <x:row r="27" ht="48" customHeight="1">
      <x:c r="A27" s="24" t="str">
        <x:v>E01-R020</x:v>
      </x:c>
      <x:c r="B27" s="24" t="str">
        <x:v>E01</x:v>
      </x:c>
      <x:c r="C27" s="26" t="n">
        <x:v>20</x:v>
      </x:c>
      <x:c r="D27" s="26" t="n">
        <x:v>21</x:v>
      </x:c>
      <x:c r="E27" s="26" t="n">
        <x:v>21</x:v>
      </x:c>
      <x:c r="F27" s="26" t="str">
        <x:v>Islam</x:v>
      </x:c>
      <x:c r="G27" s="26" t="n">
        <x:v>2002</x:v>
      </x:c>
      <x:c r="H27" s="25" t="str">
        <x:v>What Determines the Quality of Institutions?</x:v>
      </x:c>
      <x:c r="I27" s="25" t="str"/>
      <x:c r="J27" s="25" t="str"/>
      <x:c r="K27" s="25" t="str">
        <x:v>automatic_screen_pass</x:v>
      </x:c>
      <x:c r="L27" s="25" t="str">
        <x:v>accepted</x:v>
      </x:c>
      <x:c r="M27" s="25" t="str">
        <x:v>no</x:v>
      </x:c>
      <x:c r="N27" s="25" t="str">
        <x:v>saki_research/pre_phd_papers/bigio_ramirez_corrupcion_indicadores_desarrollo_pery_mundo_revision_empirica.pdf</x:v>
      </x:c>
      <x:c r="O27" s="25" t="str">
        <x:v>Islam, R. y C. Montenegro (2002): “What Determines the Quality of Institutions?” Policy Research Working Paper 2764. Washington, D.C.: World Bank.</x:v>
      </x:c>
    </x:row>
    <x:row r="28" ht="48" customHeight="1">
      <x:c r="A28" s="24" t="str">
        <x:v>E01-R021</x:v>
      </x:c>
      <x:c r="B28" s="24" t="str">
        <x:v>E01</x:v>
      </x:c>
      <x:c r="C28" s="26" t="n">
        <x:v>21</x:v>
      </x:c>
      <x:c r="D28" s="26" t="n">
        <x:v>21</x:v>
      </x:c>
      <x:c r="E28" s="26" t="n">
        <x:v>21</x:v>
      </x:c>
      <x:c r="F28" s="26" t="str">
        <x:v>Jain</x:v>
      </x:c>
      <x:c r="G28" s="26" t="n">
        <x:v>2001</x:v>
      </x:c>
      <x:c r="H28" s="25" t="str">
        <x:v>Corruption: A Review</x:v>
      </x:c>
      <x:c r="I28" s="25" t="str"/>
      <x:c r="J28" s="25" t="str"/>
      <x:c r="K28" s="25" t="str">
        <x:v>automatic_screen_pass</x:v>
      </x:c>
      <x:c r="L28" s="25" t="str">
        <x:v>accepted</x:v>
      </x:c>
      <x:c r="M28" s="25" t="str">
        <x:v>no</x:v>
      </x:c>
      <x:c r="N28" s="25" t="str">
        <x:v>saki_research/pre_phd_papers/bigio_ramirez_corrupcion_indicadores_desarrollo_pery_mundo_revision_empirica.pdf</x:v>
      </x:c>
      <x:c r="O28" s="25" t="str">
        <x:v>Jain, A. (2001). “Corruption: A Review.” Journal of Economic Surveys, 15(1), pp. 71- 121.</x:v>
      </x:c>
    </x:row>
    <x:row r="29" ht="48" customHeight="1">
      <x:c r="A29" s="24" t="str">
        <x:v>E01-R022</x:v>
      </x:c>
      <x:c r="B29" s="24" t="str">
        <x:v>E01</x:v>
      </x:c>
      <x:c r="C29" s="26" t="n">
        <x:v>22</x:v>
      </x:c>
      <x:c r="D29" s="26" t="n">
        <x:v>21</x:v>
      </x:c>
      <x:c r="E29" s="26" t="n">
        <x:v>21</x:v>
      </x:c>
      <x:c r="F29" s="26" t="str">
        <x:v>Kaufmann</x:v>
      </x:c>
      <x:c r="G29" s="26" t="n">
        <x:v>2005</x:v>
      </x:c>
      <x:c r="H29" s="25" t="str">
        <x:v>Governance Matters IV: Governance Indicators for 1996-2004</x:v>
      </x:c>
      <x:c r="I29" s="25" t="str"/>
      <x:c r="J29" s="25" t="str"/>
      <x:c r="K29" s="25" t="str">
        <x:v>prior_manual_sample</x:v>
      </x:c>
      <x:c r="L29" s="25" t="str">
        <x:v>accepted</x:v>
      </x:c>
      <x:c r="M29" s="25" t="str">
        <x:v>sí</x:v>
      </x:c>
      <x:c r="N29" s="25" t="str">
        <x:v>saki_research/pre_phd_papers/bigio_ramirez_corrupcion_indicadores_desarrollo_pery_mundo_revision_empirica.pdf</x:v>
      </x:c>
      <x:c r="O29" s="25" t="str">
        <x:v>Kaufmann, D., A. Kraay y M. Mastruzzi (2005): Governance Matters IV: Governance Indicators for 1996-2004. Washington, D.C.: The World Bank.</x:v>
      </x:c>
    </x:row>
    <x:row r="30" ht="48" customHeight="1">
      <x:c r="A30" s="24" t="str">
        <x:v>E01-R023</x:v>
      </x:c>
      <x:c r="B30" s="24" t="str">
        <x:v>E01</x:v>
      </x:c>
      <x:c r="C30" s="26" t="n">
        <x:v>23</x:v>
      </x:c>
      <x:c r="D30" s="26" t="n">
        <x:v>21</x:v>
      </x:c>
      <x:c r="E30" s="26" t="n">
        <x:v>21</x:v>
      </x:c>
      <x:c r="F30" s="26" t="str">
        <x:v>Kaufmann</x:v>
      </x:c>
      <x:c r="G30" s="26" t="n">
        <x:v>2000</x:v>
      </x:c>
      <x:c r="H30" s="25" t="str">
        <x:v>Does ‘Grease Money’ Speed Up the Wheels of Commerce?</x:v>
      </x:c>
      <x:c r="I30" s="25" t="str"/>
      <x:c r="J30" s="25" t="str"/>
      <x:c r="K30" s="25" t="str">
        <x:v>automatic_screen_pass</x:v>
      </x:c>
      <x:c r="L30" s="25" t="str">
        <x:v>accepted</x:v>
      </x:c>
      <x:c r="M30" s="25" t="str">
        <x:v>no</x:v>
      </x:c>
      <x:c r="N30" s="25" t="str">
        <x:v>saki_research/pre_phd_papers/bigio_ramirez_corrupcion_indicadores_desarrollo_pery_mundo_revision_empirica.pdf</x:v>
      </x:c>
      <x:c r="O30" s="25" t="str">
        <x:v>Kaufmann, D. y S.-J. Wei (2000): “Does ‘Grease Money’ Speed Up the Wheels of Commerce?” IMF Working Paper 00/64. Washington, D.C.: International Monetary Fund (IMF).</x:v>
      </x:c>
    </x:row>
    <x:row r="31" ht="48" customHeight="1">
      <x:c r="A31" s="24" t="str">
        <x:v>E01-R024</x:v>
      </x:c>
      <x:c r="B31" s="24" t="str">
        <x:v>E01</x:v>
      </x:c>
      <x:c r="C31" s="26" t="n">
        <x:v>24</x:v>
      </x:c>
      <x:c r="D31" s="26" t="n">
        <x:v>21</x:v>
      </x:c>
      <x:c r="E31" s="26" t="n">
        <x:v>21</x:v>
      </x:c>
      <x:c r="F31" s="26" t="str">
        <x:v>La Porta</x:v>
      </x:c>
      <x:c r="G31" s="26" t="n">
        <x:v>1999</x:v>
      </x:c>
      <x:c r="H31" s="25" t="str">
        <x:v>The Quality of Government</x:v>
      </x:c>
      <x:c r="I31" s="25" t="str"/>
      <x:c r="J31" s="25" t="str"/>
      <x:c r="K31" s="25" t="str">
        <x:v>automatic_screen_pass</x:v>
      </x:c>
      <x:c r="L31" s="25" t="str">
        <x:v>accepted</x:v>
      </x:c>
      <x:c r="M31" s="25" t="str">
        <x:v>no</x:v>
      </x:c>
      <x:c r="N31" s="25" t="str">
        <x:v>saki_research/pre_phd_papers/bigio_ramirez_corrupcion_indicadores_desarrollo_pery_mundo_revision_empirica.pdf</x:v>
      </x:c>
      <x:c r="O31" s="25" t="str">
        <x:v>La Porta, R.; F. Lopez de Silanes; A. Shleifer y R. Vishny (1999): “The Quality of Government.” Journal of Law, Economics and Organization, 15(1), pp. 222-279.</x:v>
      </x:c>
    </x:row>
    <x:row r="32" ht="48" customHeight="1">
      <x:c r="A32" s="24" t="str">
        <x:v>E01-R025</x:v>
      </x:c>
      <x:c r="B32" s="24" t="str">
        <x:v>E01</x:v>
      </x:c>
      <x:c r="C32" s="26" t="n">
        <x:v>25</x:v>
      </x:c>
      <x:c r="D32" s="26" t="n">
        <x:v>21</x:v>
      </x:c>
      <x:c r="E32" s="26" t="n">
        <x:v>21</x:v>
      </x:c>
      <x:c r="F32" s="26" t="str">
        <x:v>Lederman</x:v>
      </x:c>
      <x:c r="G32" s="26" t="n">
        <x:v>2005</x:v>
      </x:c>
      <x:c r="H32" s="25" t="str">
        <x:v>Accountability and Corruption: Political Institutions Matter</x:v>
      </x:c>
      <x:c r="I32" s="25" t="str"/>
      <x:c r="J32" s="25" t="str"/>
      <x:c r="K32" s="25" t="str">
        <x:v>automatic_screen_pass</x:v>
      </x:c>
      <x:c r="L32" s="25" t="str">
        <x:v>accepted</x:v>
      </x:c>
      <x:c r="M32" s="25" t="str">
        <x:v>no</x:v>
      </x:c>
      <x:c r="N32" s="25" t="str">
        <x:v>saki_research/pre_phd_papers/bigio_ramirez_corrupcion_indicadores_desarrollo_pery_mundo_revision_empirica.pdf</x:v>
      </x:c>
      <x:c r="O32" s="25" t="str">
        <x:v>Lederman, D., N. Loayza y R. R., Soares (2005): “Accountability and Corruption: Political Institutions Matter.” Economics &amp; Politics, 17(1), pp. 1-35.</x:v>
      </x:c>
    </x:row>
    <x:row r="33" ht="48" customHeight="1">
      <x:c r="A33" s="24" t="str">
        <x:v>E01-R026</x:v>
      </x:c>
      <x:c r="B33" s="24" t="str">
        <x:v>E01</x:v>
      </x:c>
      <x:c r="C33" s="26" t="n">
        <x:v>26</x:v>
      </x:c>
      <x:c r="D33" s="26" t="n">
        <x:v>21</x:v>
      </x:c>
      <x:c r="E33" s="26" t="n">
        <x:v>21</x:v>
      </x:c>
      <x:c r="F33" s="26" t="str">
        <x:v>Leite</x:v>
      </x:c>
      <x:c r="G33" s="26" t="n">
        <x:v>2002</x:v>
      </x:c>
      <x:c r="H33" s="25" t="str">
        <x:v>Does Mother Nature Corrupt? Natural Resources, Corruption and Economic Growth</x:v>
      </x:c>
      <x:c r="I33" s="25" t="str"/>
      <x:c r="J33" s="25" t="str"/>
      <x:c r="K33" s="25" t="str">
        <x:v>automatic_screen_pass</x:v>
      </x:c>
      <x:c r="L33" s="25" t="str">
        <x:v>accepted</x:v>
      </x:c>
      <x:c r="M33" s="25" t="str">
        <x:v>no</x:v>
      </x:c>
      <x:c r="N33" s="25" t="str">
        <x:v>saki_research/pre_phd_papers/bigio_ramirez_corrupcion_indicadores_desarrollo_pery_mundo_revision_empirica.pdf</x:v>
      </x:c>
      <x:c r="O33" s="25" t="str">
        <x:v>Leite, C. y J. Weidmann (2002): “Does Mother Nature Corrupt? Natural Resources, Corruption and Economic Growth.” En: Governance, Corruption &amp; Economic Performance. Abed, G. y S. Gupta (eds.). Washington, D.C.: International Monetary Fund (IMF), pp. 159-196.</x:v>
      </x:c>
    </x:row>
    <x:row r="34" ht="48" customHeight="1">
      <x:c r="A34" s="24" t="str">
        <x:v>E01-R027</x:v>
      </x:c>
      <x:c r="B34" s="24" t="str">
        <x:v>E01</x:v>
      </x:c>
      <x:c r="C34" s="26" t="n">
        <x:v>27</x:v>
      </x:c>
      <x:c r="D34" s="26" t="n">
        <x:v>21</x:v>
      </x:c>
      <x:c r="E34" s="26" t="n">
        <x:v>21</x:v>
      </x:c>
      <x:c r="F34" s="26" t="str">
        <x:v>Levine</x:v>
      </x:c>
      <x:c r="G34" s="26" t="n">
        <x:v>1992</x:v>
      </x:c>
      <x:c r="H34" s="25" t="str">
        <x:v>A Sensitivity Analysis of Cross-country Growth Regressions</x:v>
      </x:c>
      <x:c r="I34" s="25" t="str"/>
      <x:c r="J34" s="25" t="str"/>
      <x:c r="K34" s="25" t="str">
        <x:v>automatic_screen_pass</x:v>
      </x:c>
      <x:c r="L34" s="25" t="str">
        <x:v>accepted</x:v>
      </x:c>
      <x:c r="M34" s="25" t="str">
        <x:v>no</x:v>
      </x:c>
      <x:c r="N34" s="25" t="str">
        <x:v>saki_research/pre_phd_papers/bigio_ramirez_corrupcion_indicadores_desarrollo_pery_mundo_revision_empirica.pdf</x:v>
      </x:c>
      <x:c r="O34" s="25" t="str">
        <x:v>Levine, R. y D. Renelt (1992): “A Sensitivity Analysis of Cross-country Growth Regressions.” American Economic Review, 82(4), pp. 688-726.</x:v>
      </x:c>
    </x:row>
    <x:row r="35" ht="48" customHeight="1">
      <x:c r="A35" s="24" t="str">
        <x:v>E01-R028</x:v>
      </x:c>
      <x:c r="B35" s="24" t="str">
        <x:v>E01</x:v>
      </x:c>
      <x:c r="C35" s="26" t="n">
        <x:v>28</x:v>
      </x:c>
      <x:c r="D35" s="26" t="n">
        <x:v>21</x:v>
      </x:c>
      <x:c r="E35" s="26" t="n">
        <x:v>21</x:v>
      </x:c>
      <x:c r="F35" s="26" t="str">
        <x:v>Llosa</x:v>
      </x:c>
      <x:c r="G35" s="26" t="n">
        <x:v>2015</x:v>
      </x:c>
      <x:c r="H35" s="25" t="str">
        <x:v>La gran depresión de la economía peruana: ¿Una tormenta perfecta?</x:v>
      </x:c>
      <x:c r="I35" s="25" t="str"/>
      <x:c r="J35" s="25" t="str"/>
      <x:c r="K35" s="25" t="str">
        <x:v>automatic_screen_pass</x:v>
      </x:c>
      <x:c r="L35" s="25" t="str">
        <x:v>accepted</x:v>
      </x:c>
      <x:c r="M35" s="25" t="str">
        <x:v>no</x:v>
      </x:c>
      <x:c r="N35" s="25" t="str">
        <x:v>saki_research/pre_phd_papers/bigio_ramirez_corrupcion_indicadores_desarrollo_pery_mundo_revision_empirica.pdf</x:v>
      </x:c>
      <x:c r="O35" s="25" t="str">
        <x:v>Llosa, L.G. y U. Panizza (2015): “La gran depresión de la economía peruana: ¿Una tormenta perfecta?” Revista Estudios Económicos, 30, pp. 91-117.</x:v>
      </x:c>
    </x:row>
    <x:row r="36" ht="48" customHeight="1">
      <x:c r="A36" s="24" t="str">
        <x:v>E01-R029</x:v>
      </x:c>
      <x:c r="B36" s="24" t="str">
        <x:v>E01</x:v>
      </x:c>
      <x:c r="C36" s="26" t="n">
        <x:v>29</x:v>
      </x:c>
      <x:c r="D36" s="26" t="n">
        <x:v>21</x:v>
      </x:c>
      <x:c r="E36" s="26" t="n">
        <x:v>21</x:v>
      </x:c>
      <x:c r="F36" s="26" t="str">
        <x:v>Loayza</x:v>
      </x:c>
      <x:c r="G36" s="26" t="n">
        <x:v>2005</x:v>
      </x:c>
      <x:c r="H36" s="25" t="str">
        <x:v>Economic Growth in Latin America and the Caribbean. Stylized Facts, Explanations and Forecasts</x:v>
      </x:c>
      <x:c r="I36" s="25" t="str"/>
      <x:c r="J36" s="25" t="str"/>
      <x:c r="K36" s="25" t="str">
        <x:v>automatic_screen_pass</x:v>
      </x:c>
      <x:c r="L36" s="25" t="str">
        <x:v>accepted</x:v>
      </x:c>
      <x:c r="M36" s="25" t="str">
        <x:v>no</x:v>
      </x:c>
      <x:c r="N36" s="25" t="str">
        <x:v>saki_research/pre_phd_papers/bigio_ramirez_corrupcion_indicadores_desarrollo_pery_mundo_revision_empirica.pdf</x:v>
      </x:c>
      <x:c r="O36" s="25" t="str">
        <x:v>Loayza, N.; Fajnzylber, P. y Calderón, C. (2005): “Economic Growth in Latin America and the Caribbean. Stylized Facts, Explanations and Forecasts.” Washington: World Bank Publications.</x:v>
      </x:c>
    </x:row>
    <x:row r="37" ht="48" customHeight="1">
      <x:c r="A37" s="24" t="str">
        <x:v>E01-R030</x:v>
      </x:c>
      <x:c r="B37" s="24" t="str">
        <x:v>E01</x:v>
      </x:c>
      <x:c r="C37" s="26" t="n">
        <x:v>30</x:v>
      </x:c>
      <x:c r="D37" s="26" t="n">
        <x:v>21</x:v>
      </x:c>
      <x:c r="E37" s="26" t="n">
        <x:v>21</x:v>
      </x:c>
      <x:c r="F37" s="26" t="str">
        <x:v>Mauro</x:v>
      </x:c>
      <x:c r="G37" s="26" t="n">
        <x:v>1995</x:v>
      </x:c>
      <x:c r="H37" s="25" t="str">
        <x:v>Corruption and Growth</x:v>
      </x:c>
      <x:c r="I37" s="25" t="str"/>
      <x:c r="J37" s="25" t="str"/>
      <x:c r="K37" s="25" t="str">
        <x:v>prior_manual_sample</x:v>
      </x:c>
      <x:c r="L37" s="25" t="str">
        <x:v>accepted</x:v>
      </x:c>
      <x:c r="M37" s="25" t="str">
        <x:v>no</x:v>
      </x:c>
      <x:c r="N37" s="25" t="str">
        <x:v>saki_research/pre_phd_papers/bigio_ramirez_corrupcion_indicadores_desarrollo_pery_mundo_revision_empirica.pdf</x:v>
      </x:c>
      <x:c r="O37" s="25" t="str">
        <x:v>Mauro, P. (1995): “Corruption and Growth.” Quarterly Journal of Economics, 110(3), pp. 681-712.</x:v>
      </x:c>
    </x:row>
    <x:row r="38" ht="48" customHeight="1">
      <x:c r="A38" s="24" t="str">
        <x:v>E01-R031</x:v>
      </x:c>
      <x:c r="B38" s="24" t="str">
        <x:v>E01</x:v>
      </x:c>
      <x:c r="C38" s="26" t="n">
        <x:v>31</x:v>
      </x:c>
      <x:c r="D38" s="26" t="n">
        <x:v>21</x:v>
      </x:c>
      <x:c r="E38" s="26" t="n">
        <x:v>21</x:v>
      </x:c>
      <x:c r="F38" s="26" t="str">
        <x:v>Mauro</x:v>
      </x:c>
      <x:c r="G38" s="26" t="n">
        <x:v>1996</x:v>
      </x:c>
      <x:c r="H38" s="25" t="str">
        <x:v>The Effects of Corruption on Growth, Investment, and Government Expenditure</x:v>
      </x:c>
      <x:c r="I38" s="25" t="str"/>
      <x:c r="J38" s="25" t="str"/>
      <x:c r="K38" s="25" t="str">
        <x:v>automatic_screen_pass</x:v>
      </x:c>
      <x:c r="L38" s="25" t="str">
        <x:v>accepted</x:v>
      </x:c>
      <x:c r="M38" s="25" t="str">
        <x:v>no</x:v>
      </x:c>
      <x:c r="N38" s="25" t="str">
        <x:v>saki_research/pre_phd_papers/bigio_ramirez_corrupcion_indicadores_desarrollo_pery_mundo_revision_empirica.pdf</x:v>
      </x:c>
      <x:c r="O38" s="25" t="str">
        <x:v>Mauro, P. (1996): “The Effects of Corruption on Growth, Investment, and Government Expenditure.” IMF Working Papers 1996/98. Washington, D.C.: International Monetary Fund (IMF).</x:v>
      </x:c>
    </x:row>
    <x:row r="39" ht="48" customHeight="1">
      <x:c r="A39" s="24" t="str">
        <x:v>E01-R032</x:v>
      </x:c>
      <x:c r="B39" s="24" t="str">
        <x:v>E01</x:v>
      </x:c>
      <x:c r="C39" s="26" t="n">
        <x:v>32</x:v>
      </x:c>
      <x:c r="D39" s="26" t="n">
        <x:v>21</x:v>
      </x:c>
      <x:c r="E39" s="26" t="n">
        <x:v>21</x:v>
      </x:c>
      <x:c r="F39" s="26" t="str">
        <x:v>Mauro</x:v>
      </x:c>
      <x:c r="G39" s="26" t="n">
        <x:v>1998</x:v>
      </x:c>
      <x:c r="H39" s="25" t="str">
        <x:v>Corruption and the Composition of Government Expenditure</x:v>
      </x:c>
      <x:c r="I39" s="25" t="str"/>
      <x:c r="J39" s="25" t="str"/>
      <x:c r="K39" s="25" t="str">
        <x:v>automatic_screen_pass</x:v>
      </x:c>
      <x:c r="L39" s="25" t="str">
        <x:v>accepted</x:v>
      </x:c>
      <x:c r="M39" s="25" t="str">
        <x:v>no</x:v>
      </x:c>
      <x:c r="N39" s="25" t="str">
        <x:v>saki_research/pre_phd_papers/bigio_ramirez_corrupcion_indicadores_desarrollo_pery_mundo_revision_empirica.pdf</x:v>
      </x:c>
      <x:c r="O39" s="25" t="str">
        <x:v>Mauro, P. (1998a): “Corruption and the Composition of Government Expenditure.” Journal of Public Economics, 69(2), pp. 263-279.</x:v>
      </x:c>
    </x:row>
    <x:row r="40" ht="48" customHeight="1">
      <x:c r="A40" s="24" t="str">
        <x:v>E01-R033</x:v>
      </x:c>
      <x:c r="B40" s="24" t="str">
        <x:v>E01</x:v>
      </x:c>
      <x:c r="C40" s="26" t="n">
        <x:v>33</x:v>
      </x:c>
      <x:c r="D40" s="26" t="n">
        <x:v>21</x:v>
      </x:c>
      <x:c r="E40" s="26" t="n">
        <x:v>21</x:v>
      </x:c>
      <x:c r="F40" s="26" t="str">
        <x:v>Mauro</x:v>
      </x:c>
      <x:c r="G40" s="26" t="n">
        <x:v>1998</x:v>
      </x:c>
      <x:c r="H40" s="25" t="str">
        <x:v>Corruption: Causes, consequences and agenda for further research</x:v>
      </x:c>
      <x:c r="I40" s="25" t="str"/>
      <x:c r="J40" s="25" t="str"/>
      <x:c r="K40" s="25" t="str">
        <x:v>automatic_screen_pass</x:v>
      </x:c>
      <x:c r="L40" s="25" t="str">
        <x:v>accepted</x:v>
      </x:c>
      <x:c r="M40" s="25" t="str">
        <x:v>no</x:v>
      </x:c>
      <x:c r="N40" s="25" t="str">
        <x:v>saki_research/pre_phd_papers/bigio_ramirez_corrupcion_indicadores_desarrollo_pery_mundo_revision_empirica.pdf</x:v>
      </x:c>
      <x:c r="O40" s="25" t="str">
        <x:v>Mauro, P. (1998b): “Corruption: Causes, consequences and agenda for further research.” Finance &amp; Development, 35(1), pp.11-14.</x:v>
      </x:c>
    </x:row>
    <x:row r="41" ht="48" customHeight="1">
      <x:c r="A41" s="24" t="str">
        <x:v>E01-R034</x:v>
      </x:c>
      <x:c r="B41" s="24" t="str">
        <x:v>E01</x:v>
      </x:c>
      <x:c r="C41" s="26" t="n">
        <x:v>34</x:v>
      </x:c>
      <x:c r="D41" s="26" t="n">
        <x:v>21</x:v>
      </x:c>
      <x:c r="E41" s="26" t="n">
        <x:v>21</x:v>
      </x:c>
      <x:c r="F41" s="26" t="str">
        <x:v>Murphy</x:v>
      </x:c>
      <x:c r="G41" s="26" t="n">
        <x:v>1991</x:v>
      </x:c>
      <x:c r="H41" s="25" t="str">
        <x:v>The Allocation of Talent: Implications for Growth</x:v>
      </x:c>
      <x:c r="I41" s="25" t="str"/>
      <x:c r="J41" s="25" t="str"/>
      <x:c r="K41" s="25" t="str">
        <x:v>prior_manual_sample</x:v>
      </x:c>
      <x:c r="L41" s="25" t="str">
        <x:v>accepted</x:v>
      </x:c>
      <x:c r="M41" s="25" t="str">
        <x:v>no</x:v>
      </x:c>
      <x:c r="N41" s="25" t="str">
        <x:v>saki_research/pre_phd_papers/bigio_ramirez_corrupcion_indicadores_desarrollo_pery_mundo_revision_empirica.pdf</x:v>
      </x:c>
      <x:c r="O41" s="25" t="str">
        <x:v>Murphy, K., A. Shleifer, y R. Vishny (1991): “The Allocation of Talent: Implications for Growth.” Quarterly Journal of Economics, 106(2), pp.503-530.</x:v>
      </x:c>
    </x:row>
    <x:row r="42" ht="48" customHeight="1">
      <x:c r="A42" s="24" t="str">
        <x:v>E01-R035</x:v>
      </x:c>
      <x:c r="B42" s="24" t="str">
        <x:v>E01</x:v>
      </x:c>
      <x:c r="C42" s="26" t="n">
        <x:v>35</x:v>
      </x:c>
      <x:c r="D42" s="26" t="n">
        <x:v>21</x:v>
      </x:c>
      <x:c r="E42" s="26" t="n">
        <x:v>21</x:v>
      </x:c>
      <x:c r="F42" s="26" t="str">
        <x:v>Myint</x:v>
      </x:c>
      <x:c r="G42" s="26" t="n">
        <x:v>2000</x:v>
      </x:c>
      <x:c r="H42" s="25" t="str">
        <x:v>Corruption: Causes, Consequences and Cures</x:v>
      </x:c>
      <x:c r="I42" s="25" t="str"/>
      <x:c r="J42" s="25" t="str"/>
      <x:c r="K42" s="25" t="str">
        <x:v>automatic_screen_pass</x:v>
      </x:c>
      <x:c r="L42" s="25" t="str">
        <x:v>accepted</x:v>
      </x:c>
      <x:c r="M42" s="25" t="str">
        <x:v>no</x:v>
      </x:c>
      <x:c r="N42" s="25" t="str">
        <x:v>saki_research/pre_phd_papers/bigio_ramirez_corrupcion_indicadores_desarrollo_pery_mundo_revision_empirica.pdf</x:v>
      </x:c>
      <x:c r="O42" s="25" t="str">
        <x:v>Myint, U. (2000): “Corruption: Causes, Consequences and Cures.” Asia-Pacific Development Journal, 7(2), pp. 33-58.</x:v>
      </x:c>
    </x:row>
    <x:row r="43" ht="48" customHeight="1">
      <x:c r="A43" s="24" t="str">
        <x:v>E01-R036</x:v>
      </x:c>
      <x:c r="B43" s="24" t="str">
        <x:v>E01</x:v>
      </x:c>
      <x:c r="C43" s="26" t="n">
        <x:v>36</x:v>
      </x:c>
      <x:c r="D43" s="26" t="n">
        <x:v>21</x:v>
      </x:c>
      <x:c r="E43" s="26" t="n">
        <x:v>21</x:v>
      </x:c>
      <x:c r="F43" s="26" t="str">
        <x:v>Persson</x:v>
      </x:c>
      <x:c r="G43" s="26" t="n">
        <x:v>2002</x:v>
      </x:c>
      <x:c r="H43" s="25" t="str">
        <x:v>Do Political Institutions Shape Economic Policy?</x:v>
      </x:c>
      <x:c r="I43" s="25" t="str"/>
      <x:c r="J43" s="25" t="str"/>
      <x:c r="K43" s="25" t="str">
        <x:v>prior_manual_sample</x:v>
      </x:c>
      <x:c r="L43" s="25" t="str">
        <x:v>accepted</x:v>
      </x:c>
      <x:c r="M43" s="25" t="str">
        <x:v>no</x:v>
      </x:c>
      <x:c r="N43" s="25" t="str">
        <x:v>saki_research/pre_phd_papers/bigio_ramirez_corrupcion_indicadores_desarrollo_pery_mundo_revision_empirica.pdf</x:v>
      </x:c>
      <x:c r="O43" s="25" t="str">
        <x:v>Persson, T. (2002): “Do Political Institutions Shape Economic Policy?” Econometrica, 70(3), pp. 883-905.</x:v>
      </x:c>
    </x:row>
    <x:row r="44" ht="48" customHeight="1">
      <x:c r="A44" s="24" t="str">
        <x:v>E01-R037</x:v>
      </x:c>
      <x:c r="B44" s="24" t="str">
        <x:v>E01</x:v>
      </x:c>
      <x:c r="C44" s="26" t="n">
        <x:v>37</x:v>
      </x:c>
      <x:c r="D44" s="26" t="n">
        <x:v>21</x:v>
      </x:c>
      <x:c r="E44" s="26" t="n">
        <x:v>21</x:v>
      </x:c>
      <x:c r="F44" s="26" t="str">
        <x:v>Rose-Ackerman</x:v>
      </x:c>
      <x:c r="G44" s="26" t="n">
        <x:v>1997</x:v>
      </x:c>
      <x:c r="H44" s="25" t="str">
        <x:v>Corruption and Development</x:v>
      </x:c>
      <x:c r="I44" s="25" t="str"/>
      <x:c r="J44" s="25" t="str"/>
      <x:c r="K44" s="25" t="str">
        <x:v>automatic_screen_pass</x:v>
      </x:c>
      <x:c r="L44" s="25" t="str">
        <x:v>accepted</x:v>
      </x:c>
      <x:c r="M44" s="25" t="str">
        <x:v>no</x:v>
      </x:c>
      <x:c r="N44" s="25" t="str">
        <x:v>saki_research/pre_phd_papers/bigio_ramirez_corrupcion_indicadores_desarrollo_pery_mundo_revision_empirica.pdf</x:v>
      </x:c>
      <x:c r="O44" s="25" t="str">
        <x:v>Rose-Ackerman, S. (1997): “Corruption and Development.” Trabajo presentado en The Annual Bank Conference on Development Economics, Washington, D.C., EE.UU.</x:v>
      </x:c>
    </x:row>
    <x:row r="45" ht="48" customHeight="1">
      <x:c r="A45" s="24" t="str">
        <x:v>E01-R038</x:v>
      </x:c>
      <x:c r="B45" s="24" t="str">
        <x:v>E01</x:v>
      </x:c>
      <x:c r="C45" s="26" t="n">
        <x:v>38</x:v>
      </x:c>
      <x:c r="D45" s="26" t="n">
        <x:v>21</x:v>
      </x:c>
      <x:c r="E45" s="26" t="n">
        <x:v>21</x:v>
      </x:c>
      <x:c r="F45" s="26" t="str">
        <x:v>Sachs</x:v>
      </x:c>
      <x:c r="G45" s="26" t="n">
        <x:v>1995</x:v>
      </x:c>
      <x:c r="H45" s="25" t="str">
        <x:v>Natural Resource Abundance and Economic Growth</x:v>
      </x:c>
      <x:c r="I45" s="25" t="str"/>
      <x:c r="J45" s="25" t="str"/>
      <x:c r="K45" s="25" t="str">
        <x:v>automatic_screen_pass</x:v>
      </x:c>
      <x:c r="L45" s="25" t="str">
        <x:v>accepted</x:v>
      </x:c>
      <x:c r="M45" s="25" t="str">
        <x:v>no</x:v>
      </x:c>
      <x:c r="N45" s="25" t="str">
        <x:v>saki_research/pre_phd_papers/bigio_ramirez_corrupcion_indicadores_desarrollo_pery_mundo_revision_empirica.pdf</x:v>
      </x:c>
      <x:c r="O45" s="25" t="str">
        <x:v>Sachs, J. y A. Warner (1995): “Natural Resource Abundance and Economic Growth.” NBER Working paper 5398.</x:v>
      </x:c>
    </x:row>
    <x:row r="46" ht="48" customHeight="1">
      <x:c r="A46" s="24" t="str">
        <x:v>E01-R039</x:v>
      </x:c>
      <x:c r="B46" s="24" t="str">
        <x:v>E01</x:v>
      </x:c>
      <x:c r="C46" s="26" t="n">
        <x:v>39</x:v>
      </x:c>
      <x:c r="D46" s="26" t="n">
        <x:v>21</x:v>
      </x:c>
      <x:c r="E46" s="26" t="n">
        <x:v>21</x:v>
      </x:c>
      <x:c r="F46" s="26" t="str">
        <x:v>Sala-i-Martin</x:v>
      </x:c>
      <x:c r="G46" s="26" t="n">
        <x:v>2003</x:v>
      </x:c>
      <x:c r="H46" s="25" t="str">
        <x:v>Addressing the Natural Resource Curse: An Illustration from Nigeria</x:v>
      </x:c>
      <x:c r="I46" s="25" t="str"/>
      <x:c r="J46" s="25" t="str"/>
      <x:c r="K46" s="25" t="str">
        <x:v>automatic_screen_pass</x:v>
      </x:c>
      <x:c r="L46" s="25" t="str">
        <x:v>accepted</x:v>
      </x:c>
      <x:c r="M46" s="25" t="str">
        <x:v>no</x:v>
      </x:c>
      <x:c r="N46" s="25" t="str">
        <x:v>saki_research/pre_phd_papers/bigio_ramirez_corrupcion_indicadores_desarrollo_pery_mundo_revision_empirica.pdf</x:v>
      </x:c>
      <x:c r="O46" s="25" t="str">
        <x:v>Sala-i-Martin, X. y A. Subramanian (2003): “Addressing the Natural Resource Curse: An Illustration from Nigeria.” Journal of African Economies, 4(1), pp. 570-615.</x:v>
      </x:c>
    </x:row>
    <x:row r="47" ht="48" customHeight="1">
      <x:c r="A47" s="24" t="str">
        <x:v>E01-R040</x:v>
      </x:c>
      <x:c r="B47" s="24" t="str">
        <x:v>E01</x:v>
      </x:c>
      <x:c r="C47" s="26" t="n">
        <x:v>40</x:v>
      </x:c>
      <x:c r="D47" s="26" t="n">
        <x:v>21</x:v>
      </x:c>
      <x:c r="E47" s="26" t="n">
        <x:v>21</x:v>
      </x:c>
      <x:c r="F47" s="26" t="str">
        <x:v>Shleifer</x:v>
      </x:c>
      <x:c r="G47" s="26" t="n">
        <x:v>1993</x:v>
      </x:c>
      <x:c r="H47" s="25" t="str">
        <x:v>Corruption</x:v>
      </x:c>
      <x:c r="I47" s="25" t="str"/>
      <x:c r="J47" s="25" t="str"/>
      <x:c r="K47" s="25" t="str">
        <x:v>automatic_screen_pass</x:v>
      </x:c>
      <x:c r="L47" s="25" t="str">
        <x:v>accepted</x:v>
      </x:c>
      <x:c r="M47" s="25" t="str">
        <x:v>no</x:v>
      </x:c>
      <x:c r="N47" s="25" t="str">
        <x:v>saki_research/pre_phd_papers/bigio_ramirez_corrupcion_indicadores_desarrollo_pery_mundo_revision_empirica.pdf</x:v>
      </x:c>
      <x:c r="O47" s="25" t="str">
        <x:v>Shleifer, A. y R. Vishny (1993): “Corruption.” Quarterly Journal of Economics, 108(3), pp. 599-617.</x:v>
      </x:c>
    </x:row>
    <x:row r="48" ht="48" customHeight="1">
      <x:c r="A48" s="24" t="str">
        <x:v>E01-R041</x:v>
      </x:c>
      <x:c r="B48" s="24" t="str">
        <x:v>E01</x:v>
      </x:c>
      <x:c r="C48" s="26" t="n">
        <x:v>41</x:v>
      </x:c>
      <x:c r="D48" s="26" t="n">
        <x:v>21</x:v>
      </x:c>
      <x:c r="E48" s="26" t="n">
        <x:v>21</x:v>
      </x:c>
      <x:c r="F48" s="26" t="str">
        <x:v>Svensson</x:v>
      </x:c>
      <x:c r="G48" s="26" t="n">
        <x:v>2003</x:v>
      </x:c>
      <x:c r="H48" s="25" t="str">
        <x:v>Who must pay bribes and how much? Evidence from a Cross Section of Firms</x:v>
      </x:c>
      <x:c r="I48" s="25" t="str"/>
      <x:c r="J48" s="25" t="str"/>
      <x:c r="K48" s="25" t="str">
        <x:v>prior_manual_sample</x:v>
      </x:c>
      <x:c r="L48" s="25" t="str">
        <x:v>accepted</x:v>
      </x:c>
      <x:c r="M48" s="25" t="str">
        <x:v>no</x:v>
      </x:c>
      <x:c r="N48" s="25" t="str">
        <x:v>saki_research/pre_phd_papers/bigio_ramirez_corrupcion_indicadores_desarrollo_pery_mundo_revision_empirica.pdf</x:v>
      </x:c>
      <x:c r="O48" s="25" t="str">
        <x:v>Svensson, J. (2003): “Who must pay bribes and how much? Evidence from a Cross Section of Firms.” Quarterly Journal of Economics, 118(1), pp. 207-230.</x:v>
      </x:c>
    </x:row>
    <x:row r="49" ht="48" customHeight="1">
      <x:c r="A49" s="24" t="str">
        <x:v>E01-R042</x:v>
      </x:c>
      <x:c r="B49" s="24" t="str">
        <x:v>E01</x:v>
      </x:c>
      <x:c r="C49" s="26" t="n">
        <x:v>42</x:v>
      </x:c>
      <x:c r="D49" s="26" t="n">
        <x:v>22</x:v>
      </x:c>
      <x:c r="E49" s="26" t="n">
        <x:v>22</x:v>
      </x:c>
      <x:c r="F49" s="26" t="str">
        <x:v>Tanzi</x:v>
      </x:c>
      <x:c r="G49" s="26" t="n">
        <x:v>1994</x:v>
      </x:c>
      <x:c r="H49" s="25" t="str">
        <x:v>Corruption, Governmental Activities, and Markets</x:v>
      </x:c>
      <x:c r="I49" s="25" t="str"/>
      <x:c r="J49" s="25" t="str"/>
      <x:c r="K49" s="25" t="str">
        <x:v>prior_manual_sample</x:v>
      </x:c>
      <x:c r="L49" s="25" t="str">
        <x:v>accepted</x:v>
      </x:c>
      <x:c r="M49" s="25" t="str">
        <x:v>no</x:v>
      </x:c>
      <x:c r="N49" s="25" t="str">
        <x:v>saki_research/pre_phd_papers/bigio_ramirez_corrupcion_indicadores_desarrollo_pery_mundo_revision_empirica.pdf</x:v>
      </x:c>
      <x:c r="O49" s="25" t="str">
        <x:v>Tanzi, V. (1994): “Corruption, Governmental Activities, and Markets.” IMF Working Paper 94/99. Washington, D.C.: International Monetary Fund (IMF).</x:v>
      </x:c>
    </x:row>
    <x:row r="50" ht="48" customHeight="1">
      <x:c r="A50" s="24" t="str">
        <x:v>E01-R043</x:v>
      </x:c>
      <x:c r="B50" s="24" t="str">
        <x:v>E01</x:v>
      </x:c>
      <x:c r="C50" s="26" t="n">
        <x:v>43</x:v>
      </x:c>
      <x:c r="D50" s="26" t="n">
        <x:v>22</x:v>
      </x:c>
      <x:c r="E50" s="26" t="n">
        <x:v>22</x:v>
      </x:c>
      <x:c r="F50" s="26" t="str">
        <x:v>Tanzi</x:v>
      </x:c>
      <x:c r="G50" s="26" t="n">
        <x:v>1998</x:v>
      </x:c>
      <x:c r="H50" s="25" t="str">
        <x:v>Corruption and the Budget: Problems and Solutions</x:v>
      </x:c>
      <x:c r="I50" s="25" t="str"/>
      <x:c r="J50" s="25" t="str"/>
      <x:c r="K50" s="25" t="str">
        <x:v>automatic_screen_pass</x:v>
      </x:c>
      <x:c r="L50" s="25" t="str">
        <x:v>accepted</x:v>
      </x:c>
      <x:c r="M50" s="25" t="str">
        <x:v>no</x:v>
      </x:c>
      <x:c r="N50" s="25" t="str">
        <x:v>saki_research/pre_phd_papers/bigio_ramirez_corrupcion_indicadores_desarrollo_pery_mundo_revision_empirica.pdf</x:v>
      </x:c>
      <x:c r="O50" s="25" t="str">
        <x:v>Tanzi, V. (1998): “Corruption and the Budget: Problems and Solutions.” En: Economics of Corruption. Jain, A. (ed.). New York: Springer, pp. 111-28.</x:v>
      </x:c>
    </x:row>
    <x:row r="51" ht="48" customHeight="1">
      <x:c r="A51" s="24" t="str">
        <x:v>E01-R044</x:v>
      </x:c>
      <x:c r="B51" s="24" t="str">
        <x:v>E01</x:v>
      </x:c>
      <x:c r="C51" s="26" t="n">
        <x:v>44</x:v>
      </x:c>
      <x:c r="D51" s="26" t="n">
        <x:v>22</x:v>
      </x:c>
      <x:c r="E51" s="26" t="n">
        <x:v>22</x:v>
      </x:c>
      <x:c r="F51" s="26" t="str">
        <x:v>Tanzi</x:v>
      </x:c>
      <x:c r="G51" s="26" t="n">
        <x:v>2002</x:v>
      </x:c>
      <x:c r="H51" s="25" t="str">
        <x:v>Corruption Around the World: Causes, Consequences, Scope, and Cures</x:v>
      </x:c>
      <x:c r="I51" s="25" t="str"/>
      <x:c r="J51" s="25" t="str"/>
      <x:c r="K51" s="25" t="str">
        <x:v>automatic_screen_pass</x:v>
      </x:c>
      <x:c r="L51" s="25" t="str">
        <x:v>accepted</x:v>
      </x:c>
      <x:c r="M51" s="25" t="str">
        <x:v>no</x:v>
      </x:c>
      <x:c r="N51" s="25" t="str">
        <x:v>saki_research/pre_phd_papers/bigio_ramirez_corrupcion_indicadores_desarrollo_pery_mundo_revision_empirica.pdf</x:v>
      </x:c>
      <x:c r="O51" s="25" t="str">
        <x:v>Tanzi, V. (2002): “Corruption Around the World: Causes, Consequences, Scope, and Cures.” En: Governance, Corruption &amp; Economic Performance. Abed, G. y S. Gupta (eds.). Washington, D.C.: International Monetary Fund (IMF), pp. 19-58.</x:v>
      </x:c>
    </x:row>
    <x:row r="52" ht="48" customHeight="1">
      <x:c r="A52" s="24" t="str">
        <x:v>E01-R045</x:v>
      </x:c>
      <x:c r="B52" s="24" t="str">
        <x:v>E01</x:v>
      </x:c>
      <x:c r="C52" s="26" t="n">
        <x:v>45</x:v>
      </x:c>
      <x:c r="D52" s="26" t="n">
        <x:v>22</x:v>
      </x:c>
      <x:c r="E52" s="26" t="n">
        <x:v>22</x:v>
      </x:c>
      <x:c r="F52" s="26" t="str">
        <x:v>Tanzi</x:v>
      </x:c>
      <x:c r="G52" s="26" t="n">
        <x:v>1997</x:v>
      </x:c>
      <x:c r="H52" s="25" t="str">
        <x:v>Corruption, Public Investment and Growth</x:v>
      </x:c>
      <x:c r="I52" s="25" t="str"/>
      <x:c r="J52" s="25" t="str"/>
      <x:c r="K52" s="25" t="str">
        <x:v>automatic_screen_pass</x:v>
      </x:c>
      <x:c r="L52" s="25" t="str">
        <x:v>accepted</x:v>
      </x:c>
      <x:c r="M52" s="25" t="str">
        <x:v>no</x:v>
      </x:c>
      <x:c r="N52" s="25" t="str">
        <x:v>saki_research/pre_phd_papers/bigio_ramirez_corrupcion_indicadores_desarrollo_pery_mundo_revision_empirica.pdf</x:v>
      </x:c>
      <x:c r="O52" s="25" t="str">
        <x:v>Tanzi, V. y H. Davoodi (1997): “Corruption, Public Investment and Growth.” IMF Working Paper 97/139. Washington, D.C.: International Monetary Fund (IMF).</x:v>
      </x:c>
    </x:row>
    <x:row r="53" ht="48" customHeight="1">
      <x:c r="A53" s="24" t="str">
        <x:v>E01-R046</x:v>
      </x:c>
      <x:c r="B53" s="24" t="str">
        <x:v>E01</x:v>
      </x:c>
      <x:c r="C53" s="26" t="n">
        <x:v>46</x:v>
      </x:c>
      <x:c r="D53" s="26" t="n">
        <x:v>22</x:v>
      </x:c>
      <x:c r="E53" s="26" t="n">
        <x:v>22</x:v>
      </x:c>
      <x:c r="F53" s="26" t="str">
        <x:v>Tanzi</x:v>
      </x:c>
      <x:c r="G53" s="26" t="n">
        <x:v>1998</x:v>
      </x:c>
      <x:c r="H53" s="25" t="str">
        <x:v>Roads to Nowhere: How Corruption in Public Investment Hurts Growth</x:v>
      </x:c>
      <x:c r="I53" s="25" t="str"/>
      <x:c r="J53" s="25" t="str"/>
      <x:c r="K53" s="25" t="str">
        <x:v>automatic_screen_pass</x:v>
      </x:c>
      <x:c r="L53" s="25" t="str">
        <x:v>accepted</x:v>
      </x:c>
      <x:c r="M53" s="25" t="str">
        <x:v>no</x:v>
      </x:c>
      <x:c r="N53" s="25" t="str">
        <x:v>saki_research/pre_phd_papers/bigio_ramirez_corrupcion_indicadores_desarrollo_pery_mundo_revision_empirica.pdf</x:v>
      </x:c>
      <x:c r="O53" s="25" t="str">
        <x:v>Tanzi, V. y H. Davoodi (1998): “Roads to Nowhere: How Corruption in Public Investment Hurts Growth.” Economic Issues 12. Washington, D.C.: International Monetary Fund (IMF).</x:v>
      </x:c>
    </x:row>
    <x:row r="54" ht="48" customHeight="1">
      <x:c r="A54" s="24" t="str">
        <x:v>E01-R047</x:v>
      </x:c>
      <x:c r="B54" s="24" t="str">
        <x:v>E01</x:v>
      </x:c>
      <x:c r="C54" s="26" t="n">
        <x:v>47</x:v>
      </x:c>
      <x:c r="D54" s="26" t="n">
        <x:v>22</x:v>
      </x:c>
      <x:c r="E54" s="26" t="n">
        <x:v>22</x:v>
      </x:c>
      <x:c r="F54" s="26" t="str">
        <x:v>Tanzi</x:v>
      </x:c>
      <x:c r="G54" s="26" t="n">
        <x:v>2000</x:v>
      </x:c>
      <x:c r="H54" s="25" t="str">
        <x:v>Corruption, Growth, and Public Finances</x:v>
      </x:c>
      <x:c r="I54" s="25" t="str"/>
      <x:c r="J54" s="25" t="str"/>
      <x:c r="K54" s="25" t="str">
        <x:v>automatic_screen_pass</x:v>
      </x:c>
      <x:c r="L54" s="25" t="str">
        <x:v>accepted</x:v>
      </x:c>
      <x:c r="M54" s="25" t="str">
        <x:v>no</x:v>
      </x:c>
      <x:c r="N54" s="25" t="str">
        <x:v>saki_research/pre_phd_papers/bigio_ramirez_corrupcion_indicadores_desarrollo_pery_mundo_revision_empirica.pdf</x:v>
      </x:c>
      <x:c r="O54" s="25" t="str">
        <x:v>Tanzi, V. y H. Davoodi (2000): “Corruption, Growth, and Public Finances.” IMF Working Paper 00/182. Washington, D.C.: International Monetary Fund (IMF).</x:v>
      </x:c>
    </x:row>
    <x:row r="55" ht="48" customHeight="1">
      <x:c r="A55" s="24" t="str">
        <x:v>E01-R048</x:v>
      </x:c>
      <x:c r="B55" s="24" t="str">
        <x:v>E01</x:v>
      </x:c>
      <x:c r="C55" s="26" t="n">
        <x:v>48</x:v>
      </x:c>
      <x:c r="D55" s="26" t="n">
        <x:v>22</x:v>
      </x:c>
      <x:c r="E55" s="26" t="n">
        <x:v>22</x:v>
      </x:c>
      <x:c r="F55" s="26" t="str">
        <x:v>Taylor</x:v>
      </x:c>
      <x:c r="G55" s="26" t="n">
        <x:v>1972</x:v>
      </x:c>
      <x:c r="H55" s="25" t="str">
        <x:v>World Handbook of Political and Social Indicators</x:v>
      </x:c>
      <x:c r="I55" s="25" t="str"/>
      <x:c r="J55" s="25" t="str"/>
      <x:c r="K55" s="25" t="str">
        <x:v>prior_manual_sample</x:v>
      </x:c>
      <x:c r="L55" s="25" t="str">
        <x:v>accepted</x:v>
      </x:c>
      <x:c r="M55" s="25" t="str">
        <x:v>no</x:v>
      </x:c>
      <x:c r="N55" s="25" t="str">
        <x:v>saki_research/pre_phd_papers/bigio_ramirez_corrupcion_indicadores_desarrollo_pery_mundo_revision_empirica.pdf</x:v>
      </x:c>
      <x:c r="O55" s="25" t="str">
        <x:v>Taylor, C. y M. Hudson (1972): World Handbook of Political and Social Indicators. New Haven: Yale University P ress.</x:v>
      </x:c>
    </x:row>
    <x:row r="56" ht="48" customHeight="1">
      <x:c r="A56" s="24" t="str">
        <x:v>E01-R049</x:v>
      </x:c>
      <x:c r="B56" s="24" t="str">
        <x:v>E01</x:v>
      </x:c>
      <x:c r="C56" s="26" t="n">
        <x:v>49</x:v>
      </x:c>
      <x:c r="D56" s="26" t="n">
        <x:v>22</x:v>
      </x:c>
      <x:c r="E56" s="26" t="n">
        <x:v>22</x:v>
      </x:c>
      <x:c r="F56" s="26" t="str">
        <x:v>Ul Haque</x:v>
      </x:c>
      <x:c r="G56" s="26" t="n">
        <x:v>1996</x:v>
      </x:c>
      <x:c r="H56" s="25" t="str">
        <x:v>Do Government Wage Cuts Close Budget Deficits? Costs of Corruption</x:v>
      </x:c>
      <x:c r="I56" s="25" t="str"/>
      <x:c r="J56" s="25" t="str"/>
      <x:c r="K56" s="25" t="str">
        <x:v>automatic_screen_pass</x:v>
      </x:c>
      <x:c r="L56" s="25" t="str">
        <x:v>accepted</x:v>
      </x:c>
      <x:c r="M56" s="25" t="str">
        <x:v>no</x:v>
      </x:c>
      <x:c r="N56" s="25" t="str">
        <x:v>saki_research/pre_phd_papers/bigio_ramirez_corrupcion_indicadores_desarrollo_pery_mundo_revision_empirica.pdf</x:v>
      </x:c>
      <x:c r="O56" s="25" t="str">
        <x:v>Ul Haque, N. y R. Sahay (1996): “Do Government Wage Cuts Close Budget Deficits? Costs of Corruption” Staff Papers (International Monetary Fund), 43(4), pp.754-778.</x:v>
      </x:c>
    </x:row>
    <x:row r="57" ht="48" customHeight="1">
      <x:c r="A57" s="24" t="str">
        <x:v>E01-R050</x:v>
      </x:c>
      <x:c r="B57" s="24" t="str">
        <x:v>E01</x:v>
      </x:c>
      <x:c r="C57" s="26" t="n">
        <x:v>50</x:v>
      </x:c>
      <x:c r="D57" s="26" t="n">
        <x:v>22</x:v>
      </x:c>
      <x:c r="E57" s="26" t="n">
        <x:v>22</x:v>
      </x:c>
      <x:c r="F57" s="26" t="str">
        <x:v>United Nations Development Programme</x:v>
      </x:c>
      <x:c r="G57" s="26" t="n">
        <x:v>2016</x:v>
      </x:c>
      <x:c r="H57" s="25" t="str">
        <x:v>Human Development Report 2016: Human Development for Everyone</x:v>
      </x:c>
      <x:c r="I57" s="25" t="str"/>
      <x:c r="J57" s="25" t="str"/>
      <x:c r="K57" s="25" t="str">
        <x:v>automatic_screen_pass</x:v>
      </x:c>
      <x:c r="L57" s="25" t="str">
        <x:v>accepted</x:v>
      </x:c>
      <x:c r="M57" s="25" t="str">
        <x:v>no</x:v>
      </x:c>
      <x:c r="N57" s="25" t="str">
        <x:v>saki_research/pre_phd_papers/bigio_ramirez_corrupcion_indicadores_desarrollo_pery_mundo_revision_empirica.pdf</x:v>
      </x:c>
      <x:c r="O57" s="25" t="str">
        <x:v>United Nations Development Programme (2016): Human Development Report 2016: Human Development for Everyone. New York: United Nations.</x:v>
      </x:c>
    </x:row>
    <x:row r="58" ht="48" customHeight="1">
      <x:c r="A58" s="24" t="str">
        <x:v>E01-R051</x:v>
      </x:c>
      <x:c r="B58" s="24" t="str">
        <x:v>E01</x:v>
      </x:c>
      <x:c r="C58" s="26" t="n">
        <x:v>51</x:v>
      </x:c>
      <x:c r="D58" s="26" t="n">
        <x:v>22</x:v>
      </x:c>
      <x:c r="E58" s="26" t="n">
        <x:v>22</x:v>
      </x:c>
      <x:c r="F58" s="26" t="str">
        <x:v>Valencia</x:v>
      </x:c>
      <x:c r="G58" s="26" t="n">
        <x:v>2012</x:v>
      </x:c>
      <x:c r="H58" s="25" t="str">
        <x:v>Systemic Banking Crises Database: An Update</x:v>
      </x:c>
      <x:c r="I58" s="25" t="str"/>
      <x:c r="J58" s="25" t="str"/>
      <x:c r="K58" s="25" t="str">
        <x:v>automatic_screen_pass</x:v>
      </x:c>
      <x:c r="L58" s="25" t="str">
        <x:v>accepted</x:v>
      </x:c>
      <x:c r="M58" s="25" t="str">
        <x:v>no</x:v>
      </x:c>
      <x:c r="N58" s="25" t="str">
        <x:v>saki_research/pre_phd_papers/bigio_ramirez_corrupcion_indicadores_desarrollo_pery_mundo_revision_empirica.pdf</x:v>
      </x:c>
      <x:c r="O58" s="25" t="str">
        <x:v>Valencia, F. y L. Laeven (2012): “Systemic Banking Crises Database: An Update.” IMF Working Paper 12/163. Washington, D.C.: International Monetary Fund (IMF).</x:v>
      </x:c>
    </x:row>
    <x:row r="59" ht="48" customHeight="1">
      <x:c r="A59" s="24" t="str">
        <x:v>E01-R052</x:v>
      </x:c>
      <x:c r="B59" s="24" t="str">
        <x:v>E01</x:v>
      </x:c>
      <x:c r="C59" s="26" t="n">
        <x:v>52</x:v>
      </x:c>
      <x:c r="D59" s="26" t="n">
        <x:v>22</x:v>
      </x:c>
      <x:c r="E59" s="26" t="n">
        <x:v>22</x:v>
      </x:c>
      <x:c r="F59" s="26" t="str">
        <x:v>Van Rijckeghem</x:v>
      </x:c>
      <x:c r="G59" s="26" t="n">
        <x:v>2002</x:v>
      </x:c>
      <x:c r="H59" s="25" t="str">
        <x:v>Bureaucratic Corruption and the Rate of Temptation: Do Wages in the Civil Service Affect Corruption, and by How Much</x:v>
      </x:c>
      <x:c r="I59" s="25" t="str"/>
      <x:c r="J59" s="25" t="str"/>
      <x:c r="K59" s="25" t="str">
        <x:v>automatic_screen_pass</x:v>
      </x:c>
      <x:c r="L59" s="25" t="str">
        <x:v>accepted</x:v>
      </x:c>
      <x:c r="M59" s="25" t="str">
        <x:v>no</x:v>
      </x:c>
      <x:c r="N59" s="25" t="str">
        <x:v>saki_research/pre_phd_papers/bigio_ramirez_corrupcion_indicadores_desarrollo_pery_mundo_revision_empirica.pdf</x:v>
      </x:c>
      <x:c r="O59" s="25" t="str">
        <x:v>Van Rijckeghem, C. y B. Weder (2002): “Bureaucratic Corruption and the Rate of Temptation: Do Wages in the Civil Service Affect Corruption, and by How Much.” En: Governance, Corruption &amp; Economic Performance. Abed, G. y S. Gupta (eds.). Washington, D.C: International Monetary Fund (IMF), pp. 59-88.</x:v>
      </x:c>
    </x:row>
    <x:row r="60" ht="48" customHeight="1">
      <x:c r="A60" s="24" t="str">
        <x:v>E01-R053</x:v>
      </x:c>
      <x:c r="B60" s="24" t="str">
        <x:v>E01</x:v>
      </x:c>
      <x:c r="C60" s="26" t="n">
        <x:v>53</x:v>
      </x:c>
      <x:c r="D60" s="26" t="n">
        <x:v>22</x:v>
      </x:c>
      <x:c r="E60" s="26" t="n">
        <x:v>22</x:v>
      </x:c>
      <x:c r="F60" s="26" t="str">
        <x:v>Wei</x:v>
      </x:c>
      <x:c r="G60" s="26" t="n">
        <x:v>1997</x:v>
      </x:c>
      <x:c r="H60" s="25" t="str">
        <x:v>Why is Corruption so Much more Taxing than Tax? Arbitrariness Kills</x:v>
      </x:c>
      <x:c r="I60" s="25" t="str"/>
      <x:c r="J60" s="25" t="str"/>
      <x:c r="K60" s="25" t="str">
        <x:v>automatic_screen_pass</x:v>
      </x:c>
      <x:c r="L60" s="25" t="str">
        <x:v>accepted</x:v>
      </x:c>
      <x:c r="M60" s="25" t="str">
        <x:v>no</x:v>
      </x:c>
      <x:c r="N60" s="25" t="str">
        <x:v>saki_research/pre_phd_papers/bigio_ramirez_corrupcion_indicadores_desarrollo_pery_mundo_revision_empirica.pdf</x:v>
      </x:c>
      <x:c r="O60" s="25" t="str">
        <x:v>Wei, S.-J. (1997): “Why is Corruption so Much more Taxing than Tax? Arbitrariness Kills”. NBER Working Paper 6255.</x:v>
      </x:c>
    </x:row>
    <x:row r="61" ht="48" customHeight="1">
      <x:c r="A61" s="24" t="str">
        <x:v>E01-R054</x:v>
      </x:c>
      <x:c r="B61" s="24" t="str">
        <x:v>E01</x:v>
      </x:c>
      <x:c r="C61" s="26" t="n">
        <x:v>54</x:v>
      </x:c>
      <x:c r="D61" s="26" t="n">
        <x:v>22</x:v>
      </x:c>
      <x:c r="E61" s="26" t="n">
        <x:v>22</x:v>
      </x:c>
      <x:c r="F61" s="26" t="str">
        <x:v>Wei</x:v>
      </x:c>
      <x:c r="G61" s="26" t="n">
        <x:v>1999</x:v>
      </x:c>
      <x:c r="H61" s="25" t="str">
        <x:v>Corruption in Economic Development: Beneficial Grease, Minor Annoyance, or Major Obstacle?</x:v>
      </x:c>
      <x:c r="I61" s="25" t="str"/>
      <x:c r="J61" s="25" t="str"/>
      <x:c r="K61" s="25" t="str">
        <x:v>automatic_screen_pass</x:v>
      </x:c>
      <x:c r="L61" s="25" t="str">
        <x:v>accepted</x:v>
      </x:c>
      <x:c r="M61" s="25" t="str">
        <x:v>no</x:v>
      </x:c>
      <x:c r="N61" s="25" t="str">
        <x:v>saki_research/pre_phd_papers/bigio_ramirez_corrupcion_indicadores_desarrollo_pery_mundo_revision_empirica.pdf</x:v>
      </x:c>
      <x:c r="O61" s="25" t="str">
        <x:v>Wei, S.-J. (1999): “Corruption in Economic Development: Beneficial Grease, Minor Annoyance, or Major Obstacle?” Policy Research Working Paper No. 2048.</x:v>
      </x:c>
    </x:row>
    <x:row r="62" ht="48" customHeight="1">
      <x:c r="A62" s="24" t="str">
        <x:v>E01-R055</x:v>
      </x:c>
      <x:c r="B62" s="24" t="str">
        <x:v>E01</x:v>
      </x:c>
      <x:c r="C62" s="26" t="n">
        <x:v>55</x:v>
      </x:c>
      <x:c r="D62" s="26" t="n">
        <x:v>22</x:v>
      </x:c>
      <x:c r="E62" s="26" t="n">
        <x:v>22</x:v>
      </x:c>
      <x:c r="F62" s="26" t="str">
        <x:v>Wei</x:v>
      </x:c>
      <x:c r="G62" s="26" t="n">
        <x:v>2000</x:v>
      </x:c>
      <x:c r="H62" s="25" t="str">
        <x:v>How Taxing is Corruption on International Investors?</x:v>
      </x:c>
      <x:c r="I62" s="25" t="str"/>
      <x:c r="J62" s="25" t="str"/>
      <x:c r="K62" s="25" t="str">
        <x:v>automatic_screen_pass</x:v>
      </x:c>
      <x:c r="L62" s="25" t="str">
        <x:v>accepted</x:v>
      </x:c>
      <x:c r="M62" s="25" t="str">
        <x:v>no</x:v>
      </x:c>
      <x:c r="N62" s="25" t="str">
        <x:v>saki_research/pre_phd_papers/bigio_ramirez_corrupcion_indicadores_desarrollo_pery_mundo_revision_empirica.pdf</x:v>
      </x:c>
      <x:c r="O62" s="25" t="str">
        <x:v>Wei, S.-J. (2000a): “How Taxing is Corruption on International Investors?” Review of Economics and Statistics, 82(1), pp.1-11.</x:v>
      </x:c>
    </x:row>
    <x:row r="63" ht="48" customHeight="1">
      <x:c r="A63" s="24" t="str">
        <x:v>E01-R056</x:v>
      </x:c>
      <x:c r="B63" s="24" t="str">
        <x:v>E01</x:v>
      </x:c>
      <x:c r="C63" s="26" t="n">
        <x:v>56</x:v>
      </x:c>
      <x:c r="D63" s="26" t="n">
        <x:v>22</x:v>
      </x:c>
      <x:c r="E63" s="26" t="n">
        <x:v>22</x:v>
      </x:c>
      <x:c r="F63" s="26" t="str">
        <x:v>Wei</x:v>
      </x:c>
      <x:c r="G63" s="26" t="n">
        <x:v>2000</x:v>
      </x:c>
      <x:c r="H63" s="25" t="str">
        <x:v>Natural Openness and Good Government</x:v>
      </x:c>
      <x:c r="I63" s="25" t="str"/>
      <x:c r="J63" s="25" t="str"/>
      <x:c r="K63" s="25" t="str">
        <x:v>automatic_screen_pass</x:v>
      </x:c>
      <x:c r="L63" s="25" t="str">
        <x:v>accepted</x:v>
      </x:c>
      <x:c r="M63" s="25" t="str">
        <x:v>no</x:v>
      </x:c>
      <x:c r="N63" s="25" t="str">
        <x:v>saki_research/pre_phd_papers/bigio_ramirez_corrupcion_indicadores_desarrollo_pery_mundo_revision_empirica.pdf</x:v>
      </x:c>
      <x:c r="O63" s="25" t="str">
        <x:v>Wei, S.-J. (2000b): “Natural Openness and Good Government.” NBER Working Paper 7765.</x:v>
      </x:c>
    </x:row>
    <x:row r="64" ht="48" customHeight="1">
      <x:c r="A64" s="24" t="str">
        <x:v>E01-R057</x:v>
      </x:c>
      <x:c r="B64" s="24" t="str">
        <x:v>E01</x:v>
      </x:c>
      <x:c r="C64" s="26" t="n">
        <x:v>57</x:v>
      </x:c>
      <x:c r="D64" s="26" t="n">
        <x:v>22</x:v>
      </x:c>
      <x:c r="E64" s="26" t="n">
        <x:v>22</x:v>
      </x:c>
      <x:c r="F64" s="26" t="str">
        <x:v>Wei</x:v>
      </x:c>
      <x:c r="G64" s="26" t="n">
        <x:v>2000</x:v>
      </x:c>
      <x:c r="H64" s="25" t="str">
        <x:v>Local Corruption and Global Capital Flows</x:v>
      </x:c>
      <x:c r="I64" s="25" t="str"/>
      <x:c r="J64" s="25" t="str"/>
      <x:c r="K64" s="25" t="str">
        <x:v>automatic_screen_pass</x:v>
      </x:c>
      <x:c r="L64" s="25" t="str">
        <x:v>accepted</x:v>
      </x:c>
      <x:c r="M64" s="25" t="str">
        <x:v>no</x:v>
      </x:c>
      <x:c r="N64" s="25" t="str">
        <x:v>saki_research/pre_phd_papers/bigio_ramirez_corrupcion_indicadores_desarrollo_pery_mundo_revision_empirica.pdf</x:v>
      </x:c>
      <x:c r="O64" s="25" t="str">
        <x:v>Wei, S.-J y A. Schleifer (2000): “Local Corruption and Global Capital Flows.” Brookings Papers on Economic Activity, 2000(2), pp. 303-354.</x:v>
      </x:c>
    </x:row>
    <x:row r="65" ht="48" customHeight="1">
      <x:c r="A65" s="24" t="str">
        <x:v>E01-R058</x:v>
      </x:c>
      <x:c r="B65" s="24" t="str">
        <x:v>E01</x:v>
      </x:c>
      <x:c r="C65" s="26" t="n">
        <x:v>58</x:v>
      </x:c>
      <x:c r="D65" s="26" t="n">
        <x:v>22</x:v>
      </x:c>
      <x:c r="E65" s="26" t="n">
        <x:v>22</x:v>
      </x:c>
      <x:c r="F65" s="26" t="str">
        <x:v>Wei</x:v>
      </x:c>
      <x:c r="G65" s="26" t="n">
        <x:v>2001</x:v>
      </x:c>
      <x:c r="H65" s="25" t="str">
        <x:v>Negative Alchemy? Corruption, Composition of Capital Flows and Currency Crises</x:v>
      </x:c>
      <x:c r="I65" s="25" t="str"/>
      <x:c r="J65" s="25" t="str"/>
      <x:c r="K65" s="25" t="str">
        <x:v>prior_manual_sample</x:v>
      </x:c>
      <x:c r="L65" s="25" t="str">
        <x:v>accepted</x:v>
      </x:c>
      <x:c r="M65" s="25" t="str">
        <x:v>no</x:v>
      </x:c>
      <x:c r="N65" s="25" t="str">
        <x:v>saki_research/pre_phd_papers/bigio_ramirez_corrupcion_indicadores_desarrollo_pery_mundo_revision_empirica.pdf</x:v>
      </x:c>
      <x:c r="O65" s="25" t="str">
        <x:v>Wei, S.-J. e Y. Wu (2001): “Negative Alchemy? Corruption, Composition of Capital Flows and Currency Crises.” NBER Working Paper 8187.</x:v>
      </x:c>
    </x:row>
    <x:row r="66" ht="48" customHeight="1">
      <x:c r="A66" s="24" t="str">
        <x:v>E01-R059</x:v>
      </x:c>
      <x:c r="B66" s="24" t="str">
        <x:v>E01</x:v>
      </x:c>
      <x:c r="C66" s="26" t="n">
        <x:v>59</x:v>
      </x:c>
      <x:c r="D66" s="26" t="n">
        <x:v>22</x:v>
      </x:c>
      <x:c r="E66" s="26" t="n">
        <x:v>22</x:v>
      </x:c>
      <x:c r="F66" s="26" t="str">
        <x:v>World Bank</x:v>
      </x:c>
      <x:c r="G66" s="26" t="n">
        <x:v>2017</x:v>
      </x:c>
      <x:c r="H66" s="25" t="str">
        <x:v>World Development Indicators 2017</x:v>
      </x:c>
      <x:c r="I66" s="25" t="str"/>
      <x:c r="J66" s="25" t="str"/>
      <x:c r="K66" s="25" t="str">
        <x:v>automatic_screen_pass</x:v>
      </x:c>
      <x:c r="L66" s="25" t="str">
        <x:v>accepted</x:v>
      </x:c>
      <x:c r="M66" s="25" t="str">
        <x:v>no</x:v>
      </x:c>
      <x:c r="N66" s="25" t="str">
        <x:v>saki_research/pre_phd_papers/bigio_ramirez_corrupcion_indicadores_desarrollo_pery_mundo_revision_empirica.pdf</x:v>
      </x:c>
      <x:c r="O66" s="25" t="str">
        <x:v>World Bank (2017): World Development Indicators 2017. Washington, DC: The World Bank.</x:v>
      </x:c>
    </x:row>
    <x:row r="67" ht="48" customHeight="1">
      <x:c r="A67" s="24" t="str">
        <x:v>E02-R001</x:v>
      </x:c>
      <x:c r="B67" s="24" t="str">
        <x:v>E02</x:v>
      </x:c>
      <x:c r="C67" s="26" t="n">
        <x:v>1</x:v>
      </x:c>
      <x:c r="D67" s="26" t="n">
        <x:v>28</x:v>
      </x:c>
      <x:c r="E67" s="26" t="n">
        <x:v>28</x:v>
      </x:c>
      <x:c r="F67" s="26" t="str">
        <x:v>Agénor</x:v>
      </x:c>
      <x:c r="G67" s="26" t="n">
        <x:v>2001</x:v>
      </x:c>
      <x:c r="H67" s="25" t="str">
        <x:v>Asymmetric Effects of Monetary Policy Shocks</x:v>
      </x:c>
      <x:c r="I67" s="25" t="str"/>
      <x:c r="J67" s="25" t="str">
        <x:v>literal_citation_review_2026-09-16</x:v>
      </x:c>
      <x:c r="K67" s="25" t="str">
        <x:v>prior_manual_sample</x:v>
      </x:c>
      <x:c r="L67" s="25" t="str">
        <x:v>accepted</x:v>
      </x:c>
      <x:c r="M67" s="25" t="str">
        <x:v>no</x:v>
      </x:c>
      <x:c r="N67" s="25" t="str">
        <x:v>saki_research/pre_phd_papers/bigio_salas_non_linear_effects_monetary_policy_real_exchange_rate_shocks_partially_dollarized_economies_empirical_study_peru.pdf</x:v>
      </x:c>
      <x:c r="O67" s="25" t="str">
        <x:v>Agénor, Pierre-Richard (2001), Asymmetric Effects of Monetary Policy Shocks, World Bank (Working Paper).</x:v>
      </x:c>
    </x:row>
    <x:row r="68" ht="48" customHeight="1">
      <x:c r="A68" s="24" t="str">
        <x:v>E02-R002</x:v>
      </x:c>
      <x:c r="B68" s="24" t="str">
        <x:v>E02</x:v>
      </x:c>
      <x:c r="C68" s="26" t="n">
        <x:v>2</x:v>
      </x:c>
      <x:c r="D68" s="26" t="n">
        <x:v>28</x:v>
      </x:c>
      <x:c r="E68" s="26" t="n">
        <x:v>28</x:v>
      </x:c>
      <x:c r="F68" s="26" t="str">
        <x:v>Ball</x:v>
      </x:c>
      <x:c r="G68" s="26" t="n">
        <x:v>1994</x:v>
      </x:c>
      <x:c r="H68" s="25" t="str">
        <x:v>Asymmetric Price Adjustment and Economic Fluctuations</x:v>
      </x:c>
      <x:c r="I68" s="25" t="str"/>
      <x:c r="J68" s="25" t="str"/>
      <x:c r="K68" s="25" t="str">
        <x:v>automatic_screen_pass</x:v>
      </x:c>
      <x:c r="L68" s="25" t="str">
        <x:v>accepted</x:v>
      </x:c>
      <x:c r="M68" s="25" t="str">
        <x:v>no</x:v>
      </x:c>
      <x:c r="N68" s="25" t="str">
        <x:v>saki_research/pre_phd_papers/bigio_salas_non_linear_effects_monetary_policy_real_exchange_rate_shocks_partially_dollarized_economies_empirical_study_peru.pdf</x:v>
      </x:c>
      <x:c r="O68" s="25" t="str">
        <x:v>Ball, Laurence, and N. Gregory Mankiw (1994), “Asymmetric Price Adjustment and Economic Fluctuations”, The Economic Journal, vol. 104, no 423, pp. 247-61.</x:v>
      </x:c>
    </x:row>
    <x:row r="69" ht="48" customHeight="1">
      <x:c r="A69" s="24" t="str">
        <x:v>E02-R003</x:v>
      </x:c>
      <x:c r="B69" s="24" t="str">
        <x:v>E02</x:v>
      </x:c>
      <x:c r="C69" s="26" t="n">
        <x:v>3</x:v>
      </x:c>
      <x:c r="D69" s="26" t="n">
        <x:v>28</x:v>
      </x:c>
      <x:c r="E69" s="26" t="n">
        <x:v>28</x:v>
      </x:c>
      <x:c r="F69" s="26" t="str">
        <x:v>Bernanke</x:v>
      </x:c>
      <x:c r="G69" s="26" t="n">
        <x:v>1989</x:v>
      </x:c>
      <x:c r="H69" s="25" t="str">
        <x:v>Agency Costs, Net Worth, and Business Fluctuations</x:v>
      </x:c>
      <x:c r="I69" s="25" t="str"/>
      <x:c r="J69" s="25" t="str"/>
      <x:c r="K69" s="25" t="str">
        <x:v>automatic_screen_pass</x:v>
      </x:c>
      <x:c r="L69" s="25" t="str">
        <x:v>accepted</x:v>
      </x:c>
      <x:c r="M69" s="25" t="str">
        <x:v>no</x:v>
      </x:c>
      <x:c r="N69" s="25" t="str">
        <x:v>saki_research/pre_phd_papers/bigio_salas_non_linear_effects_monetary_policy_real_exchange_rate_shocks_partially_dollarized_economies_empirical_study_peru.pdf</x:v>
      </x:c>
      <x:c r="O69" s="25" t="str">
        <x:v>Bernanke, Ben S., and Mark Gertler (1989), “Agency Costs, Net Worth, and Business Fluctuations”, American Economic Review, vol. 79, no 1, pp. 14-31.</x:v>
      </x:c>
    </x:row>
    <x:row r="70" ht="48" customHeight="1">
      <x:c r="A70" s="24" t="str">
        <x:v>E02-R004</x:v>
      </x:c>
      <x:c r="B70" s="24" t="str">
        <x:v>E02</x:v>
      </x:c>
      <x:c r="C70" s="26" t="n">
        <x:v>4</x:v>
      </x:c>
      <x:c r="D70" s="26" t="n">
        <x:v>28</x:v>
      </x:c>
      <x:c r="E70" s="26" t="n">
        <x:v>28</x:v>
      </x:c>
      <x:c r="F70" s="26" t="str">
        <x:v>Bigio</x:v>
      </x:c>
      <x:c r="G70" s="26" t="n">
        <x:v>2004</x:v>
      </x:c>
      <x:c r="H70" s="25" t="str">
        <x:v>Análisis del Impacto Heterogéneo de la Política Monetaria sobre los Sectores Productivos</x:v>
      </x:c>
      <x:c r="I70" s="25" t="str"/>
      <x:c r="J70" s="25" t="str"/>
      <x:c r="K70" s="25" t="str">
        <x:v>automatic_screen_pass</x:v>
      </x:c>
      <x:c r="L70" s="25" t="str">
        <x:v>accepted</x:v>
      </x:c>
      <x:c r="M70" s="25" t="str">
        <x:v>no</x:v>
      </x:c>
      <x:c r="N70" s="25" t="str">
        <x:v>saki_research/pre_phd_papers/bigio_salas_non_linear_effects_monetary_policy_real_exchange_rate_shocks_partially_dollarized_economies_empirical_study_peru.pdf</x:v>
      </x:c>
      <x:c r="O70" s="25" t="str">
        <x:v>Bigio, Saki, and Jorge Salas (2004), “Análisis del Impacto Heterogéneo de la Política Monetaria sobre los Sectores Productivos”, Revista del Concurso de Investigación para Jóvenes Economistas, Banco Central de Reserva del Perú.</x:v>
      </x:c>
    </x:row>
    <x:row r="71" ht="48" customHeight="1">
      <x:c r="A71" s="24" t="str">
        <x:v>E02-R005</x:v>
      </x:c>
      <x:c r="B71" s="24" t="str">
        <x:v>E02</x:v>
      </x:c>
      <x:c r="C71" s="26" t="n">
        <x:v>5</x:v>
      </x:c>
      <x:c r="D71" s="26" t="n">
        <x:v>28</x:v>
      </x:c>
      <x:c r="E71" s="26" t="n">
        <x:v>28</x:v>
      </x:c>
      <x:c r="F71" s="26" t="str">
        <x:v>Bravo</x:v>
      </x:c>
      <x:c r="G71" s="26" t="n">
        <x:v>2002</x:v>
      </x:c>
      <x:c r="H71" s="25" t="str">
        <x:v>Una Revisión de la Transmisión Monetaria y el Pass-Through en Chile</x:v>
      </x:c>
      <x:c r="I71" s="25" t="str"/>
      <x:c r="J71" s="25" t="str">
        <x:v>literal_citation_review_2026-09-16</x:v>
      </x:c>
      <x:c r="K71" s="25" t="str">
        <x:v>prior_manual_sample</x:v>
      </x:c>
      <x:c r="L71" s="25" t="str">
        <x:v>accepted</x:v>
      </x:c>
      <x:c r="M71" s="25" t="str">
        <x:v>no</x:v>
      </x:c>
      <x:c r="N71" s="25" t="str">
        <x:v>saki_research/pre_phd_papers/bigio_salas_non_linear_effects_monetary_policy_real_exchange_rate_shocks_partially_dollarized_economies_empirical_study_peru.pdf</x:v>
      </x:c>
      <x:c r="O71" s="25" t="str">
        <x:v>Bravo, Héctor, and Carlos García (2002), Una Revisión de la Transmisión Monetaria y el Pass-Through en Chile, Banco Central de Chile (Working Paper, no 149).</x:v>
      </x:c>
    </x:row>
    <x:row r="72" ht="48" customHeight="1">
      <x:c r="A72" s="24" t="str">
        <x:v>E02-R006</x:v>
      </x:c>
      <x:c r="B72" s="24" t="str">
        <x:v>E02</x:v>
      </x:c>
      <x:c r="C72" s="26" t="n">
        <x:v>6</x:v>
      </x:c>
      <x:c r="D72" s="26" t="n">
        <x:v>28</x:v>
      </x:c>
      <x:c r="E72" s="26" t="n">
        <x:v>28</x:v>
      </x:c>
      <x:c r="F72" s="26" t="str">
        <x:v>Caballero</x:v>
      </x:c>
      <x:c r="G72" s="26" t="n">
        <x:v>1992</x:v>
      </x:c>
      <x:c r="H72" s="25" t="str">
        <x:v>Price Rigidities, Asymmetries, and Output Fluctuations</x:v>
      </x:c>
      <x:c r="I72" s="25" t="str"/>
      <x:c r="J72" s="25" t="str">
        <x:v>C-008</x:v>
      </x:c>
      <x:c r="K72" s="25" t="str">
        <x:v>prior_manual_sample</x:v>
      </x:c>
      <x:c r="L72" s="25" t="str">
        <x:v>accepted</x:v>
      </x:c>
      <x:c r="M72" s="25" t="str">
        <x:v>no</x:v>
      </x:c>
      <x:c r="N72" s="25" t="str">
        <x:v>saki_research/pre_phd_papers/bigio_salas_non_linear_effects_monetary_policy_real_exchange_rate_shocks_partially_dollarized_economies_empirical_study_peru.pdf</x:v>
      </x:c>
      <x:c r="O72" s="25" t="str">
        <x:v>Caballero, Ricardo, and Eduardo Engel (1992), Price Rigidities, Asymmetries, and Output Fluctuations, National Bureau of Economic Research (Working Paper, no 4091).</x:v>
      </x:c>
    </x:row>
    <x:row r="73" ht="48" customHeight="1">
      <x:c r="A73" s="24" t="str">
        <x:v>E02-R007</x:v>
      </x:c>
      <x:c r="B73" s="24" t="str">
        <x:v>E02</x:v>
      </x:c>
      <x:c r="C73" s="26" t="n">
        <x:v>7</x:v>
      </x:c>
      <x:c r="D73" s="26" t="n">
        <x:v>28</x:v>
      </x:c>
      <x:c r="E73" s="26" t="n">
        <x:v>28</x:v>
      </x:c>
      <x:c r="F73" s="26" t="str">
        <x:v>Calvo</x:v>
      </x:c>
      <x:c r="G73" s="26" t="n">
        <x:v>2000</x:v>
      </x:c>
      <x:c r="H73" s="25" t="str">
        <x:v>Fear of Floating</x:v>
      </x:c>
      <x:c r="I73" s="25" t="str"/>
      <x:c r="J73" s="25" t="str"/>
      <x:c r="K73" s="25" t="str">
        <x:v>prior_manual_sample</x:v>
      </x:c>
      <x:c r="L73" s="25" t="str">
        <x:v>accepted</x:v>
      </x:c>
      <x:c r="M73" s="25" t="str">
        <x:v>no</x:v>
      </x:c>
      <x:c r="N73" s="25" t="str">
        <x:v>saki_research/pre_phd_papers/bigio_salas_non_linear_effects_monetary_policy_real_exchange_rate_shocks_partially_dollarized_economies_empirical_study_peru.pdf</x:v>
      </x:c>
      <x:c r="O73" s="25" t="str">
        <x:v>Calvo, Guillermo, and Carmen Reinhart (2000), “Fear of Floating”, Quartely Journal of Economics, vol. CXVII, no 2, pp. 379- 408.</x:v>
      </x:c>
    </x:row>
    <x:row r="74" ht="48" customHeight="1">
      <x:c r="A74" s="24" t="str">
        <x:v>E02-R008</x:v>
      </x:c>
      <x:c r="B74" s="24" t="str">
        <x:v>E02</x:v>
      </x:c>
      <x:c r="C74" s="26" t="n">
        <x:v>8</x:v>
      </x:c>
      <x:c r="D74" s="26" t="n">
        <x:v>28</x:v>
      </x:c>
      <x:c r="E74" s="26" t="n">
        <x:v>28</x:v>
      </x:c>
      <x:c r="F74" s="26" t="str">
        <x:v>Carranza</x:v>
      </x:c>
      <x:c r="G74" s="26" t="n">
        <x:v>2003</x:v>
      </x:c>
      <x:c r="H74" s="25" t="str">
        <x:v>Exchange rate volatility and economic performance in Peru: a firm level analysis</x:v>
      </x:c>
      <x:c r="I74" s="25" t="str"/>
      <x:c r="J74" s="25" t="str"/>
      <x:c r="K74" s="25" t="str">
        <x:v>prior_manual_sample</x:v>
      </x:c>
      <x:c r="L74" s="25" t="str">
        <x:v>accepted</x:v>
      </x:c>
      <x:c r="M74" s="25" t="str">
        <x:v>no</x:v>
      </x:c>
      <x:c r="N74" s="25" t="str">
        <x:v>saki_research/pre_phd_papers/bigio_salas_non_linear_effects_monetary_policy_real_exchange_rate_shocks_partially_dollarized_economies_empirical_study_peru.pdf</x:v>
      </x:c>
      <x:c r="O74" s="25" t="str">
        <x:v>Carranza, Luis J., Juan M. Cayo and José Galdón-Sánchez (2003), “Exchange rate volatility and economic performance in Peru: a firm level analysis”, Emerging Markets Review, vol. 4, n o 4, pp. 472-96.</x:v>
      </x:c>
    </x:row>
    <x:row r="75" ht="48" customHeight="1">
      <x:c r="A75" s="24" t="str">
        <x:v>E02-R009</x:v>
      </x:c>
      <x:c r="B75" s="24" t="str">
        <x:v>E02</x:v>
      </x:c>
      <x:c r="C75" s="26" t="n">
        <x:v>9</x:v>
      </x:c>
      <x:c r="D75" s="26" t="n">
        <x:v>29</x:v>
      </x:c>
      <x:c r="E75" s="26" t="n">
        <x:v>29</x:v>
      </x:c>
      <x:c r="F75" s="26" t="str">
        <x:v>Carranza</x:v>
      </x:c>
      <x:c r="G75" s="26" t="n">
        <x:v>2004</x:v>
      </x:c>
      <x:c r="H75" s="25" t="str">
        <x:v>Exchange Rate and Inflation Dynamics in Dollarized Economies</x:v>
      </x:c>
      <x:c r="I75" s="25" t="str"/>
      <x:c r="J75" s="25" t="str">
        <x:v>literal_citation_review_2026-09-16; literal_citation_review_2026-09-16; local_header_cleanup_2026-09-16</x:v>
      </x:c>
      <x:c r="K75" s="25" t="str">
        <x:v>automatic_screen_pass</x:v>
      </x:c>
      <x:c r="L75" s="25" t="str">
        <x:v>accepted</x:v>
      </x:c>
      <x:c r="M75" s="25" t="str">
        <x:v>no</x:v>
      </x:c>
      <x:c r="N75" s="25" t="str">
        <x:v>saki_research/pre_phd_papers/bigio_salas_non_linear_effects_monetary_policy_real_exchange_rate_shocks_partially_dollarized_economies_empirical_study_peru.pdf</x:v>
      </x:c>
      <x:c r="O75" s="25" t="str">
        <x:v>Carranza, Luis, José Galdón-Sánchez and Javier Gómez Biscarri (2004), Exchange Rate and Inflation Dynamics in Dollarized Economies, Universidad de Navarra (Working Paper, no 10/04).</x:v>
      </x:c>
    </x:row>
    <x:row r="76" ht="48" customHeight="1">
      <x:c r="A76" s="24" t="str">
        <x:v>E02-R010</x:v>
      </x:c>
      <x:c r="B76" s="24" t="str">
        <x:v>E02</x:v>
      </x:c>
      <x:c r="C76" s="26" t="n">
        <x:v>10</x:v>
      </x:c>
      <x:c r="D76" s="26" t="n">
        <x:v>29</x:v>
      </x:c>
      <x:c r="E76" s="26" t="n">
        <x:v>29</x:v>
      </x:c>
      <x:c r="F76" s="26" t="str">
        <x:v>Castillo</x:v>
      </x:c>
      <x:c r="G76" s="26" t="n">
        <x:v>2005</x:v>
      </x:c>
      <x:c r="H76" s="25" t="str">
        <x:v>Non-Homothetic Preferences and The Asymmetric Effects of Monetary Policy</x:v>
      </x:c>
      <x:c r="I76" s="25" t="str"/>
      <x:c r="J76" s="25" t="str">
        <x:v>literal_citation_review_2026-09-16</x:v>
      </x:c>
      <x:c r="K76" s="25" t="str">
        <x:v>automatic_screen_pass</x:v>
      </x:c>
      <x:c r="L76" s="25" t="str">
        <x:v>accepted</x:v>
      </x:c>
      <x:c r="M76" s="25" t="str">
        <x:v>no</x:v>
      </x:c>
      <x:c r="N76" s="25" t="str">
        <x:v>saki_research/pre_phd_papers/bigio_salas_non_linear_effects_monetary_policy_real_exchange_rate_shocks_partially_dollarized_economies_empirical_study_peru.pdf</x:v>
      </x:c>
      <x:c r="O76" s="25" t="str">
        <x:v>Castillo, Paul, and Carlos Montoro (2005), Non-Homothetic Preferences and The Asymmetric Effects of Monetary Policy, mimeo version.</x:v>
      </x:c>
    </x:row>
    <x:row r="77" ht="48" customHeight="1">
      <x:c r="A77" s="24" t="str">
        <x:v>E02-R011</x:v>
      </x:c>
      <x:c r="B77" s="24" t="str">
        <x:v>E02</x:v>
      </x:c>
      <x:c r="C77" s="26" t="n">
        <x:v>11</x:v>
      </x:c>
      <x:c r="D77" s="26" t="n">
        <x:v>29</x:v>
      </x:c>
      <x:c r="E77" s="26" t="n">
        <x:v>29</x:v>
      </x:c>
      <x:c r="F77" s="26" t="str">
        <x:v>Castro</x:v>
      </x:c>
      <x:c r="G77" s="26" t="n">
        <x:v>2000</x:v>
      </x:c>
      <x:c r="H77" s="25" t="str">
        <x:v>Uncovering Central Bank’s Monetary Policy Objectives: Going Beyond Fear of Floating</x:v>
      </x:c>
      <x:c r="I77" s="25" t="str"/>
      <x:c r="J77" s="25" t="str">
        <x:v>literal_citation_review_2026-09-16</x:v>
      </x:c>
      <x:c r="K77" s="25" t="str">
        <x:v>prior_manual_sample</x:v>
      </x:c>
      <x:c r="L77" s="25" t="str">
        <x:v>accepted</x:v>
      </x:c>
      <x:c r="M77" s="25" t="str">
        <x:v>no</x:v>
      </x:c>
      <x:c r="N77" s="25" t="str">
        <x:v>saki_research/pre_phd_papers/bigio_salas_non_linear_effects_monetary_policy_real_exchange_rate_shocks_partially_dollarized_economies_empirical_study_peru.pdf</x:v>
      </x:c>
      <x:c r="O77" s="25" t="str">
        <x:v>Castro, Juan F., and Eduardo Morón (2000), Uncovering Central Bank’s Monetary Policy Objectives: Going Beyond Fear of Floating, Centro de Investigación de la Universidad del Pacífico.</x:v>
      </x:c>
    </x:row>
    <x:row r="78" ht="48" customHeight="1">
      <x:c r="A78" s="24" t="str">
        <x:v>E02-R012</x:v>
      </x:c>
      <x:c r="B78" s="24" t="str">
        <x:v>E02</x:v>
      </x:c>
      <x:c r="C78" s="26" t="n">
        <x:v>12</x:v>
      </x:c>
      <x:c r="D78" s="26" t="n">
        <x:v>29</x:v>
      </x:c>
      <x:c r="E78" s="26" t="n">
        <x:v>29</x:v>
      </x:c>
      <x:c r="F78" s="26" t="str">
        <x:v>Castro</x:v>
      </x:c>
      <x:c r="G78" s="26" t="n">
        <x:v>2004</x:v>
      </x:c>
      <x:c r="H78" s="25" t="str">
        <x:v>Política Monetaria en Economías Dolarizadas, Un Aporte Analítico</x:v>
      </x:c>
      <x:c r="I78" s="25" t="str"/>
      <x:c r="J78" s="25" t="str">
        <x:v>literal_citation_review_2026-09-16</x:v>
      </x:c>
      <x:c r="K78" s="25" t="str">
        <x:v>prior_manual_sample</x:v>
      </x:c>
      <x:c r="L78" s="25" t="str">
        <x:v>accepted</x:v>
      </x:c>
      <x:c r="M78" s="25" t="str">
        <x:v>no</x:v>
      </x:c>
      <x:c r="N78" s="25" t="str">
        <x:v>saki_research/pre_phd_papers/bigio_salas_non_linear_effects_monetary_policy_real_exchange_rate_shocks_partially_dollarized_economies_empirical_study_peru.pdf</x:v>
      </x:c>
      <x:c r="O78" s="25" t="str">
        <x:v>Castro, Juan F., and Eduardo Morón (2004), Política Monetaria en Economías Dolarizadas, Un Aporte Analítico, Centro de Investigación de la Universidad del Pacífico and Consorcio de Investigación Económica y Social.</x:v>
      </x:c>
    </x:row>
    <x:row r="79" ht="48" customHeight="1">
      <x:c r="A79" s="24" t="str">
        <x:v>E02-R013</x:v>
      </x:c>
      <x:c r="B79" s="24" t="str">
        <x:v>E02</x:v>
      </x:c>
      <x:c r="C79" s="26" t="n">
        <x:v>13</x:v>
      </x:c>
      <x:c r="D79" s="26" t="n">
        <x:v>29</x:v>
      </x:c>
      <x:c r="E79" s="26" t="n">
        <x:v>29</x:v>
      </x:c>
      <x:c r="F79" s="26" t="str">
        <x:v>Céspedes</x:v>
      </x:c>
      <x:c r="G79" s="26" t="n">
        <x:v>2005</x:v>
      </x:c>
      <x:c r="H79" s="25" t="str">
        <x:v>Financial Frictions and Real Devaluations</x:v>
      </x:c>
      <x:c r="I79" s="25" t="str"/>
      <x:c r="J79" s="25" t="str">
        <x:v>C-010</x:v>
      </x:c>
      <x:c r="K79" s="25" t="str">
        <x:v>prior_manual_sample</x:v>
      </x:c>
      <x:c r="L79" s="25" t="str">
        <x:v>accepted</x:v>
      </x:c>
      <x:c r="M79" s="25" t="str">
        <x:v>no</x:v>
      </x:c>
      <x:c r="N79" s="25" t="str">
        <x:v>saki_research/pre_phd_papers/bigio_salas_non_linear_effects_monetary_policy_real_exchange_rate_shocks_partially_dollarized_economies_empirical_study_peru.pdf</x:v>
      </x:c>
      <x:c r="O79" s="25" t="str">
        <x:v>Céspedes, Luis F. (2005), Financial Frictions and Real Devaluations, Banco Central de Chile (Working Paper, no 318).</x:v>
      </x:c>
    </x:row>
    <x:row r="80" ht="48" customHeight="1">
      <x:c r="A80" s="24" t="str">
        <x:v>E02-R014</x:v>
      </x:c>
      <x:c r="B80" s="24" t="str">
        <x:v>E02</x:v>
      </x:c>
      <x:c r="C80" s="26" t="n">
        <x:v>14</x:v>
      </x:c>
      <x:c r="D80" s="26" t="n">
        <x:v>29</x:v>
      </x:c>
      <x:c r="E80" s="26" t="n">
        <x:v>29</x:v>
      </x:c>
      <x:c r="F80" s="26" t="str">
        <x:v>Céspedes</x:v>
      </x:c>
      <x:c r="G80" s="26" t="n">
        <x:v>2004</x:v>
      </x:c>
      <x:c r="H80" s="25" t="str">
        <x:v>Balance Sheets and Exchange Rate Policy</x:v>
      </x:c>
      <x:c r="I80" s="25" t="str"/>
      <x:c r="J80" s="25" t="str"/>
      <x:c r="K80" s="25" t="str">
        <x:v>automatic_screen_pass</x:v>
      </x:c>
      <x:c r="L80" s="25" t="str">
        <x:v>accepted</x:v>
      </x:c>
      <x:c r="M80" s="25" t="str">
        <x:v>no</x:v>
      </x:c>
      <x:c r="N80" s="25" t="str">
        <x:v>saki_research/pre_phd_papers/bigio_salas_non_linear_effects_monetary_policy_real_exchange_rate_shocks_partially_dollarized_economies_empirical_study_peru.pdf</x:v>
      </x:c>
      <x:c r="O80" s="25" t="str">
        <x:v>Céspedes, Luis F., Roberto Chang and Andrés Velasco (2004), “Balance Sheets and Exchange Rate Policy”, American Economic Review, vol. 94, no 4, pp. 1183-93.</x:v>
      </x:c>
    </x:row>
    <x:row r="81" ht="48" customHeight="1">
      <x:c r="A81" s="24" t="str">
        <x:v>E02-R015</x:v>
      </x:c>
      <x:c r="B81" s="24" t="str">
        <x:v>E02</x:v>
      </x:c>
      <x:c r="C81" s="26" t="n">
        <x:v>15</x:v>
      </x:c>
      <x:c r="D81" s="26" t="n">
        <x:v>29</x:v>
      </x:c>
      <x:c r="E81" s="26" t="n">
        <x:v>29</x:v>
      </x:c>
      <x:c r="F81" s="26" t="str">
        <x:v>Christiano</x:v>
      </x:c>
      <x:c r="G81" s="26" t="n">
        <x:v>1998</x:v>
      </x:c>
      <x:c r="H81" s="25" t="str">
        <x:v>Monetary Policy Shocks: What Have we Learned and to What End?</x:v>
      </x:c>
      <x:c r="I81" s="25" t="str"/>
      <x:c r="J81" s="25" t="str">
        <x:v>literal_citation_review_2026-09-16</x:v>
      </x:c>
      <x:c r="K81" s="25" t="str">
        <x:v>automatic_screen_pass</x:v>
      </x:c>
      <x:c r="L81" s="25" t="str">
        <x:v>accepted</x:v>
      </x:c>
      <x:c r="M81" s="25" t="str">
        <x:v>no</x:v>
      </x:c>
      <x:c r="N81" s="25" t="str">
        <x:v>saki_research/pre_phd_papers/bigio_salas_non_linear_effects_monetary_policy_real_exchange_rate_shocks_partially_dollarized_economies_empirical_study_peru.pdf</x:v>
      </x:c>
      <x:c r="O81" s="25" t="str">
        <x:v>Christiano, Lawrence J., Martin Eichenbaum and Charles L. Evans (1998), Monetary Policy Shocks: What Have we Learned and to What End?, National Bureau of Economic Research (Working Paper, no 6400).</x:v>
      </x:c>
    </x:row>
    <x:row r="82" ht="48" customHeight="1">
      <x:c r="A82" s="24" t="str">
        <x:v>E02-R016</x:v>
      </x:c>
      <x:c r="B82" s="24" t="str">
        <x:v>E02</x:v>
      </x:c>
      <x:c r="C82" s="26" t="n">
        <x:v>16</x:v>
      </x:c>
      <x:c r="D82" s="26" t="n">
        <x:v>29</x:v>
      </x:c>
      <x:c r="E82" s="26" t="n">
        <x:v>29</x:v>
      </x:c>
      <x:c r="F82" s="26" t="str">
        <x:v>Cover</x:v>
      </x:c>
      <x:c r="G82" s="26" t="n">
        <x:v>1992</x:v>
      </x:c>
      <x:c r="H82" s="25" t="str">
        <x:v>Asymmetri c Effects of Positive and Negative Money-Supply Shocks</x:v>
      </x:c>
      <x:c r="I82" s="25" t="str"/>
      <x:c r="J82" s="25" t="str"/>
      <x:c r="K82" s="25" t="str">
        <x:v>automatic_screen_pass</x:v>
      </x:c>
      <x:c r="L82" s="25" t="str">
        <x:v>accepted</x:v>
      </x:c>
      <x:c r="M82" s="25" t="str">
        <x:v>no</x:v>
      </x:c>
      <x:c r="N82" s="25" t="str">
        <x:v>saki_research/pre_phd_papers/bigio_salas_non_linear_effects_monetary_policy_real_exchange_rate_shocks_partially_dollarized_economies_empirical_study_peru.pdf</x:v>
      </x:c>
      <x:c r="O82" s="25" t="str">
        <x:v>Cover, James, (1992), “Asymmetri c Effects of Positive and Negative Money-Supply Shocks”, Quarterly Journal of Economics, vol. 107, no 4, pp. 1261-82</x:v>
      </x:c>
    </x:row>
    <x:row r="83" ht="48" customHeight="1">
      <x:c r="A83" s="24" t="str">
        <x:v>E02-R017</x:v>
      </x:c>
      <x:c r="B83" s="24" t="str">
        <x:v>E02</x:v>
      </x:c>
      <x:c r="C83" s="26" t="n">
        <x:v>17</x:v>
      </x:c>
      <x:c r="D83" s="26" t="n">
        <x:v>29</x:v>
      </x:c>
      <x:c r="E83" s="26" t="n">
        <x:v>29</x:v>
      </x:c>
      <x:c r="F83" s="26" t="str">
        <x:v>DeLong</x:v>
      </x:c>
      <x:c r="G83" s="26" t="n">
        <x:v>1988</x:v>
      </x:c>
      <x:c r="H83" s="25" t="str">
        <x:v>How Does Macroeconomic Policy Affect Output?</x:v>
      </x:c>
      <x:c r="I83" s="25" t="str"/>
      <x:c r="J83" s="25" t="str"/>
      <x:c r="K83" s="25" t="str">
        <x:v>automatic_screen_pass</x:v>
      </x:c>
      <x:c r="L83" s="25" t="str">
        <x:v>accepted</x:v>
      </x:c>
      <x:c r="M83" s="25" t="str">
        <x:v>no</x:v>
      </x:c>
      <x:c r="N83" s="25" t="str">
        <x:v>saki_research/pre_phd_papers/bigio_salas_non_linear_effects_monetary_policy_real_exchange_rate_shocks_partially_dollarized_economies_empirical_study_peru.pdf</x:v>
      </x:c>
      <x:c r="O83" s="25" t="str">
        <x:v>DeLong, J. Bradford, and Lawrence H. Summers (1988), “How Does Macroeconomic Policy Affect Output?”, Brookings Papers on Economic Activity, no 2, pp. 433-94.</x:v>
      </x:c>
    </x:row>
    <x:row r="84" ht="48" customHeight="1">
      <x:c r="A84" s="24" t="str">
        <x:v>E02-R018</x:v>
      </x:c>
      <x:c r="B84" s="24" t="str">
        <x:v>E02</x:v>
      </x:c>
      <x:c r="C84" s="26" t="n">
        <x:v>18</x:v>
      </x:c>
      <x:c r="D84" s="26" t="n">
        <x:v>29</x:v>
      </x:c>
      <x:c r="E84" s="26" t="n">
        <x:v>29</x:v>
      </x:c>
      <x:c r="F84" s="26" t="str">
        <x:v>Galí</x:v>
      </x:c>
      <x:c r="G84" s="26" t="n">
        <x:v>2005</x:v>
      </x:c>
      <x:c r="H84" s="25" t="str">
        <x:v>Monetary Policy and Exchange Rate Volatility in a Small Open Economy</x:v>
      </x:c>
      <x:c r="I84" s="25" t="str"/>
      <x:c r="J84" s="25" t="str"/>
      <x:c r="K84" s="25" t="str">
        <x:v>automatic_screen_pass</x:v>
      </x:c>
      <x:c r="L84" s="25" t="str">
        <x:v>accepted</x:v>
      </x:c>
      <x:c r="M84" s="25" t="str">
        <x:v>no</x:v>
      </x:c>
      <x:c r="N84" s="25" t="str">
        <x:v>saki_research/pre_phd_papers/bigio_salas_non_linear_effects_monetary_policy_real_exchange_rate_shocks_partially_dollarized_economies_empirical_study_peru.pdf</x:v>
      </x:c>
      <x:c r="O84" s="25" t="str">
        <x:v>Galí, Jordi and Tomasso Monacelli (2005), “Monetary Policy and Exchange Rate Volatility in a Small Open Economy”, Review of Economic Studies, vol. 72, no 3, pp. 707-34.</x:v>
      </x:c>
    </x:row>
    <x:row r="85" ht="48" customHeight="1">
      <x:c r="A85" s="24" t="str">
        <x:v>E02-R019</x:v>
      </x:c>
      <x:c r="B85" s="24" t="str">
        <x:v>E02</x:v>
      </x:c>
      <x:c r="C85" s="26" t="n">
        <x:v>19</x:v>
      </x:c>
      <x:c r="D85" s="26" t="n">
        <x:v>29</x:v>
      </x:c>
      <x:c r="E85" s="26" t="n">
        <x:v>29</x:v>
      </x:c>
      <x:c r="F85" s="26" t="str">
        <x:v>Gordon</x:v>
      </x:c>
      <x:c r="G85" s="26" t="n">
        <x:v>1990</x:v>
      </x:c>
      <x:c r="H85" s="25" t="str">
        <x:v>What is new-Keynesian economics?</x:v>
      </x:c>
      <x:c r="I85" s="25" t="str"/>
      <x:c r="J85" s="25" t="str"/>
      <x:c r="K85" s="25" t="str">
        <x:v>automatic_screen_pass</x:v>
      </x:c>
      <x:c r="L85" s="25" t="str">
        <x:v>accepted</x:v>
      </x:c>
      <x:c r="M85" s="25" t="str">
        <x:v>no</x:v>
      </x:c>
      <x:c r="N85" s="25" t="str">
        <x:v>saki_research/pre_phd_papers/bigio_salas_non_linear_effects_monetary_policy_real_exchange_rate_shocks_partially_dollarized_economies_empirical_study_peru.pdf</x:v>
      </x:c>
      <x:c r="O85" s="25" t="str">
        <x:v>Gordon, Robert J. (1990), “What is new-Keynesian economics?”, Journal of Economic Literature, vol. XXVIII, no 3, pp. 1115-71.</x:v>
      </x:c>
    </x:row>
    <x:row r="86" ht="48" customHeight="1">
      <x:c r="A86" s="24" t="str">
        <x:v>E02-R020</x:v>
      </x:c>
      <x:c r="B86" s="24" t="str">
        <x:v>E02</x:v>
      </x:c>
      <x:c r="C86" s="26" t="n">
        <x:v>20</x:v>
      </x:c>
      <x:c r="D86" s="26" t="n">
        <x:v>29</x:v>
      </x:c>
      <x:c r="E86" s="26" t="n">
        <x:v>29</x:v>
      </x:c>
      <x:c r="F86" s="26" t="str">
        <x:v>Holmes</x:v>
      </x:c>
      <x:c r="G86" s="26" t="n">
        <x:v>2000</x:v>
      </x:c>
      <x:c r="H86" s="25" t="str">
        <x:v>Do Monetary Shocks Exert Non Linear Real Effects on UK Industrial Production?</x:v>
      </x:c>
      <x:c r="I86" s="25" t="str"/>
      <x:c r="J86" s="25" t="str">
        <x:v>literal_citation_review_2026-09-16</x:v>
      </x:c>
      <x:c r="K86" s="25" t="str">
        <x:v>automatic_screen_pass</x:v>
      </x:c>
      <x:c r="L86" s="25" t="str">
        <x:v>accepted</x:v>
      </x:c>
      <x:c r="M86" s="25" t="str">
        <x:v>no</x:v>
      </x:c>
      <x:c r="N86" s="25" t="str">
        <x:v>saki_research/pre_phd_papers/bigio_salas_non_linear_effects_monetary_policy_real_exchange_rate_shocks_partially_dollarized_economies_empirical_study_peru.pdf</x:v>
      </x:c>
      <x:c r="O86" s="25" t="str">
        <x:v>Holmes, M. and Wang Ping (2000), Do Monetary Shocks Exert Non Linear Real Effects on UK Industrial Production?, Loughborough University (Research Paper, no 4).</x:v>
      </x:c>
    </x:row>
    <x:row r="87" ht="48" customHeight="1">
      <x:c r="A87" s="24" t="str">
        <x:v>E02-R021</x:v>
      </x:c>
      <x:c r="B87" s="24" t="str">
        <x:v>E02</x:v>
      </x:c>
      <x:c r="C87" s="26" t="n">
        <x:v>21</x:v>
      </x:c>
      <x:c r="D87" s="26" t="n">
        <x:v>29</x:v>
      </x:c>
      <x:c r="E87" s="26" t="n">
        <x:v>29</x:v>
      </x:c>
      <x:c r="F87" s="26" t="str">
        <x:v>Jackman</x:v>
      </x:c>
      <x:c r="G87" s="26" t="n">
        <x:v>1982</x:v>
      </x:c>
      <x:c r="H87" s="25" t="str">
        <x:v>Imperfect Capital Markets and the Monetarist Block: Liquidity Constraints, Inflation and the Asymmetric effects of interst Rate Policy</x:v>
      </x:c>
      <x:c r="I87" s="25" t="str"/>
      <x:c r="J87" s="25" t="str"/>
      <x:c r="K87" s="25" t="str">
        <x:v>automatic_screen_pass</x:v>
      </x:c>
      <x:c r="L87" s="25" t="str">
        <x:v>accepted</x:v>
      </x:c>
      <x:c r="M87" s="25" t="str">
        <x:v>no</x:v>
      </x:c>
      <x:c r="N87" s="25" t="str">
        <x:v>saki_research/pre_phd_papers/bigio_salas_non_linear_effects_monetary_policy_real_exchange_rate_shocks_partially_dollarized_economies_empirical_study_peru.pdf</x:v>
      </x:c>
      <x:c r="O87" s="25" t="str">
        <x:v>Jackman, Richard and John Sutton (1982), “Imperfect Capital Markets and the Monetarist Block: Liquidity Constraints, Inflation and the Asymmetric effects of interst Rate Policy”, The Economic Journal, vol. 92, no 365, pp. 108-28.</x:v>
      </x:c>
    </x:row>
    <x:row r="88" ht="48" customHeight="1">
      <x:c r="A88" s="24" t="str">
        <x:v>E02-R022</x:v>
      </x:c>
      <x:c r="B88" s="24" t="str">
        <x:v>E02</x:v>
      </x:c>
      <x:c r="C88" s="26" t="n">
        <x:v>22</x:v>
      </x:c>
      <x:c r="D88" s="26" t="n">
        <x:v>29</x:v>
      </x:c>
      <x:c r="E88" s="26" t="n">
        <x:v>30</x:v>
      </x:c>
      <x:c r="F88" s="26" t="str">
        <x:v>Karamé</x:v>
      </x:c>
      <x:c r="G88" s="26" t="n">
        <x:v>2002</x:v>
      </x:c>
      <x:c r="H88" s="25" t="str">
        <x:v>The Asymmetric Effects of Monetary Policy Shocks: A Nonlinear Structural VAR Approach</x:v>
      </x:c>
      <x:c r="I88" s="25" t="str"/>
      <x:c r="J88" s="25" t="str">
        <x:v>literal_citation_review_2026-09-16; local_header_cleanup_2026-09-16</x:v>
      </x:c>
      <x:c r="K88" s="25" t="str">
        <x:v>automatic_screen_pass</x:v>
      </x:c>
      <x:c r="L88" s="25" t="str">
        <x:v>accepted</x:v>
      </x:c>
      <x:c r="M88" s="25" t="str">
        <x:v>no</x:v>
      </x:c>
      <x:c r="N88" s="25" t="str">
        <x:v>saki_research/pre_phd_papers/bigio_salas_non_linear_effects_monetary_policy_real_exchange_rate_shocks_partially_dollarized_economies_empirical_study_peru.pdf</x:v>
      </x:c>
      <x:c r="O88" s="25" t="str">
        <x:v>Karamé, Frédéric and Alexandra Olmedo (2002), The Asymmetric Effects of Monetary Policy Shocks: A Nonlinear Structural VAR Approach, University of Paris, preliminary mimeo version.</x:v>
      </x:c>
    </x:row>
    <x:row r="89" ht="48" customHeight="1">
      <x:c r="A89" s="24" t="str">
        <x:v>E02-R023</x:v>
      </x:c>
      <x:c r="B89" s="24" t="str">
        <x:v>E02</x:v>
      </x:c>
      <x:c r="C89" s="26" t="n">
        <x:v>23</x:v>
      </x:c>
      <x:c r="D89" s="26" t="n">
        <x:v>30</x:v>
      </x:c>
      <x:c r="E89" s="26" t="n">
        <x:v>30</x:v>
      </x:c>
      <x:c r="F89" s="26" t="str">
        <x:v>Karras</x:v>
      </x:c>
      <x:c r="G89" s="26" t="n">
        <x:v>1996</x:v>
      </x:c>
      <x:c r="H89" s="25" t="str">
        <x:v>Why are the Effects of Monetary Policy Asymmetric? Convex Aggregate Supply or Pushing on a String?</x:v>
      </x:c>
      <x:c r="I89" s="25" t="str"/>
      <x:c r="J89" s="25" t="str"/>
      <x:c r="K89" s="25" t="str">
        <x:v>automatic_screen_pass</x:v>
      </x:c>
      <x:c r="L89" s="25" t="str">
        <x:v>accepted</x:v>
      </x:c>
      <x:c r="M89" s="25" t="str">
        <x:v>no</x:v>
      </x:c>
      <x:c r="N89" s="25" t="str">
        <x:v>saki_research/pre_phd_papers/bigio_salas_non_linear_effects_monetary_policy_real_exchange_rate_shocks_partially_dollarized_economies_empirical_study_peru.pdf</x:v>
      </x:c>
      <x:c r="O89" s="25" t="str">
        <x:v>Karras, Georgios (1996), “Why are the Effects of Monetary Policy Asymmetric? Convex Aggregate Supply or Pushing on a String?”, Journal of Macroeconomics, vol. 18, no 4, pp. 605-19.</x:v>
      </x:c>
    </x:row>
    <x:row r="90" ht="48" customHeight="1">
      <x:c r="A90" s="24" t="str">
        <x:v>E02-R024</x:v>
      </x:c>
      <x:c r="B90" s="24" t="str">
        <x:v>E02</x:v>
      </x:c>
      <x:c r="C90" s="26" t="n">
        <x:v>24</x:v>
      </x:c>
      <x:c r="D90" s="26" t="n">
        <x:v>30</x:v>
      </x:c>
      <x:c r="E90" s="26" t="n">
        <x:v>30</x:v>
      </x:c>
      <x:c r="F90" s="26" t="str">
        <x:v>Koop</x:v>
      </x:c>
      <x:c r="G90" s="26" t="n">
        <x:v>1996</x:v>
      </x:c>
      <x:c r="H90" s="25" t="str">
        <x:v>Impulse Response Analysis in Nonlinear Multivariate Models</x:v>
      </x:c>
      <x:c r="I90" s="25" t="str"/>
      <x:c r="J90" s="25" t="str"/>
      <x:c r="K90" s="25" t="str">
        <x:v>automatic_screen_pass</x:v>
      </x:c>
      <x:c r="L90" s="25" t="str">
        <x:v>accepted</x:v>
      </x:c>
      <x:c r="M90" s="25" t="str">
        <x:v>no</x:v>
      </x:c>
      <x:c r="N90" s="25" t="str">
        <x:v>saki_research/pre_phd_papers/bigio_salas_non_linear_effects_monetary_policy_real_exchange_rate_shocks_partially_dollarized_economies_empirical_study_peru.pdf</x:v>
      </x:c>
      <x:c r="O90" s="25" t="str">
        <x:v>Koop, Gary M, Hashem Pesaran and Simon M. Potter (1996), “Impulse Response Analysis in Nonlinear Multivariate Models”, Journal of Econometrics, vol. 74, pp. 119-47.</x:v>
      </x:c>
    </x:row>
    <x:row r="91" ht="48" customHeight="1">
      <x:c r="A91" s="24" t="str">
        <x:v>E02-R025</x:v>
      </x:c>
      <x:c r="B91" s="24" t="str">
        <x:v>E02</x:v>
      </x:c>
      <x:c r="C91" s="26" t="n">
        <x:v>25</x:v>
      </x:c>
      <x:c r="D91" s="26" t="n">
        <x:v>30</x:v>
      </x:c>
      <x:c r="E91" s="26" t="n">
        <x:v>30</x:v>
      </x:c>
      <x:c r="F91" s="26" t="str">
        <x:v>Lahiri</x:v>
      </x:c>
      <x:c r="G91" s="26" t="n">
        <x:v>2001</x:v>
      </x:c>
      <x:c r="H91" s="25" t="str">
        <x:v>Living with the Fear of Floating: An Optimal Policy Perspective</x:v>
      </x:c>
      <x:c r="I91" s="25" t="str"/>
      <x:c r="J91" s="25" t="str">
        <x:v>literal_citation_review_2026-09-16</x:v>
      </x:c>
      <x:c r="K91" s="25" t="str">
        <x:v>automatic_screen_pass</x:v>
      </x:c>
      <x:c r="L91" s="25" t="str">
        <x:v>accepted</x:v>
      </x:c>
      <x:c r="M91" s="25" t="str">
        <x:v>no</x:v>
      </x:c>
      <x:c r="N91" s="25" t="str">
        <x:v>saki_research/pre_phd_papers/bigio_salas_non_linear_effects_monetary_policy_real_exchange_rate_shocks_partially_dollarized_economies_empirical_study_peru.pdf</x:v>
      </x:c>
      <x:c r="O91" s="25" t="str">
        <x:v>Lahiri, Amartya and Carlos Végh (2001), Living with the Fear of Floating: An Optimal Policy Perspective, National Bureau of Economic Research (Working Paper, no 8391).</x:v>
      </x:c>
    </x:row>
    <x:row r="92" ht="48" customHeight="1">
      <x:c r="A92" s="24" t="str">
        <x:v>E02-R026</x:v>
      </x:c>
      <x:c r="B92" s="24" t="str">
        <x:v>E02</x:v>
      </x:c>
      <x:c r="C92" s="26" t="n">
        <x:v>26</x:v>
      </x:c>
      <x:c r="D92" s="26" t="n">
        <x:v>30</x:v>
      </x:c>
      <x:c r="E92" s="26" t="n">
        <x:v>30</x:v>
      </x:c>
      <x:c r="F92" s="26" t="str">
        <x:v>Leybourne</x:v>
      </x:c>
      <x:c r="G92" s="26" t="n">
        <x:v>1998</x:v>
      </x:c>
      <x:c r="H92" s="25" t="str">
        <x:v>Unit Roots and Smooth Transitions</x:v>
      </x:c>
      <x:c r="I92" s="25" t="str"/>
      <x:c r="J92" s="25" t="str"/>
      <x:c r="K92" s="25" t="str">
        <x:v>prior_manual_sample</x:v>
      </x:c>
      <x:c r="L92" s="25" t="str">
        <x:v>accepted</x:v>
      </x:c>
      <x:c r="M92" s="25" t="str">
        <x:v>no</x:v>
      </x:c>
      <x:c r="N92" s="25" t="str">
        <x:v>saki_research/pre_phd_papers/bigio_salas_non_linear_effects_monetary_policy_real_exchange_rate_shocks_partially_dollarized_economies_empirical_study_peru.pdf</x:v>
      </x:c>
      <x:c r="O92" s="25" t="str">
        <x:v>Leybourne, Stephen, Paul Newbold and Dimitrios Vougas (1998), “Unit Roots and Smooth Transitions”, Journal of Time Series Analysis, vol. 19, pp. 83-97.</x:v>
      </x:c>
    </x:row>
    <x:row r="93" ht="48" customHeight="1">
      <x:c r="A93" s="24" t="str">
        <x:v>E02-R027</x:v>
      </x:c>
      <x:c r="B93" s="24" t="str">
        <x:v>E02</x:v>
      </x:c>
      <x:c r="C93" s="26" t="n">
        <x:v>27</x:v>
      </x:c>
      <x:c r="D93" s="26" t="n">
        <x:v>30</x:v>
      </x:c>
      <x:c r="E93" s="26" t="n">
        <x:v>30</x:v>
      </x:c>
      <x:c r="F93" s="26" t="str">
        <x:v>Loveday</x:v>
      </x:c>
      <x:c r="G93" s="26" t="n">
        <x:v>2004</x:v>
      </x:c>
      <x:c r="H93" s="25" t="str">
        <x:v>Mecanismos de Transmisión de la Política Monetaria y el Impacto de una Devaluación en el Nivel de Firmas</x:v>
      </x:c>
      <x:c r="I93" s="25" t="str"/>
      <x:c r="J93" s="25" t="str"/>
      <x:c r="K93" s="25" t="str">
        <x:v>prior_manual_sample</x:v>
      </x:c>
      <x:c r="L93" s="25" t="str">
        <x:v>accepted</x:v>
      </x:c>
      <x:c r="M93" s="25" t="str">
        <x:v>no</x:v>
      </x:c>
      <x:c r="N93" s="25" t="str">
        <x:v>saki_research/pre_phd_papers/bigio_salas_non_linear_effects_monetary_policy_real_exchange_rate_shocks_partially_dollarized_economies_empirical_study_peru.pdf</x:v>
      </x:c>
      <x:c r="O93" s="25" t="str">
        <x:v>Loveday, James, Oswaldo Molina and Roddy Rivas-Llosa (2004), “Mecanismos de Transmisión de la Política Monetaria y el Impacto de una Devaluación en el Nivel de Firmas”, Estudios Económicos, no 12, Banco Central de Reserva del Perú.</x:v>
      </x:c>
    </x:row>
    <x:row r="94" ht="48" customHeight="1">
      <x:c r="A94" s="24" t="str">
        <x:v>E02-R028</x:v>
      </x:c>
      <x:c r="B94" s="24" t="str">
        <x:v>E02</x:v>
      </x:c>
      <x:c r="C94" s="26" t="n">
        <x:v>28</x:v>
      </x:c>
      <x:c r="D94" s="26" t="n">
        <x:v>30</x:v>
      </x:c>
      <x:c r="E94" s="26" t="n">
        <x:v>30</x:v>
      </x:c>
      <x:c r="F94" s="26" t="str">
        <x:v>Lukkonen</x:v>
      </x:c>
      <x:c r="G94" s="26" t="n">
        <x:v>1988</x:v>
      </x:c>
      <x:c r="H94" s="25" t="str">
        <x:v>Testing Linearity against Smooth transition Autoregressive Models</x:v>
      </x:c>
      <x:c r="I94" s="25" t="str"/>
      <x:c r="J94" s="25" t="str"/>
      <x:c r="K94" s="25" t="str">
        <x:v>automatic_screen_pass</x:v>
      </x:c>
      <x:c r="L94" s="25" t="str">
        <x:v>accepted</x:v>
      </x:c>
      <x:c r="M94" s="25" t="str">
        <x:v>no</x:v>
      </x:c>
      <x:c r="N94" s="25" t="str">
        <x:v>saki_research/pre_phd_papers/bigio_salas_non_linear_effects_monetary_policy_real_exchange_rate_shocks_partially_dollarized_economies_empirical_study_peru.pdf</x:v>
      </x:c>
      <x:c r="O94" s="25" t="str">
        <x:v>Lukkonen, R., P. Saikkonen, and T. Terasvirta (1988), “Testing Linearity against Smooth transition Autoregressive Models”, Biometrika, vol. 75, pp. 491-99.</x:v>
      </x:c>
    </x:row>
    <x:row r="95" ht="48" customHeight="1">
      <x:c r="A95" s="24" t="str">
        <x:v>E02-R029</x:v>
      </x:c>
      <x:c r="B95" s="24" t="str">
        <x:v>E02</x:v>
      </x:c>
      <x:c r="C95" s="26" t="n">
        <x:v>29</x:v>
      </x:c>
      <x:c r="D95" s="26" t="n">
        <x:v>30</x:v>
      </x:c>
      <x:c r="E95" s="26" t="n">
        <x:v>30</x:v>
      </x:c>
      <x:c r="F95" s="26" t="str">
        <x:v>Miller</x:v>
      </x:c>
      <x:c r="G95" s="26" t="n">
        <x:v>2003</x:v>
      </x:c>
      <x:c r="H95" s="25" t="str">
        <x:v>Estimación del Pass-Through del Tipo de Cambio a Precios: 1995-2002</x:v>
      </x:c>
      <x:c r="I95" s="25" t="str"/>
      <x:c r="J95" s="25" t="str"/>
      <x:c r="K95" s="25" t="str">
        <x:v>exhaustive_visual_multiwork_pattern_accepted</x:v>
      </x:c>
      <x:c r="L95" s="25" t="str">
        <x:v>accepted</x:v>
      </x:c>
      <x:c r="M95" s="25" t="str">
        <x:v>sí</x:v>
      </x:c>
      <x:c r="N95" s="25" t="str">
        <x:v>saki_research/pre_phd_papers/bigio_salas_non_linear_effects_monetary_policy_real_exchange_rate_shocks_partially_dollarized_economies_empirical_study_peru.pdf</x:v>
      </x:c>
      <x:c r="O95" s="25" t="str">
        <x:v>Miller, Shirley (2003), “Estimación del Pass-Through del Tipo de Cambio a Precios: 1995-2002”, Estudios Económicos, no 10, Banco Central de Reserva del Perú.</x:v>
      </x:c>
    </x:row>
    <x:row r="96" ht="48" customHeight="1">
      <x:c r="A96" s="24" t="str">
        <x:v>E02-R030</x:v>
      </x:c>
      <x:c r="B96" s="24" t="str">
        <x:v>E02</x:v>
      </x:c>
      <x:c r="C96" s="26" t="n">
        <x:v>30</x:v>
      </x:c>
      <x:c r="D96" s="26" t="n">
        <x:v>30</x:v>
      </x:c>
      <x:c r="E96" s="26" t="n">
        <x:v>30</x:v>
      </x:c>
      <x:c r="F96" s="26" t="str">
        <x:v>Morgan</x:v>
      </x:c>
      <x:c r="G96" s="26" t="n">
        <x:v>1993</x:v>
      </x:c>
      <x:c r="H96" s="25" t="str">
        <x:v>Asymmetri c Effects of Monetary Policy</x:v>
      </x:c>
      <x:c r="I96" s="25" t="str"/>
      <x:c r="J96" s="25" t="str"/>
      <x:c r="K96" s="25" t="str">
        <x:v>automatic_screen_pass</x:v>
      </x:c>
      <x:c r="L96" s="25" t="str">
        <x:v>accepted</x:v>
      </x:c>
      <x:c r="M96" s="25" t="str">
        <x:v>no</x:v>
      </x:c>
      <x:c r="N96" s="25" t="str">
        <x:v>saki_research/pre_phd_papers/bigio_salas_non_linear_effects_monetary_policy_real_exchange_rate_shocks_partially_dollarized_economies_empirical_study_peru.pdf</x:v>
      </x:c>
      <x:c r="O96" s="25" t="str">
        <x:v>Morgan, Donald (1993), “Asymmetri c Effects of Monetary Policy”, Economic Review, Federal Reserve Bank of Kansas City, n o 78, pp. 21-33.</x:v>
      </x:c>
    </x:row>
    <x:row r="97" ht="48" customHeight="1">
      <x:c r="A97" s="24" t="str">
        <x:v>E02-R031</x:v>
      </x:c>
      <x:c r="B97" s="24" t="str">
        <x:v>E02</x:v>
      </x:c>
      <x:c r="C97" s="26" t="n">
        <x:v>31</x:v>
      </x:c>
      <x:c r="D97" s="26" t="n">
        <x:v>30</x:v>
      </x:c>
      <x:c r="E97" s="26" t="n">
        <x:v>30</x:v>
      </x:c>
      <x:c r="F97" s="26" t="str">
        <x:v>Morón</x:v>
      </x:c>
      <x:c r="G97" s="26" t="n">
        <x:v>2005</x:v>
      </x:c>
      <x:c r="H97" s="25" t="str">
        <x:v>Monetary Policy Rules for Financially Vulnerable Economies</x:v>
      </x:c>
      <x:c r="I97" s="25" t="str"/>
      <x:c r="J97" s="25" t="str"/>
      <x:c r="K97" s="25" t="str">
        <x:v>automatic_screen_pass</x:v>
      </x:c>
      <x:c r="L97" s="25" t="str">
        <x:v>accepted</x:v>
      </x:c>
      <x:c r="M97" s="25" t="str">
        <x:v>no</x:v>
      </x:c>
      <x:c r="N97" s="25" t="str">
        <x:v>saki_research/pre_phd_papers/bigio_salas_non_linear_effects_monetary_policy_real_exchange_rate_shocks_partially_dollarized_economies_empirical_study_peru.pdf</x:v>
      </x:c>
      <x:c r="O97" s="25" t="str">
        <x:v>Morón, Eduardo and Diego Winkelried (2005), “Monetary Policy Rules for Financially Vulnerable Economies”, Journal of Development Economics, vol. 76, no 1, pp. 23-51.</x:v>
      </x:c>
    </x:row>
    <x:row r="98" ht="48" customHeight="1">
      <x:c r="A98" s="24" t="str">
        <x:v>E02-R032</x:v>
      </x:c>
      <x:c r="B98" s="24" t="str">
        <x:v>E02</x:v>
      </x:c>
      <x:c r="C98" s="26" t="n">
        <x:v>32</x:v>
      </x:c>
      <x:c r="D98" s="26" t="n">
        <x:v>30</x:v>
      </x:c>
      <x:c r="E98" s="26" t="n">
        <x:v>30</x:v>
      </x:c>
      <x:c r="F98" s="26" t="str">
        <x:v>Parrado</x:v>
      </x:c>
      <x:c r="G98" s="26" t="n">
        <x:v>2001</x:v>
      </x:c>
      <x:c r="H98" s="25" t="str">
        <x:v>Effects of foreign and domestic monetary policy in a small open economy: the case of Chile</x:v>
      </x:c>
      <x:c r="I98" s="25" t="str"/>
      <x:c r="J98" s="25" t="str">
        <x:v>literal_citation_review_2026-09-16</x:v>
      </x:c>
      <x:c r="K98" s="25" t="str">
        <x:v>automatic_screen_pass</x:v>
      </x:c>
      <x:c r="L98" s="25" t="str">
        <x:v>accepted</x:v>
      </x:c>
      <x:c r="M98" s="25" t="str">
        <x:v>no</x:v>
      </x:c>
      <x:c r="N98" s="25" t="str">
        <x:v>saki_research/pre_phd_papers/bigio_salas_non_linear_effects_monetary_policy_real_exchange_rate_shocks_partially_dollarized_economies_empirical_study_peru.pdf</x:v>
      </x:c>
      <x:c r="O98" s="25" t="str">
        <x:v>Parrado, Eric (2001), Effects of foreign and domestic monetary policy in a small open economy: the case of Chile, Banco Central de Chile (Working Paper, no 108).</x:v>
      </x:c>
    </x:row>
    <x:row r="99" ht="48" customHeight="1">
      <x:c r="A99" s="24" t="str">
        <x:v>E02-R033</x:v>
      </x:c>
      <x:c r="B99" s="24" t="str">
        <x:v>E02</x:v>
      </x:c>
      <x:c r="C99" s="26" t="n">
        <x:v>33</x:v>
      </x:c>
      <x:c r="D99" s="26" t="n">
        <x:v>30</x:v>
      </x:c>
      <x:c r="E99" s="26" t="n">
        <x:v>30</x:v>
      </x:c>
      <x:c r="F99" s="26" t="str">
        <x:v>Parrado</x:v>
      </x:c>
      <x:c r="G99" s="26" t="n">
        <x:v>2001</x:v>
      </x:c>
      <x:c r="H99" s="25" t="str">
        <x:v>Optimal Interest Rate Policy in a Small Open Economy</x:v>
      </x:c>
      <x:c r="I99" s="25" t="str"/>
      <x:c r="J99" s="25" t="str">
        <x:v>literal_citation_review_2026-09-16</x:v>
      </x:c>
      <x:c r="K99" s="25" t="str">
        <x:v>prior_manual_sample</x:v>
      </x:c>
      <x:c r="L99" s="25" t="str">
        <x:v>accepted</x:v>
      </x:c>
      <x:c r="M99" s="25" t="str">
        <x:v>no</x:v>
      </x:c>
      <x:c r="N99" s="25" t="str">
        <x:v>saki_research/pre_phd_papers/bigio_salas_non_linear_effects_monetary_policy_real_exchange_rate_shocks_partially_dollarized_economies_empirical_study_peru.pdf</x:v>
      </x:c>
      <x:c r="O99" s="25" t="str">
        <x:v>Parrado, Eric, and Andrés Velasco (2001), Optimal Interest Rate Policy in a Small Open Economy, National Bureau of Economic Research (Working Paper, no 8721).</x:v>
      </x:c>
    </x:row>
    <x:row r="100" ht="48" customHeight="1">
      <x:c r="A100" s="24" t="str">
        <x:v>E02-R034</x:v>
      </x:c>
      <x:c r="B100" s="24" t="str">
        <x:v>E02</x:v>
      </x:c>
      <x:c r="C100" s="26" t="n">
        <x:v>34</x:v>
      </x:c>
      <x:c r="D100" s="26" t="n">
        <x:v>30</x:v>
      </x:c>
      <x:c r="E100" s="26" t="n">
        <x:v>30</x:v>
      </x:c>
      <x:c r="F100" s="26" t="str">
        <x:v>Quispe</x:v>
      </x:c>
      <x:c r="G100" s="26" t="n">
        <x:v>2000</x:v>
      </x:c>
      <x:c r="H100" s="25" t="str">
        <x:v>Política monetaria en una economía con dolarización parcial: el caso del Perú</x:v>
      </x:c>
      <x:c r="I100" s="25" t="str"/>
      <x:c r="J100" s="25" t="str"/>
      <x:c r="K100" s="25" t="str">
        <x:v>automatic_screen_pass</x:v>
      </x:c>
      <x:c r="L100" s="25" t="str">
        <x:v>accepted</x:v>
      </x:c>
      <x:c r="M100" s="25" t="str">
        <x:v>no</x:v>
      </x:c>
      <x:c r="N100" s="25" t="str">
        <x:v>saki_research/pre_phd_papers/bigio_salas_non_linear_effects_monetary_policy_real_exchange_rate_shocks_partially_dollarized_economies_empirical_study_peru.pdf</x:v>
      </x:c>
      <x:c r="O100" s="25" t="str">
        <x:v>Quispe, Zenón (2000), “Política monetaria en una economía con dolarización parcial: el caso del Perú”, Estudios Económicos, no 6, Banco Central de Reserva del Perú.</x:v>
      </x:c>
    </x:row>
    <x:row r="101" ht="48" customHeight="1">
      <x:c r="A101" s="24" t="str">
        <x:v>E02-R035</x:v>
      </x:c>
      <x:c r="B101" s="24" t="str">
        <x:v>E02</x:v>
      </x:c>
      <x:c r="C101" s="26" t="n">
        <x:v>35</x:v>
      </x:c>
      <x:c r="D101" s="26" t="n">
        <x:v>30</x:v>
      </x:c>
      <x:c r="E101" s="26" t="n">
        <x:v>30</x:v>
      </x:c>
      <x:c r="F101" s="26" t="str">
        <x:v>Ravn</x:v>
      </x:c>
      <x:c r="G101" s="26" t="n">
        <x:v>1996</x:v>
      </x:c>
      <x:c r="H101" s="25" t="str">
        <x:v>A reconsideration of the empirical Evidence on the Asymmetric Effects of Money-Supply Shocks: Positive vs. Negative or Big vs. Small?</x:v>
      </x:c>
      <x:c r="I101" s="25" t="str"/>
      <x:c r="J101" s="25" t="str">
        <x:v>literal_citation_review_2026-09-16</x:v>
      </x:c>
      <x:c r="K101" s="25" t="str">
        <x:v>prior_manual_sample</x:v>
      </x:c>
      <x:c r="L101" s="25" t="str">
        <x:v>accepted</x:v>
      </x:c>
      <x:c r="M101" s="25" t="str">
        <x:v>no</x:v>
      </x:c>
      <x:c r="N101" s="25" t="str">
        <x:v>saki_research/pre_phd_papers/bigio_salas_non_linear_effects_monetary_policy_real_exchange_rate_shocks_partially_dollarized_economies_empirical_study_peru.pdf</x:v>
      </x:c>
      <x:c r="O101" s="25" t="str">
        <x:v>Ravn, Morten O., and Martin Sola (1996), A reconsideration of the empirical Evidence on the Asymmetric Effects of Money-Supply Shocks: Positive vs. Negative or Big vs. Small?, Center for Non-Linear Modeling in Economics, University of Aarhus (Working Paper, no 1996-4).</x:v>
      </x:c>
    </x:row>
    <x:row r="102" ht="48" customHeight="1">
      <x:c r="A102" s="24" t="str">
        <x:v>E02-R036</x:v>
      </x:c>
      <x:c r="B102" s="24" t="str">
        <x:v>E02</x:v>
      </x:c>
      <x:c r="C102" s="26" t="n">
        <x:v>36</x:v>
      </x:c>
      <x:c r="D102" s="26" t="n">
        <x:v>31</x:v>
      </x:c>
      <x:c r="E102" s="26" t="n">
        <x:v>31</x:v>
      </x:c>
      <x:c r="F102" s="26" t="str">
        <x:v>Reinhart</x:v>
      </x:c>
      <x:c r="G102" s="26" t="n">
        <x:v>2003</x:v>
      </x:c>
      <x:c r="H102" s="25" t="str">
        <x:v>Addicted to Dollars</x:v>
      </x:c>
      <x:c r="I102" s="25" t="str"/>
      <x:c r="J102" s="25" t="str">
        <x:v>literal_citation_review_2026-09-16; literal_citation_review_2026-09-16; local_header_cleanup_2026-09-16</x:v>
      </x:c>
      <x:c r="K102" s="25" t="str">
        <x:v>automatic_screen_pass</x:v>
      </x:c>
      <x:c r="L102" s="25" t="str">
        <x:v>accepted</x:v>
      </x:c>
      <x:c r="M102" s="25" t="str">
        <x:v>no</x:v>
      </x:c>
      <x:c r="N102" s="25" t="str">
        <x:v>saki_research/pre_phd_papers/bigio_salas_non_linear_effects_monetary_policy_real_exchange_rate_shocks_partially_dollarized_economies_empirical_study_peru.pdf</x:v>
      </x:c>
      <x:c r="O102" s="25" t="str">
        <x:v>Reinhart, Carmen, Kenneth Rogoff and Miguel Savastano (2003), Addicted to Dollars, National Bureau of Economic Research (Working Paper, no 10015).</x:v>
      </x:c>
    </x:row>
    <x:row r="103" ht="48" customHeight="1">
      <x:c r="A103" s="24" t="str">
        <x:v>E02-R037</x:v>
      </x:c>
      <x:c r="B103" s="24" t="str">
        <x:v>E02</x:v>
      </x:c>
      <x:c r="C103" s="26" t="n">
        <x:v>37</x:v>
      </x:c>
      <x:c r="D103" s="26" t="n">
        <x:v>31</x:v>
      </x:c>
      <x:c r="E103" s="26" t="n">
        <x:v>31</x:v>
      </x:c>
      <x:c r="F103" s="26" t="str">
        <x:v>Rossini</x:v>
      </x:c>
      <x:c r="G103" s="26" t="n">
        <x:v>2001</x:v>
      </x:c>
      <x:c r="H103" s="25" t="str">
        <x:v>Aspectos de la adopción de un régimen de metas de inflación en el Perú</x:v>
      </x:c>
      <x:c r="I103" s="25" t="str"/>
      <x:c r="J103" s="25" t="str"/>
      <x:c r="K103" s="25" t="str">
        <x:v>automatic_screen_pass</x:v>
      </x:c>
      <x:c r="L103" s="25" t="str">
        <x:v>accepted</x:v>
      </x:c>
      <x:c r="M103" s="25" t="str">
        <x:v>no</x:v>
      </x:c>
      <x:c r="N103" s="25" t="str">
        <x:v>saki_research/pre_phd_papers/bigio_salas_non_linear_effects_monetary_policy_real_exchange_rate_shocks_partially_dollarized_economies_empirical_study_peru.pdf</x:v>
      </x:c>
      <x:c r="O103" s="25" t="str">
        <x:v>Rossini, Renzo (2001), “Aspectos de la adopción de un régimen de metas de inflación en el Perú”, Estudios Económicos, no 8, Banco Central de Reserva del Perú.</x:v>
      </x:c>
    </x:row>
    <x:row r="104" ht="48" customHeight="1">
      <x:c r="A104" s="24" t="str">
        <x:v>E02-R038</x:v>
      </x:c>
      <x:c r="B104" s="24" t="str">
        <x:v>E02</x:v>
      </x:c>
      <x:c r="C104" s="26" t="n">
        <x:v>38</x:v>
      </x:c>
      <x:c r="D104" s="26" t="n">
        <x:v>31</x:v>
      </x:c>
      <x:c r="E104" s="26" t="n">
        <x:v>31</x:v>
      </x:c>
      <x:c r="F104" s="26" t="str">
        <x:v>Sims</x:v>
      </x:c>
      <x:c r="G104" s="26" t="n">
        <x:v>1980</x:v>
      </x:c>
      <x:c r="H104" s="25" t="str">
        <x:v>Macroeconomics and Reality</x:v>
      </x:c>
      <x:c r="I104" s="25" t="str"/>
      <x:c r="J104" s="25" t="str"/>
      <x:c r="K104" s="25" t="str">
        <x:v>automatic_screen_pass</x:v>
      </x:c>
      <x:c r="L104" s="25" t="str">
        <x:v>accepted</x:v>
      </x:c>
      <x:c r="M104" s="25" t="str">
        <x:v>no</x:v>
      </x:c>
      <x:c r="N104" s="25" t="str">
        <x:v>saki_research/pre_phd_papers/bigio_salas_non_linear_effects_monetary_policy_real_exchange_rate_shocks_partially_dollarized_economies_empirical_study_peru.pdf</x:v>
      </x:c>
      <x:c r="O104" s="25" t="str">
        <x:v>Sims, Christopher (1980), “Macroeconomics and Reality”, Econometrica, vol. 48, no 1, pp. 1-48.</x:v>
      </x:c>
    </x:row>
    <x:row r="105" ht="48" customHeight="1">
      <x:c r="A105" s="24" t="str">
        <x:v>E02-R039</x:v>
      </x:c>
      <x:c r="B105" s="24" t="str">
        <x:v>E02</x:v>
      </x:c>
      <x:c r="C105" s="26" t="n">
        <x:v>39</x:v>
      </x:c>
      <x:c r="D105" s="26" t="n">
        <x:v>31</x:v>
      </x:c>
      <x:c r="E105" s="26" t="n">
        <x:v>31</x:v>
      </x:c>
      <x:c r="F105" s="26" t="str">
        <x:v>Terasvirta</x:v>
      </x:c>
      <x:c r="G105" s="26" t="n">
        <x:v>1992</x:v>
      </x:c>
      <x:c r="H105" s="25" t="str">
        <x:v>Characterizing Nonlinearities in Business Cycles Using Smooth Transition Autoregressive Models</x:v>
      </x:c>
      <x:c r="I105" s="25" t="str"/>
      <x:c r="J105" s="25" t="str"/>
      <x:c r="K105" s="25" t="str">
        <x:v>automatic_screen_pass</x:v>
      </x:c>
      <x:c r="L105" s="25" t="str">
        <x:v>accepted</x:v>
      </x:c>
      <x:c r="M105" s="25" t="str">
        <x:v>no</x:v>
      </x:c>
      <x:c r="N105" s="25" t="str">
        <x:v>saki_research/pre_phd_papers/bigio_salas_non_linear_effects_monetary_policy_real_exchange_rate_shocks_partially_dollarized_economies_empirical_study_peru.pdf</x:v>
      </x:c>
      <x:c r="O105" s="25" t="str">
        <x:v>Terasvirta, T. and H. Anderson (1992). “Characterizing Nonlinearities in Business Cycles Using Smooth Transition Autoregressive Models”, Journal of Applied Econometrics, vol. 7, no S, pp. 119-36.</x:v>
      </x:c>
    </x:row>
    <x:row r="106" ht="48" customHeight="1">
      <x:c r="A106" s="24" t="str">
        <x:v>E02-R040</x:v>
      </x:c>
      <x:c r="B106" s="24" t="str">
        <x:v>E02</x:v>
      </x:c>
      <x:c r="C106" s="26" t="n">
        <x:v>40</x:v>
      </x:c>
      <x:c r="D106" s="26" t="n">
        <x:v>31</x:v>
      </x:c>
      <x:c r="E106" s="26" t="n">
        <x:v>31</x:v>
      </x:c>
      <x:c r="F106" s="26" t="str">
        <x:v>Thoma</x:v>
      </x:c>
      <x:c r="G106" s="26" t="n">
        <x:v>1994</x:v>
      </x:c>
      <x:c r="H106" s="25" t="str">
        <x:v>Subsample Instability and Asymmetries in Money-Income Causality</x:v>
      </x:c>
      <x:c r="I106" s="25" t="str"/>
      <x:c r="J106" s="25" t="str"/>
      <x:c r="K106" s="25" t="str">
        <x:v>automatic_screen_pass</x:v>
      </x:c>
      <x:c r="L106" s="25" t="str">
        <x:v>accepted</x:v>
      </x:c>
      <x:c r="M106" s="25" t="str">
        <x:v>no</x:v>
      </x:c>
      <x:c r="N106" s="25" t="str">
        <x:v>saki_research/pre_phd_papers/bigio_salas_non_linear_effects_monetary_policy_real_exchange_rate_shocks_partially_dollarized_economies_empirical_study_peru.pdf</x:v>
      </x:c>
      <x:c r="O106" s="25" t="str">
        <x:v>Thoma, Mark A (1994), “Subsample Instability and Asymmetries in Money-Income Causality”, Journal of Econometrics, vol. 64, no 1-2, pp. 270-306.</x:v>
      </x:c>
    </x:row>
    <x:row r="107" ht="48" customHeight="1">
      <x:c r="A107" s="24" t="str">
        <x:v>E02-R041</x:v>
      </x:c>
      <x:c r="B107" s="24" t="str">
        <x:v>E02</x:v>
      </x:c>
      <x:c r="C107" s="26" t="n">
        <x:v>41</x:v>
      </x:c>
      <x:c r="D107" s="26" t="n">
        <x:v>31</x:v>
      </x:c>
      <x:c r="E107" s="26" t="n">
        <x:v>31</x:v>
      </x:c>
      <x:c r="F107" s="26" t="str">
        <x:v>Weise</x:v>
      </x:c>
      <x:c r="G107" s="26" t="n">
        <x:v>1999</x:v>
      </x:c>
      <x:c r="H107" s="25" t="str">
        <x:v>The Asymmetric Effects of Monetary Policy: A Nonlinear Vector Autoregression Approach</x:v>
      </x:c>
      <x:c r="I107" s="25" t="str"/>
      <x:c r="J107" s="25" t="str"/>
      <x:c r="K107" s="25" t="str">
        <x:v>automatic_screen_pass</x:v>
      </x:c>
      <x:c r="L107" s="25" t="str">
        <x:v>accepted</x:v>
      </x:c>
      <x:c r="M107" s="25" t="str">
        <x:v>no</x:v>
      </x:c>
      <x:c r="N107" s="25" t="str">
        <x:v>saki_research/pre_phd_papers/bigio_salas_non_linear_effects_monetary_policy_real_exchange_rate_shocks_partially_dollarized_economies_empirical_study_peru.pdf</x:v>
      </x:c>
      <x:c r="O107" s="25" t="str">
        <x:v>Weise, Charles L. (1999), “The Asymmetric Effects of Monetary Policy: A Nonlinear Vector Autoregression Approach”, Journal of Money Credit and Banking, vol. 31, no 1, pp. 85-108.</x:v>
      </x:c>
    </x:row>
    <x:row r="108" ht="48" customHeight="1">
      <x:c r="A108" s="24" t="str">
        <x:v>E02-R042</x:v>
      </x:c>
      <x:c r="B108" s="24" t="str">
        <x:v>E02</x:v>
      </x:c>
      <x:c r="C108" s="26" t="n">
        <x:v>42</x:v>
      </x:c>
      <x:c r="D108" s="26" t="n">
        <x:v>31</x:v>
      </x:c>
      <x:c r="E108" s="26" t="n">
        <x:v>31</x:v>
      </x:c>
      <x:c r="F108" s="26" t="str">
        <x:v>Winkelried</x:v>
      </x:c>
      <x:c r="G108" s="26" t="n">
        <x:v>2003</x:v>
      </x:c>
      <x:c r="H108" s="25" t="str">
        <x:v>Es asimétrico el Pass-through en el Perú?: un análisis agregado</x:v>
      </x:c>
      <x:c r="I108" s="25" t="str"/>
      <x:c r="J108" s="25" t="str"/>
      <x:c r="K108" s="25" t="str">
        <x:v>automatic_screen_pass</x:v>
      </x:c>
      <x:c r="L108" s="25" t="str">
        <x:v>accepted</x:v>
      </x:c>
      <x:c r="M108" s="25" t="str">
        <x:v>no</x:v>
      </x:c>
      <x:c r="N108" s="25" t="str">
        <x:v>saki_research/pre_phd_papers/bigio_salas_non_linear_effects_monetary_policy_real_exchange_rate_shocks_partially_dollarized_economies_empirical_study_peru.pdf</x:v>
      </x:c>
      <x:c r="O108" s="25" t="str">
        <x:v>Winkelried, Diego (2003), “Es asimétrico el Pass-through en el Perú?: un análisis agregado”, Estudios Económicos, no 10, Banco Central de Reserva del Perú.</x:v>
      </x:c>
    </x:row>
    <x:row r="109" ht="48" customHeight="1">
      <x:c r="A109" s="24" t="str">
        <x:v>E02-R043</x:v>
      </x:c>
      <x:c r="B109" s="24" t="str">
        <x:v>E02</x:v>
      </x:c>
      <x:c r="C109" s="26" t="n">
        <x:v>43</x:v>
      </x:c>
      <x:c r="D109" s="26" t="n">
        <x:v>31</x:v>
      </x:c>
      <x:c r="E109" s="26" t="n">
        <x:v>31</x:v>
      </x:c>
      <x:c r="F109" s="26" t="str">
        <x:v>Winkelried</x:v>
      </x:c>
      <x:c r="G109" s="26" t="n">
        <x:v>2004</x:v>
      </x:c>
      <x:c r="H109" s="25" t="str">
        <x:v>Tendencias Comunes y Análisis de la Política Monetaria en el Perú</x:v>
      </x:c>
      <x:c r="I109" s="25" t="str"/>
      <x:c r="J109" s="25" t="str"/>
      <x:c r="K109" s="25" t="str">
        <x:v>prior_manual_sample</x:v>
      </x:c>
      <x:c r="L109" s="25" t="str">
        <x:v>accepted</x:v>
      </x:c>
      <x:c r="M109" s="25" t="str">
        <x:v>no</x:v>
      </x:c>
      <x:c r="N109" s="25" t="str">
        <x:v>saki_research/pre_phd_papers/bigio_salas_non_linear_effects_monetary_policy_real_exchange_rate_shocks_partially_dollarized_economies_empirical_study_peru.pdf</x:v>
      </x:c>
      <x:c r="O109" s="25" t="str">
        <x:v>Winkelried, Diego (2004), “Tendencias Comunes y Análisis de la Política Monetaria en el Perú ”, Estudios Económicos, no 11, Banco Central de Reserva del Perú.</x:v>
      </x:c>
    </x:row>
    <x:row r="110" ht="48" customHeight="1">
      <x:c r="A110" s="24" t="str">
        <x:v>E02-R044</x:v>
      </x:c>
      <x:c r="B110" s="24" t="str">
        <x:v>E02</x:v>
      </x:c>
      <x:c r="C110" s="26" t="n">
        <x:v>44</x:v>
      </x:c>
      <x:c r="D110" s="26" t="n">
        <x:v>31</x:v>
      </x:c>
      <x:c r="E110" s="26" t="n">
        <x:v>31</x:v>
      </x:c>
      <x:c r="F110" s="26" t="str">
        <x:v>Woodford</x:v>
      </x:c>
      <x:c r="G110" s="26" t="n">
        <x:v>2003</x:v>
      </x:c>
      <x:c r="H110" s="25" t="str">
        <x:v>Interest and Prices: Foundations of a Theory of Monetary Policy</x:v>
      </x:c>
      <x:c r="I110" s="25" t="str"/>
      <x:c r="J110" s="25" t="str">
        <x:v>literal_citation_review_2026-09-16</x:v>
      </x:c>
      <x:c r="K110" s="25" t="str">
        <x:v>automatic_screen_pass</x:v>
      </x:c>
      <x:c r="L110" s="25" t="str">
        <x:v>accepted</x:v>
      </x:c>
      <x:c r="M110" s="25" t="str">
        <x:v>no</x:v>
      </x:c>
      <x:c r="N110" s="25" t="str">
        <x:v>saki_research/pre_phd_papers/bigio_salas_non_linear_effects_monetary_policy_real_exchange_rate_shocks_partially_dollarized_economies_empirical_study_peru.pdf</x:v>
      </x:c>
      <x:c r="O110" s="25" t="str">
        <x:v>Woodford, Michael (2003), Interest and Prices: Foundations of a Theory of Monetary Policy, Princeton University Press.</x:v>
      </x:c>
    </x:row>
    <x:row r="111" ht="48" customHeight="1">
      <x:c r="A111" s="24" t="str">
        <x:v>C02-R001</x:v>
      </x:c>
      <x:c r="B111" s="24" t="str">
        <x:v>C02</x:v>
      </x:c>
      <x:c r="C111" s="26" t="n">
        <x:v>1</x:v>
      </x:c>
      <x:c r="D111" s="26" t="n">
        <x:v>9</x:v>
      </x:c>
      <x:c r="E111" s="26" t="n">
        <x:v>9</x:v>
      </x:c>
      <x:c r="F111" s="26" t="str">
        <x:v>Baqaee</x:v>
      </x:c>
      <x:c r="G111" s="26"/>
      <x:c r="H111" s="25" t="str">
        <x:v>Micro Propagation and Macro Aggregation</x:v>
      </x:c>
      <x:c r="I111" s="25" t="str">
        <x:v>missing_year</x:v>
      </x:c>
      <x:c r="J111" s="25" t="str">
        <x:v>local_citation_grammar_v3</x:v>
      </x:c>
      <x:c r="K111" s="25" t="str">
        <x:v>prior_manual_sample</x:v>
      </x:c>
      <x:c r="L111" s="25" t="str">
        <x:v>accepted</x:v>
      </x:c>
      <x:c r="M111" s="25" t="str">
        <x:v>no</x:v>
      </x:c>
      <x:c r="N111" s="25" t="str">
        <x:v>saki_research/published_comments/bigio_discussion_business_cycle_asymmetry_input_output_structure_role_firm_networks_miranda_pinto_silva_young.pdf</x:v>
      </x:c>
      <x:c r="O111" s="25" t="str">
        <x:v>Baqaee, David and Elisa Rubb o , Micro Propagation and Macro Aggregation, Annual Review of Economics , forthcoming.</x:v>
      </x:c>
    </x:row>
    <x:row r="112" ht="48" customHeight="1">
      <x:c r="A112" s="24" t="str">
        <x:v>C02-R002</x:v>
      </x:c>
      <x:c r="B112" s="24" t="str">
        <x:v>C02</x:v>
      </x:c>
      <x:c r="C112" s="26" t="n">
        <x:v>2</x:v>
      </x:c>
      <x:c r="D112" s="26" t="n">
        <x:v>9</x:v>
      </x:c>
      <x:c r="E112" s="26" t="n">
        <x:v>9</x:v>
      </x:c>
      <x:c r="F112" s="26" t="str">
        <x:v>Baqaee</x:v>
      </x:c>
      <x:c r="G112" s="26" t="n">
        <x:v>2019</x:v>
      </x:c>
      <x:c r="H112" s="25" t="str">
        <x:v>The Macro economic Impact of Micro economic Sho cks: Beyond Hulten's Theorem</x:v>
      </x:c>
      <x:c r="I112" s="25" t="str"/>
      <x:c r="J112" s="25" t="str">
        <x:v>local_citation_grammar_v3</x:v>
      </x:c>
      <x:c r="K112" s="25" t="str">
        <x:v>prior_manual_sample</x:v>
      </x:c>
      <x:c r="L112" s="25" t="str">
        <x:v>accepted</x:v>
      </x:c>
      <x:c r="M112" s="25" t="str">
        <x:v>no</x:v>
      </x:c>
      <x:c r="N112" s="25" t="str">
        <x:v>saki_research/published_comments/bigio_discussion_business_cycle_asymmetry_input_output_structure_role_firm_networks_miranda_pinto_silva_young.pdf</x:v>
      </x:c>
      <x:c r="O112" s="25" t="str">
        <x:v>Baqaee, David Rezza and Emmanuel Farhi , The Macro economic Impact of Micro economic Sho cks: Beyond Hulten's Theorem, Econometrica , 2019, 87 (4), 1155 1203.</x:v>
      </x:c>
    </x:row>
    <x:row r="113" ht="48" customHeight="1">
      <x:c r="A113" s="24" t="str">
        <x:v>C02-R003</x:v>
      </x:c>
      <x:c r="B113" s="24" t="str">
        <x:v>C02</x:v>
      </x:c>
      <x:c r="C113" s="26" t="n">
        <x:v>3</x:v>
      </x:c>
      <x:c r="D113" s="26" t="n">
        <x:v>9</x:v>
      </x:c>
      <x:c r="E113" s="26" t="n">
        <x:v>9</x:v>
      </x:c>
      <x:c r="F113" s="26" t="str">
        <x:v>Bigio</x:v>
      </x:c>
      <x:c r="G113" s="26" t="n">
        <x:v>2023</x:v>
      </x:c>
      <x:c r="H113" s="25" t="str">
        <x:v>Heterogeneous Beliefs and the Business Cycle</x:v>
      </x:c>
      <x:c r="I113" s="25" t="str"/>
      <x:c r="J113" s="25" t="str">
        <x:v>local_citation_grammar_v3</x:v>
      </x:c>
      <x:c r="K113" s="25" t="str">
        <x:v>automatic_screen_pass</x:v>
      </x:c>
      <x:c r="L113" s="25" t="str">
        <x:v>accepted</x:v>
      </x:c>
      <x:c r="M113" s="25" t="str">
        <x:v>no</x:v>
      </x:c>
      <x:c r="N113" s="25" t="str">
        <x:v>saki_research/published_comments/bigio_discussion_business_cycle_asymmetry_input_output_structure_role_firm_networks_miranda_pinto_silva_young.pdf</x:v>
      </x:c>
      <x:c r="O113" s="25" t="str">
        <x:v>Bigio, Saki, Dejanir Silva, and Eduardo Zilb erman , Heterogeneous Beliefs and the Business Cycle, 2023.</x:v>
      </x:c>
    </x:row>
    <x:row r="114" ht="48" customHeight="1">
      <x:c r="A114" s="24" t="str">
        <x:v>C02-R004</x:v>
      </x:c>
      <x:c r="B114" s="24" t="str">
        <x:v>C02</x:v>
      </x:c>
      <x:c r="C114" s="26" t="n">
        <x:v>4</x:v>
      </x:c>
      <x:c r="D114" s="26" t="n">
        <x:v>9</x:v>
      </x:c>
      <x:c r="E114" s="26" t="n">
        <x:v>9</x:v>
      </x:c>
      <x:c r="F114" s="26" t="str">
        <x:v>Dew-Becker</x:v>
      </x:c>
      <x:c r="G114" s="26" t="n">
        <x:v>2021</x:v>
      </x:c>
      <x:c r="H114" s="25" t="str">
        <x:v>Skewness and Time-Varying Second Moments in a Nonlinear Production Network: Theory and Evidence</x:v>
      </x:c>
      <x:c r="I114" s="25" t="str"/>
      <x:c r="J114" s="25" t="str">
        <x:v>local_citation_grammar_v3; exhaustive_title_boundary_audit_2026-09-17</x:v>
      </x:c>
      <x:c r="K114" s="25" t="str">
        <x:v>exhaustive_visual_correction</x:v>
      </x:c>
      <x:c r="L114" s="25" t="str">
        <x:v>corrected</x:v>
      </x:c>
      <x:c r="M114" s="25" t="str">
        <x:v>no</x:v>
      </x:c>
      <x:c r="N114" s="25" t="str">
        <x:v>saki_research/published_comments/bigio_discussion_business_cycle_asymmetry_input_output_structure_role_firm_networks_miranda_pinto_silva_young.pdf</x:v>
      </x:c>
      <x:c r="O114" s="25" t="str">
        <x:v>Dew-Becker, Ian and Andrea Vedolin , Skewness and Time-Varying Second Moments in a Nonlinear Production Network: Theory and Evidence, SSRN Scholarly Pap er 4026669, So cial Science Research Network, Ro chester, NY Decemb er 2021.</x:v>
      </x:c>
    </x:row>
    <x:row r="115" ht="48" customHeight="1">
      <x:c r="A115" s="24" t="str">
        <x:v>C02-R005</x:v>
      </x:c>
      <x:c r="B115" s="24" t="str">
        <x:v>C02</x:v>
      </x:c>
      <x:c r="C115" s="26" t="n">
        <x:v>5</x:v>
      </x:c>
      <x:c r="D115" s="26" t="n">
        <x:v>9</x:v>
      </x:c>
      <x:c r="E115" s="26" t="n">
        <x:v>9</x:v>
      </x:c>
      <x:c r="F115" s="26" t="str">
        <x:v>Embrechts</x:v>
      </x:c>
      <x:c r="G115" s="26" t="n">
        <x:v>2001</x:v>
      </x:c>
      <x:c r="H115" s="25" t="str">
        <x:v>Model ling Extremal Events: for Insurance and Finance (Stochastic Model ling and Applied Probability (33)) Corrected Editionby</x:v>
      </x:c>
      <x:c r="I115" s="25" t="str"/>
      <x:c r="J115" s="25" t="str">
        <x:v>local_citation_grammar_v3</x:v>
      </x:c>
      <x:c r="K115" s="25" t="str">
        <x:v>automatic_screen_pass</x:v>
      </x:c>
      <x:c r="L115" s="25" t="str">
        <x:v>accepted</x:v>
      </x:c>
      <x:c r="M115" s="25" t="str">
        <x:v>no</x:v>
      </x:c>
      <x:c r="N115" s="25" t="str">
        <x:v>saki_research/published_comments/bigio_discussion_business_cycle_asymmetry_input_output_structure_role_firm_networks_miranda_pinto_silva_young.pdf</x:v>
      </x:c>
      <x:c r="O115" s="25" t="str">
        <x:v>Embrechts, Paul, Claudia Klupp elb erg, and Thomas Mikosch , Model ling Extremal Events: for Insurance and Finance (Stochastic Model ling and Applied Probability (33)) Corrected Editionby , Springer, 2001.</x:v>
      </x:c>
    </x:row>
    <x:row r="116" ht="48" customHeight="1">
      <x:c r="A116" s="24" t="str">
        <x:v>C02-R006</x:v>
      </x:c>
      <x:c r="B116" s="24" t="str">
        <x:v>C02</x:v>
      </x:c>
      <x:c r="C116" s="26" t="n">
        <x:v>6</x:v>
      </x:c>
      <x:c r="D116" s="26" t="n">
        <x:v>9</x:v>
      </x:c>
      <x:c r="E116" s="26" t="n">
        <x:v>9</x:v>
      </x:c>
      <x:c r="F116" s="26" t="str">
        <x:v>Miranda-Pinto</x:v>
      </x:c>
      <x:c r="G116" s="26"/>
      <x:c r="H116" s="25" t="str">
        <x:v>Business Cycle Asymmetry and Input- OutputStructure: The Role of Firm-to-Firm Networks</x:v>
      </x:c>
      <x:c r="I116" s="25" t="str">
        <x:v>missing_year</x:v>
      </x:c>
      <x:c r="J116" s="25" t="str">
        <x:v>local_citation_grammar_v3</x:v>
      </x:c>
      <x:c r="K116" s="25" t="str">
        <x:v>automatic_screen_pass</x:v>
      </x:c>
      <x:c r="L116" s="25" t="str">
        <x:v>accepted</x:v>
      </x:c>
      <x:c r="M116" s="25" t="str">
        <x:v>no</x:v>
      </x:c>
      <x:c r="N116" s="25" t="str">
        <x:v>saki_research/published_comments/bigio_discussion_business_cycle_asymmetry_input_output_structure_role_firm_networks_miranda_pinto_silva_young.pdf</x:v>
      </x:c>
      <x:c r="O116" s="25" t="str">
        <x:v>Miranda-Pinto, Jorge, Alvaro Silva, and Eric Young , Business Cycle Asymmetry and Input- OutputStructure: The Role of Firm-to-Firm Networks, Journal of Monetary Economics , forthcoming.</x:v>
      </x:c>
    </x:row>
    <x:row r="117" ht="48" customHeight="1">
      <x:c r="A117" s="24" t="str">
        <x:v>C01-R001</x:v>
      </x:c>
      <x:c r="B117" s="24" t="str">
        <x:v>C01</x:v>
      </x:c>
      <x:c r="C117" s="26" t="n">
        <x:v>1</x:v>
      </x:c>
      <x:c r="D117" s="26" t="n">
        <x:v>9</x:v>
      </x:c>
      <x:c r="E117" s="26" t="n">
        <x:v>9</x:v>
      </x:c>
      <x:c r="F117" s="26" t="str">
        <x:v>Aiyagari</x:v>
      </x:c>
      <x:c r="G117" s="26" t="n">
        <x:v>2002</x:v>
      </x:c>
      <x:c r="H117" s="25" t="str">
        <x:v>Optimal taxation without state-contingent debt</x:v>
      </x:c>
      <x:c r="I117" s="25" t="str"/>
      <x:c r="J117" s="25" t="str">
        <x:v>local_citation_grammar_v3</x:v>
      </x:c>
      <x:c r="K117" s="25" t="str">
        <x:v>automatic_screen_pass</x:v>
      </x:c>
      <x:c r="L117" s="25" t="str">
        <x:v>accepted</x:v>
      </x:c>
      <x:c r="M117" s="25" t="str">
        <x:v>no</x:v>
      </x:c>
      <x:c r="N117" s="25" t="str">
        <x:v>saki_research/published_comments/bigio_discussion_optimal_supply_public_private_liquidity_azzimonti_yared.pdf</x:v>
      </x:c>
      <x:c r="O117" s="25" t="str">
        <x:v>S Rao Aiyagari, Albert Marcet, Thomas J Sargent, and Juha Seppälä. Optimal taxation without state-contingent debt. Journalof PoliticalEconomy, 110(6):1220–1254, 2002.</x:v>
      </x:c>
    </x:row>
    <x:row r="118" ht="48" customHeight="1">
      <x:c r="A118" s="24" t="str">
        <x:v>C01-R002</x:v>
      </x:c>
      <x:c r="B118" s="24" t="str">
        <x:v>C01</x:v>
      </x:c>
      <x:c r="C118" s="26" t="n">
        <x:v>2</x:v>
      </x:c>
      <x:c r="D118" s="26" t="n">
        <x:v>9</x:v>
      </x:c>
      <x:c r="E118" s="26" t="n">
        <x:v>9</x:v>
      </x:c>
      <x:c r="F118" s="26" t="str">
        <x:v>Angeletos</x:v>
      </x:c>
      <x:c r="G118" s="26" t="n">
        <x:v>2018</x:v>
      </x:c>
      <x:c r="H118" s="25" t="str">
        <x:v>Public debt as private liquidity: Optimal policy</x:v>
      </x:c>
      <x:c r="I118" s="25" t="str"/>
      <x:c r="J118" s="25" t="str">
        <x:v>local_citation_grammar_v3</x:v>
      </x:c>
      <x:c r="K118" s="25" t="str">
        <x:v>automatic_screen_pass</x:v>
      </x:c>
      <x:c r="L118" s="25" t="str">
        <x:v>accepted</x:v>
      </x:c>
      <x:c r="M118" s="25" t="str">
        <x:v>no</x:v>
      </x:c>
      <x:c r="N118" s="25" t="str">
        <x:v>saki_research/published_comments/bigio_discussion_optimal_supply_public_private_liquidity_azzimonti_yared.pdf</x:v>
      </x:c>
      <x:c r="O118" s="25" t="str">
        <x:v>George-Marios Angeletos, Fabrice Collard, and Harris Dellas. Public debt as private liquidity: Optimal policy. Unpublished Manuscript, 2018.</x:v>
      </x:c>
    </x:row>
    <x:row r="119" ht="48" customHeight="1">
      <x:c r="A119" s="24" t="str">
        <x:v>C01-R003</x:v>
      </x:c>
      <x:c r="B119" s="24" t="str">
        <x:v>C01</x:v>
      </x:c>
      <x:c r="C119" s="26" t="n">
        <x:v>3</x:v>
      </x:c>
      <x:c r="D119" s="26" t="n">
        <x:v>9</x:v>
      </x:c>
      <x:c r="E119" s="26" t="n">
        <x:v>9</x:v>
      </x:c>
      <x:c r="F119" s="26" t="str">
        <x:v>Azzimonti</x:v>
      </x:c>
      <x:c r="G119" s="26" t="n">
        <x:v>2018</x:v>
      </x:c>
      <x:c r="H119" s="25" t="str">
        <x:v>Optimal supply of public and private liquidity</x:v>
      </x:c>
      <x:c r="I119" s="25" t="str"/>
      <x:c r="J119" s="25" t="str">
        <x:v>local_citation_grammar_v3</x:v>
      </x:c>
      <x:c r="K119" s="25" t="str">
        <x:v>prior_manual_sample</x:v>
      </x:c>
      <x:c r="L119" s="25" t="str">
        <x:v>accepted</x:v>
      </x:c>
      <x:c r="M119" s="25" t="str">
        <x:v>no</x:v>
      </x:c>
      <x:c r="N119" s="25" t="str">
        <x:v>saki_research/published_comments/bigio_discussion_optimal_supply_public_private_liquidity_azzimonti_yared.pdf</x:v>
      </x:c>
      <x:c r="O119" s="25" t="str">
        <x:v>Marina Azzimonti and Pierre Yared. Optimal supply of public and private liquidity. Unpublished Manuscript, 2018.</x:v>
      </x:c>
    </x:row>
    <x:row r="120" ht="48" customHeight="1">
      <x:c r="A120" s="24" t="str">
        <x:v>C01-R004</x:v>
      </x:c>
      <x:c r="B120" s="24" t="str">
        <x:v>C01</x:v>
      </x:c>
      <x:c r="C120" s="26" t="n">
        <x:v>4</x:v>
      </x:c>
      <x:c r="D120" s="26" t="n">
        <x:v>9</x:v>
      </x:c>
      <x:c r="E120" s="26" t="n">
        <x:v>9</x:v>
      </x:c>
      <x:c r="F120" s="26" t="str">
        <x:v>Barro</x:v>
      </x:c>
      <x:c r="G120" s="26" t="n">
        <x:v>1989</x:v>
      </x:c>
      <x:c r="H120" s="25" t="str">
        <x:v>The ricardian approach to budget deficits</x:v>
      </x:c>
      <x:c r="I120" s="25" t="str"/>
      <x:c r="J120" s="25" t="str">
        <x:v>local_citation_grammar_v3</x:v>
      </x:c>
      <x:c r="K120" s="25" t="str">
        <x:v>automatic_screen_pass</x:v>
      </x:c>
      <x:c r="L120" s="25" t="str">
        <x:v>accepted</x:v>
      </x:c>
      <x:c r="M120" s="25" t="str">
        <x:v>no</x:v>
      </x:c>
      <x:c r="N120" s="25" t="str">
        <x:v>saki_research/published_comments/bigio_discussion_optimal_supply_public_private_liquidity_azzimonti_yared.pdf</x:v>
      </x:c>
      <x:c r="O120" s="25" t="str">
        <x:v>Robert J Barro. The ricardian approach to budget deficits.JournalofEconomicperspectives, 3(2):37–54, 1989.</x:v>
      </x:c>
    </x:row>
    <x:row r="121" ht="48" customHeight="1">
      <x:c r="A121" s="24" t="str">
        <x:v>C01-R005</x:v>
      </x:c>
      <x:c r="B121" s="24" t="str">
        <x:v>C01</x:v>
      </x:c>
      <x:c r="C121" s="26" t="n">
        <x:v>5</x:v>
      </x:c>
      <x:c r="D121" s="26" t="n">
        <x:v>9</x:v>
      </x:c>
      <x:c r="E121" s="26" t="n">
        <x:v>9</x:v>
      </x:c>
      <x:c r="F121" s="26" t="str">
        <x:v>Bewley</x:v>
      </x:c>
      <x:c r="G121" s="26" t="n">
        <x:v>1983</x:v>
      </x:c>
      <x:c r="H121" s="25" t="str">
        <x:v>A difficulty with the optimum quantity of money</x:v>
      </x:c>
      <x:c r="I121" s="25" t="str"/>
      <x:c r="J121" s="25" t="str">
        <x:v>local_citation_grammar_v3</x:v>
      </x:c>
      <x:c r="K121" s="25" t="str">
        <x:v>automatic_screen_pass</x:v>
      </x:c>
      <x:c r="L121" s="25" t="str">
        <x:v>accepted</x:v>
      </x:c>
      <x:c r="M121" s="25" t="str">
        <x:v>no</x:v>
      </x:c>
      <x:c r="N121" s="25" t="str">
        <x:v>saki_research/published_comments/bigio_discussion_optimal_supply_public_private_liquidity_azzimonti_yared.pdf</x:v>
      </x:c>
      <x:c r="O121" s="25" t="str">
        <x:v>Truman Bewley. A difficulty with the optimum quantity of money. Econometrica, 51(5):1485–1504, 1983. ISSN 00129682, 14680262. URL http://www.jstor.org/stable/1912286 .</x:v>
      </x:c>
    </x:row>
    <x:row r="122" ht="48" customHeight="1">
      <x:c r="A122" s="24" t="str">
        <x:v>C01-R006</x:v>
      </x:c>
      <x:c r="B122" s="24" t="str">
        <x:v>C01</x:v>
      </x:c>
      <x:c r="C122" s="26" t="n">
        <x:v>6</x:v>
      </x:c>
      <x:c r="D122" s="26" t="n">
        <x:v>9</x:v>
      </x:c>
      <x:c r="E122" s="26" t="n">
        <x:v>9</x:v>
      </x:c>
      <x:c r="F122" s="26" t="str">
        <x:v>Bigio</x:v>
      </x:c>
      <x:c r="G122" s="26" t="n">
        <x:v>2015</x:v>
      </x:c>
      <x:c r="H122" s="25" t="str">
        <x:v>Endogenous liquidity and the business cycle</x:v>
      </x:c>
      <x:c r="I122" s="25" t="str"/>
      <x:c r="J122" s="25" t="str">
        <x:v>local_citation_grammar_v3; literal_citation_review_2026-09-16</x:v>
      </x:c>
      <x:c r="K122" s="25" t="str">
        <x:v>prior_manual_sample</x:v>
      </x:c>
      <x:c r="L122" s="25" t="str">
        <x:v>accepted</x:v>
      </x:c>
      <x:c r="M122" s="25" t="str">
        <x:v>sí</x:v>
      </x:c>
      <x:c r="N122" s="25" t="str">
        <x:v>saki_research/published_comments/bigio_discussion_optimal_supply_public_private_liquidity_azzimonti_yared.pdf</x:v>
      </x:c>
      <x:c r="O122" s="25" t="str">
        <x:v>Saki Bigio. Endogenous liquidity and the business cycle. American Economic Review, 105(6):1883–1927, 2015. doi: 10.1257/aer. 20110035. URL http://www.aeaweb.org/articles.php?doi=10.1257/aer.20110035 .</x:v>
      </x:c>
    </x:row>
    <x:row r="123" ht="48" customHeight="1">
      <x:c r="A123" s="24" t="str">
        <x:v>C01-R007</x:v>
      </x:c>
      <x:c r="B123" s="24" t="str">
        <x:v>C01</x:v>
      </x:c>
      <x:c r="C123" s="26" t="n">
        <x:v>7</x:v>
      </x:c>
      <x:c r="D123" s="26" t="n">
        <x:v>9</x:v>
      </x:c>
      <x:c r="E123" s="26" t="n">
        <x:v>9</x:v>
      </x:c>
      <x:c r="F123" s="26" t="str">
        <x:v>Holmström</x:v>
      </x:c>
      <x:c r="G123" s="26" t="n">
        <x:v>1998</x:v>
      </x:c>
      <x:c r="H123" s="25" t="str">
        <x:v>Private and public supply of liquidity</x:v>
      </x:c>
      <x:c r="I123" s="25" t="str"/>
      <x:c r="J123" s="25" t="str">
        <x:v>literal_citation_review_2026-09-16; literal_citation_review_2026-09-16</x:v>
      </x:c>
      <x:c r="K123" s="25" t="str">
        <x:v>automatic_screen_pass</x:v>
      </x:c>
      <x:c r="L123" s="25" t="str">
        <x:v>accepted</x:v>
      </x:c>
      <x:c r="M123" s="25" t="str">
        <x:v>no</x:v>
      </x:c>
      <x:c r="N123" s="25" t="str">
        <x:v>saki_research/published_comments/bigio_discussion_optimal_supply_public_private_liquidity_azzimonti_yared.pdf</x:v>
      </x:c>
      <x:c r="O123" s="25" t="str">
        <x:v>BengtHolmströmandJeanTirole. Privateandpublicsupplyofliquidity. TheJournalofPoliticalEconomy,106(1):pp.1–40,1998. ISSN 00223808. URL http://www.jstor.org/stable/2990758 .</x:v>
      </x:c>
    </x:row>
    <x:row r="124" ht="48" customHeight="1">
      <x:c r="A124" s="24" t="str">
        <x:v>C01-R008</x:v>
      </x:c>
      <x:c r="B124" s="24" t="str">
        <x:v>C01</x:v>
      </x:c>
      <x:c r="C124" s="26" t="n">
        <x:v>8</x:v>
      </x:c>
      <x:c r="D124" s="26" t="n">
        <x:v>9</x:v>
      </x:c>
      <x:c r="E124" s="26" t="n">
        <x:v>9</x:v>
      </x:c>
      <x:c r="F124" s="26" t="str">
        <x:v>Kiyotaki</x:v>
      </x:c>
      <x:c r="G124" s="26" t="n">
        <x:v>2008</x:v>
      </x:c>
      <x:c r="H124" s="25" t="str">
        <x:v>Liquidity, business cycles, and monetary policy</x:v>
      </x:c>
      <x:c r="I124" s="25" t="str"/>
      <x:c r="J124" s="25" t="str">
        <x:v>local_citation_grammar_v3; literal_citation_review_2026-09-16; literal_citation_review_2026-09-16</x:v>
      </x:c>
      <x:c r="K124" s="25" t="str">
        <x:v>automatic_screen_pass</x:v>
      </x:c>
      <x:c r="L124" s="25" t="str">
        <x:v>accepted</x:v>
      </x:c>
      <x:c r="M124" s="25" t="str">
        <x:v>no</x:v>
      </x:c>
      <x:c r="N124" s="25" t="str">
        <x:v>saki_research/published_comments/bigio_discussion_optimal_supply_public_private_liquidity_azzimonti_yared.pdf</x:v>
      </x:c>
      <x:c r="O124" s="25" t="str">
        <x:v>NobuhiroKiyotakiandJohnMoore. Liquidity,businesscycles,andmonetarypolicy. 2008. URL http://www.princeton.edu/ ~kiyotaki/papers/ChiKM6- 1.pdf .</x:v>
      </x:c>
    </x:row>
    <x:row r="125" ht="48" customHeight="1">
      <x:c r="A125" s="24" t="str">
        <x:v>C01-R009</x:v>
      </x:c>
      <x:c r="B125" s="24" t="str">
        <x:v>C01</x:v>
      </x:c>
      <x:c r="C125" s="26" t="n">
        <x:v>9</x:v>
      </x:c>
      <x:c r="D125" s="26" t="n">
        <x:v>9</x:v>
      </x:c>
      <x:c r="E125" s="26" t="n">
        <x:v>9</x:v>
      </x:c>
      <x:c r="F125" s="26" t="str">
        <x:v>Lucas</x:v>
      </x:c>
      <x:c r="G125" s="26" t="n">
        <x:v>1980</x:v>
      </x:c>
      <x:c r="H125" s="25" t="str">
        <x:v>Equilibrium in a pure currency economy</x:v>
      </x:c>
      <x:c r="I125" s="25" t="str"/>
      <x:c r="J125" s="25" t="str">
        <x:v>literal_citation_review_2026-09-16</x:v>
      </x:c>
      <x:c r="K125" s="25" t="str">
        <x:v>automatic_screen_pass</x:v>
      </x:c>
      <x:c r="L125" s="25" t="str">
        <x:v>accepted</x:v>
      </x:c>
      <x:c r="M125" s="25" t="str">
        <x:v>no</x:v>
      </x:c>
      <x:c r="N125" s="25" t="str">
        <x:v>saki_research/published_comments/bigio_discussion_optimal_supply_public_private_liquidity_azzimonti_yared.pdf</x:v>
      </x:c>
      <x:c r="O125" s="25" t="str">
        <x:v>RobertE.Lucas. Equilibriuminapurecurrencyeconomy. EconomicInquiry,18(2):203–220,1980. ISSN1465-7295. doi: 10.1111/ j.1465-7295.1980.tb00570.x. URL http://dx.doi.org/10.1111/j.1465- 7295.1980.tb00570.x .</x:v>
      </x:c>
    </x:row>
    <x:row r="126" ht="48" customHeight="1">
      <x:c r="A126" s="24" t="str">
        <x:v>C01-R010</x:v>
      </x:c>
      <x:c r="B126" s="24" t="str">
        <x:v>C01</x:v>
      </x:c>
      <x:c r="C126" s="26" t="n">
        <x:v>10</x:v>
      </x:c>
      <x:c r="D126" s="26" t="n">
        <x:v>9</x:v>
      </x:c>
      <x:c r="E126" s="26" t="n">
        <x:v>9</x:v>
      </x:c>
      <x:c r="F126" s="26" t="str">
        <x:v>Lucas</x:v>
      </x:c>
      <x:c r="G126" s="26" t="n">
        <x:v>1983</x:v>
      </x:c>
      <x:c r="H126" s="25" t="str">
        <x:v>Optimal fiscal and monetary policy in an economy without capital</x:v>
      </x:c>
      <x:c r="I126" s="25" t="str"/>
      <x:c r="J126" s="25" t="str">
        <x:v>local_citation_grammar_v3</x:v>
      </x:c>
      <x:c r="K126" s="25" t="str">
        <x:v>prior_manual_sample</x:v>
      </x:c>
      <x:c r="L126" s="25" t="str">
        <x:v>accepted</x:v>
      </x:c>
      <x:c r="M126" s="25" t="str">
        <x:v>no</x:v>
      </x:c>
      <x:c r="N126" s="25" t="str">
        <x:v>saki_research/published_comments/bigio_discussion_optimal_supply_public_private_liquidity_azzimonti_yared.pdf</x:v>
      </x:c>
      <x:c r="O126" s="25" t="str">
        <x:v>Robert E Lucas and Nancy L Stokey. Optimal fiscal and monetary policy in an economy without capital. Journal of monetary Economics, 12(1):55–93, 1983.</x:v>
      </x:c>
    </x:row>
    <x:row r="127" ht="48" customHeight="1">
      <x:c r="A127" s="24" t="str">
        <x:v>C01-R011</x:v>
      </x:c>
      <x:c r="B127" s="24" t="str">
        <x:v>C01</x:v>
      </x:c>
      <x:c r="C127" s="26" t="n">
        <x:v>11</x:v>
      </x:c>
      <x:c r="D127" s="26" t="n">
        <x:v>9</x:v>
      </x:c>
      <x:c r="E127" s="26" t="n">
        <x:v>9</x:v>
      </x:c>
      <x:c r="F127" s="26" t="str">
        <x:v>Woodford</x:v>
      </x:c>
      <x:c r="G127" s="26" t="n">
        <x:v>1990</x:v>
      </x:c>
      <x:c r="H127" s="25" t="str">
        <x:v>Public debt as private liquidity</x:v>
      </x:c>
      <x:c r="I127" s="25" t="str"/>
      <x:c r="J127" s="25" t="str">
        <x:v>local_citation_grammar_v3</x:v>
      </x:c>
      <x:c r="K127" s="25" t="str">
        <x:v>prior_manual_sample</x:v>
      </x:c>
      <x:c r="L127" s="25" t="str">
        <x:v>accepted</x:v>
      </x:c>
      <x:c r="M127" s="25" t="str">
        <x:v>no</x:v>
      </x:c>
      <x:c r="N127" s="25" t="str">
        <x:v>saki_research/published_comments/bigio_discussion_optimal_supply_public_private_liquidity_azzimonti_yared.pdf</x:v>
      </x:c>
      <x:c r="O127" s="25" t="str">
        <x:v>Michael Woodford. Public debt as private liquidity. The American Economic Review, 80(2):382–388, 1990. ISSN 00028282. URL http://www.jstor.org/stable/2006605 .</x:v>
      </x:c>
    </x:row>
    <x:row r="128" ht="48" customHeight="1">
      <x:c r="A128" s="24" t="str">
        <x:v>C03-R001</x:v>
      </x:c>
      <x:c r="B128" s="24" t="str">
        <x:v>C03</x:v>
      </x:c>
      <x:c r="C128" s="26" t="n">
        <x:v>1</x:v>
      </x:c>
      <x:c r="D128" s="26" t="n">
        <x:v>4</x:v>
      </x:c>
      <x:c r="E128" s="26" t="n">
        <x:v>4</x:v>
      </x:c>
      <x:c r="F128" s="26" t="str">
        <x:v>Carbonetto</x:v>
      </x:c>
      <x:c r="G128" s="26" t="n">
        <x:v>1987</x:v>
      </x:c>
      <x:c r="H128" s="25" t="str">
        <x:v>El Perú heterodoxo: Un modelo económico</x:v>
      </x:c>
      <x:c r="I128" s="25" t="str"/>
      <x:c r="J128" s="25" t="str">
        <x:v>literal_citation_review_2026-09-16; literal_citation_review_2026-09-16</x:v>
      </x:c>
      <x:c r="K128" s="25" t="str">
        <x:v>automatic_screen_pass</x:v>
      </x:c>
      <x:c r="L128" s="25" t="str">
        <x:v>accepted</x:v>
      </x:c>
      <x:c r="M128" s="25" t="str">
        <x:v>no</x:v>
      </x:c>
      <x:c r="N128" s="25" t="str">
        <x:v>saki_research/published_comments/bigio_monetary_fiscal_history_peru_1960_2017_martinelli_vega.pdf</x:v>
      </x:c>
      <x:c r="O128" s="25" t="str">
        <x:v>[Carb onetto et al.(1987)Carb onetto, de Ceballos, Dancourt, Ferrari, Martínez, Mezzera, Sab erb ein, Tantaleán, and Vigier] Daniel Carb onetto, M. Inés C. de Ceballos, Oscar Dancourt, César Ferrari, Daniel Martínez, Jaime Mezzera, Gustavo Sab erb ein, Javier Tantaleán, and Pierre Vigier. El Perú heterodoxo: Un modelo económico . Instituto Nacional de Plani cación, Lima, Peru, 1987.</x:v>
      </x:c>
    </x:row>
    <x:row r="129" ht="48" customHeight="1">
      <x:c r="A129" s="24" t="str">
        <x:v>C03-R002</x:v>
      </x:c>
      <x:c r="B129" s="24" t="str">
        <x:v>C03</x:v>
      </x:c>
      <x:c r="C129" s="26" t="n">
        <x:v>2</x:v>
      </x:c>
      <x:c r="D129" s="26" t="n">
        <x:v>4</x:v>
      </x:c>
      <x:c r="E129" s="26" t="n">
        <x:v>4</x:v>
      </x:c>
      <x:c r="F129" s="26" t="str">
        <x:v>Sargent</x:v>
      </x:c>
      <x:c r="G129" s="26" t="n">
        <x:v>1986</x:v>
      </x:c>
      <x:c r="H129" s="25" t="str">
        <x:v>The ends of four big inflations</x:v>
      </x:c>
      <x:c r="I129" s="25" t="str"/>
      <x:c r="J129" s="25" t="str">
        <x:v>literal_citation_review_2026-09-16</x:v>
      </x:c>
      <x:c r="K129" s="25" t="str">
        <x:v>exhaustive_visual_exception_accepted</x:v>
      </x:c>
      <x:c r="L129" s="25" t="str">
        <x:v>accepted</x:v>
      </x:c>
      <x:c r="M129" s="25" t="str">
        <x:v>no</x:v>
      </x:c>
      <x:c r="N129" s="25" t="str">
        <x:v>saki_research/published_comments/bigio_monetary_fiscal_history_peru_1960_2017_martinelli_vega.pdf</x:v>
      </x:c>
      <x:c r="O129" s="25" t="str">
        <x:v>[Sargent(1986)] Thomas J. Sargent. The ends of four big in ations. In Rational Expectations and In ation . Harp er &amp; Row Publishers, New York, 1986.</x:v>
      </x:c>
    </x:row>
    <x:row r="130" ht="48" customHeight="1">
      <x:c r="A130" s="24" t="str">
        <x:v>C03-R003</x:v>
      </x:c>
      <x:c r="B130" s="24" t="str">
        <x:v>C03</x:v>
      </x:c>
      <x:c r="C130" s="26" t="n">
        <x:v>3</x:v>
      </x:c>
      <x:c r="D130" s="26" t="n">
        <x:v>4</x:v>
      </x:c>
      <x:c r="E130" s="26" t="n">
        <x:v>4</x:v>
      </x:c>
      <x:c r="F130" s="26" t="str">
        <x:v>Velarde</x:v>
      </x:c>
      <x:c r="G130" s="26" t="n">
        <x:v>1992</x:v>
      </x:c>
      <x:c r="H130" s="25" t="str">
        <x:v>De la desinflación a la hiperinflación, Perú: 1985-1990</x:v>
      </x:c>
      <x:c r="I130" s="25" t="str"/>
      <x:c r="J130" s="25" t="str">
        <x:v>literal_citation_review_2026-09-16</x:v>
      </x:c>
      <x:c r="K130" s="25" t="str">
        <x:v>exhaustive_visual_exception_accepted</x:v>
      </x:c>
      <x:c r="L130" s="25" t="str">
        <x:v>accepted</x:v>
      </x:c>
      <x:c r="M130" s="25" t="str">
        <x:v>sí</x:v>
      </x:c>
      <x:c r="N130" s="25" t="str">
        <x:v>saki_research/published_comments/bigio_monetary_fiscal_history_peru_1960_2017_martinelli_vega.pdf</x:v>
      </x:c>
      <x:c r="O130" s="25" t="str">
        <x:v>[Velarde and Ro dríguez(1992a)] Julio Velarde and Martha Ro dríguez. De la desin ación a la hip erestan ación, Perú: 1985-1990. Do cumento de Traba jo No. 5, Universidad del Pací co, 1992a.</x:v>
      </x:c>
    </x:row>
    <x:row r="131" ht="48" customHeight="1">
      <x:c r="A131" s="24" t="str">
        <x:v>C03-R004</x:v>
      </x:c>
      <x:c r="B131" s="24" t="str">
        <x:v>C03</x:v>
      </x:c>
      <x:c r="C131" s="26" t="n">
        <x:v>4</x:v>
      </x:c>
      <x:c r="D131" s="26" t="n">
        <x:v>4</x:v>
      </x:c>
      <x:c r="E131" s="26" t="n">
        <x:v>4</x:v>
      </x:c>
      <x:c r="F131" s="26" t="str">
        <x:v>Velarde</x:v>
      </x:c>
      <x:c r="G131" s="26" t="n">
        <x:v>1992</x:v>
      </x:c>
      <x:c r="H131" s="25" t="str">
        <x:v>El programa económico de agosto de 1990: evaluación del primer año</x:v>
      </x:c>
      <x:c r="I131" s="25" t="str"/>
      <x:c r="J131" s="25" t="str">
        <x:v>literal_citation_review_2026-09-16</x:v>
      </x:c>
      <x:c r="K131" s="25" t="str">
        <x:v>prior_manual_sample</x:v>
      </x:c>
      <x:c r="L131" s="25" t="str">
        <x:v>accepted</x:v>
      </x:c>
      <x:c r="M131" s="25" t="str">
        <x:v>no</x:v>
      </x:c>
      <x:c r="N131" s="25" t="str">
        <x:v>saki_research/published_comments/bigio_monetary_fiscal_history_peru_1960_2017_martinelli_vega.pdf</x:v>
      </x:c>
      <x:c r="O131" s="25" t="str">
        <x:v>[Velarde and Ro dríguez(1992b)] Julio Velarde and Martha Ro dríguez. El programa económico de agosto de 1990: evaluación del primer año. Do cumento de Traba jo No. 2, Universidad del Pací co, 1992b.</x:v>
      </x:c>
    </x:row>
    <x:row r="132" ht="48" customHeight="1">
      <x:c r="A132" s="24" t="str">
        <x:v>P10-R001</x:v>
      </x:c>
      <x:c r="B132" s="24" t="str">
        <x:v>P10</x:v>
      </x:c>
      <x:c r="C132" s="26" t="n">
        <x:v>1</x:v>
      </x:c>
      <x:c r="D132" s="26" t="n">
        <x:v>43</x:v>
      </x:c>
      <x:c r="E132" s="26" t="n">
        <x:v>43</x:v>
      </x:c>
      <x:c r="F132" s="26" t="str">
        <x:v>Abad</x:v>
      </x:c>
      <x:c r="G132" s="26" t="n">
        <x:v>2024</x:v>
      </x:c>
      <x:c r="H132" s="25" t="str">
        <x:v>The Heterogeneous Bank Lending Channel of Monetary Policy</x:v>
      </x:c>
      <x:c r="I132" s="25" t="str"/>
      <x:c r="J132" s="25" t="str"/>
      <x:c r="K132" s="25" t="str">
        <x:v>automatic_screen_pass</x:v>
      </x:c>
      <x:c r="L132" s="25" t="str">
        <x:v>accepted</x:v>
      </x:c>
      <x:c r="M132" s="25" t="str">
        <x:v>no</x:v>
      </x:c>
      <x:c r="N132" s="25" t="str">
        <x:v>saki_research/published_papers/begenau_bigio_majerovitz_vieyra_q_theory_banks.pdf</x:v>
      </x:c>
      <x:c r="O132" s="25" t="str">
        <x:v>Abad, Jorge, Saki Bigio, Salomon Garcia-Villegas, Joel Marbet, and Galo Nuno, “The Heterogeneous Bank Lending Channel of Monetary Policy,” Technical Report, Working Paper Bank of Spain 2024.1</x:v>
      </x:c>
    </x:row>
    <x:row r="133" ht="48" customHeight="1">
      <x:c r="A133" s="24" t="str">
        <x:v>P10-R002</x:v>
      </x:c>
      <x:c r="B133" s="24" t="str">
        <x:v>P10</x:v>
      </x:c>
      <x:c r="C133" s="26" t="n">
        <x:v>2</x:v>
      </x:c>
      <x:c r="D133" s="26" t="n">
        <x:v>43</x:v>
      </x:c>
      <x:c r="E133" s="26" t="n">
        <x:v>43</x:v>
      </x:c>
      <x:c r="F133" s="26" t="str">
        <x:v>Acharya</x:v>
      </x:c>
      <x:c r="G133" s="26" t="n">
        <x:v>2016</x:v>
      </x:c>
      <x:c r="H133" s="25" t="str">
        <x:v>The dark side of liquidity creation: Leverage and systemic risk</x:v>
      </x:c>
      <x:c r="I133" s="25" t="str"/>
      <x:c r="J133" s="25" t="str"/>
      <x:c r="K133" s="25" t="str">
        <x:v>automatic_screen_pass</x:v>
      </x:c>
      <x:c r="L133" s="25" t="str">
        <x:v>accepted</x:v>
      </x:c>
      <x:c r="M133" s="25" t="str">
        <x:v>no</x:v>
      </x:c>
      <x:c r="N133" s="25" t="str">
        <x:v>saki_research/published_papers/begenau_bigio_majerovitz_vieyra_q_theory_banks.pdf</x:v>
      </x:c>
      <x:c r="O133" s="25" t="str">
        <x:v>Acharya, Viral V and Anjan V Thakor, “The dark side of liquidity creation: Leverage and systemic risk,” Journal of Financial Intermediation, 2016, 28, 4–21.34</x:v>
      </x:c>
    </x:row>
    <x:row r="134" ht="48" customHeight="1">
      <x:c r="A134" s="24" t="str">
        <x:v>P10-R003</x:v>
      </x:c>
      <x:c r="B134" s="24" t="str">
        <x:v>P10</x:v>
      </x:c>
      <x:c r="C134" s="26" t="n">
        <x:v>3</x:v>
      </x:c>
      <x:c r="D134" s="26" t="n">
        <x:v>43</x:v>
      </x:c>
      <x:c r="E134" s="26" t="n">
        <x:v>43</x:v>
      </x:c>
      <x:c r="F134" s="26" t="str">
        <x:v>Acharya</x:v>
      </x:c>
      <x:c r="G134" s="26" t="n">
        <x:v>2016</x:v>
      </x:c>
      <x:c r="H134" s="25" t="str">
        <x:v>Banks’ Financial Reporting and Financial System Stability</x:v>
      </x:c>
      <x:c r="I134" s="25" t="str"/>
      <x:c r="J134" s="25" t="str"/>
      <x:c r="K134" s="25" t="str">
        <x:v>automatic_screen_pass</x:v>
      </x:c>
      <x:c r="L134" s="25" t="str">
        <x:v>accepted</x:v>
      </x:c>
      <x:c r="M134" s="25" t="str">
        <x:v>no</x:v>
      </x:c>
      <x:c r="N134" s="25" t="str">
        <x:v>saki_research/published_papers/begenau_bigio_majerovitz_vieyra_q_theory_banks.pdf</x:v>
      </x:c>
      <x:c r="O134" s="25" t="str">
        <x:v>Acharya, Viral V. and Stephen G. Ryan, “Banks’ Financial Reporting and Financial System Stability,” Journal of Accounting Research, May 2016, 54 (2).9,A.2.2</x:v>
      </x:c>
    </x:row>
    <x:row r="135" ht="48" customHeight="1">
      <x:c r="A135" s="24" t="str">
        <x:v>P10-R004</x:v>
      </x:c>
      <x:c r="B135" s="24" t="str">
        <x:v>P10</x:v>
      </x:c>
      <x:c r="C135" s="26" t="n">
        <x:v>4</x:v>
      </x:c>
      <x:c r="D135" s="26" t="n">
        <x:v>43</x:v>
      </x:c>
      <x:c r="E135" s="26" t="n">
        <x:v>43</x:v>
      </x:c>
      <x:c r="F135" s="26" t="str">
        <x:v>Acharya</x:v>
      </x:c>
      <x:c r="G135" s="26" t="n">
        <x:v>2024</x:v>
      </x:c>
      <x:c r="H135" s="25" t="str">
        <x:v>Zombie Credit and (Dis-) Inflation: Evidence from Europe</x:v>
      </x:c>
      <x:c r="I135" s="25" t="str"/>
      <x:c r="J135" s="25" t="str"/>
      <x:c r="K135" s="25" t="str">
        <x:v>exhaustive_visual_multiwork_pattern_accepted</x:v>
      </x:c>
      <x:c r="L135" s="25" t="str">
        <x:v>accepted</x:v>
      </x:c>
      <x:c r="M135" s="25" t="str">
        <x:v>sí</x:v>
      </x:c>
      <x:c r="N135" s="25" t="str">
        <x:v>saki_research/published_papers/begenau_bigio_majerovitz_vieyra_q_theory_banks.pdf</x:v>
      </x:c>
      <x:c r="O135" s="25" t="str">
        <x:v>Acharya, Viral V, Matteo Crosignani, Tim Eisert, and Christian Eufinger, “Zombie Credit and (Dis-) Inflation: Evidence from Europe,” The Journal of Finance, 2024, 79 (3), 1883–1929.12</x:v>
      </x:c>
    </x:row>
    <x:row r="136" ht="48" customHeight="1">
      <x:c r="A136" s="24" t="str">
        <x:v>P10-R005</x:v>
      </x:c>
      <x:c r="B136" s="24" t="str">
        <x:v>P10</x:v>
      </x:c>
      <x:c r="C136" s="26" t="n">
        <x:v>5</x:v>
      </x:c>
      <x:c r="D136" s="26" t="n">
        <x:v>43</x:v>
      </x:c>
      <x:c r="E136" s="26" t="n">
        <x:v>43</x:v>
      </x:c>
      <x:c r="F136" s="26" t="str">
        <x:v>Acharya</x:v>
      </x:c>
      <x:c r="G136" s="26" t="n">
        <x:v>2021</x:v>
      </x:c>
      <x:c r="H136" s="25" t="str">
        <x:v>Zombie lending and policy traps</x:v>
      </x:c>
      <x:c r="I136" s="25" t="str">
        <x:v>inherited_author_notation</x:v>
      </x:c>
      <x:c r="J136" s="25" t="str"/>
      <x:c r="K136" s="25" t="str">
        <x:v>automatic_screen_pass</x:v>
      </x:c>
      <x:c r="L136" s="25" t="str">
        <x:v>accepted</x:v>
      </x:c>
      <x:c r="M136" s="25" t="str">
        <x:v>no</x:v>
      </x:c>
      <x:c r="N136" s="25" t="str">
        <x:v>saki_research/published_papers/begenau_bigio_majerovitz_vieyra_q_theory_banks.pdf</x:v>
      </x:c>
      <x:c r="O136" s="25" t="str">
        <x:v>Simone Lenzu, and Olivier Wang, “Zombie lending and policy traps,” Technical Report, National Bureau of Economic Research 2021.12</x:v>
      </x:c>
    </x:row>
    <x:row r="137" ht="48" customHeight="1">
      <x:c r="A137" s="24" t="str">
        <x:v>P10-R006</x:v>
      </x:c>
      <x:c r="B137" s="24" t="str">
        <x:v>P10</x:v>
      </x:c>
      <x:c r="C137" s="26" t="n">
        <x:v>6</x:v>
      </x:c>
      <x:c r="D137" s="26" t="n">
        <x:v>43</x:v>
      </x:c>
      <x:c r="E137" s="26" t="n">
        <x:v>43</x:v>
      </x:c>
      <x:c r="F137" s="26" t="str">
        <x:v>Adrian</x:v>
      </x:c>
      <x:c r="G137" s="26" t="n">
        <x:v>2010</x:v>
      </x:c>
      <x:c r="H137" s="25" t="str">
        <x:v>Liquidity and leverage</x:v>
      </x:c>
      <x:c r="I137" s="25" t="str"/>
      <x:c r="J137" s="25" t="str"/>
      <x:c r="K137" s="25" t="str">
        <x:v>automatic_screen_pass</x:v>
      </x:c>
      <x:c r="L137" s="25" t="str">
        <x:v>accepted</x:v>
      </x:c>
      <x:c r="M137" s="25" t="str">
        <x:v>no</x:v>
      </x:c>
      <x:c r="N137" s="25" t="str">
        <x:v>saki_research/published_papers/begenau_bigio_majerovitz_vieyra_q_theory_banks.pdf</x:v>
      </x:c>
      <x:c r="O137" s="25" t="str">
        <x:v>Adrian, Tobias and Hyun Song Shin, “Liquidity and leverage,” Journal of financial intermediation, 2010, 19 (3), 418–437.16</x:v>
      </x:c>
    </x:row>
    <x:row r="138" ht="48" customHeight="1">
      <x:c r="A138" s="24" t="str">
        <x:v>P10-R007</x:v>
      </x:c>
      <x:c r="B138" s="24" t="str">
        <x:v>P10</x:v>
      </x:c>
      <x:c r="C138" s="26" t="n">
        <x:v>7</x:v>
      </x:c>
      <x:c r="D138" s="26" t="n">
        <x:v>43</x:v>
      </x:c>
      <x:c r="E138" s="26" t="n">
        <x:v>43</x:v>
      </x:c>
      <x:c r="F138" s="26" t="str">
        <x:v>Adrian</x:v>
      </x:c>
      <x:c r="G138" s="26" t="n">
        <x:v>2013</x:v>
      </x:c>
      <x:c r="H138" s="25" t="str">
        <x:v>Procyclical leverage and value-at-risk</x:v>
      </x:c>
      <x:c r="I138" s="25" t="str">
        <x:v>inherited_author_notation</x:v>
      </x:c>
      <x:c r="J138" s="25" t="str"/>
      <x:c r="K138" s="25" t="str">
        <x:v>automatic_screen_pass</x:v>
      </x:c>
      <x:c r="L138" s="25" t="str">
        <x:v>accepted</x:v>
      </x:c>
      <x:c r="M138" s="25" t="str">
        <x:v>no</x:v>
      </x:c>
      <x:c r="N138" s="25" t="str">
        <x:v>saki_research/published_papers/begenau_bigio_majerovitz_vieyra_q_theory_banks.pdf</x:v>
      </x:c>
      <x:c r="O138" s="25" t="str">
        <x:v>and , “Procyclical leverage and value-at-risk,” The Review of Financial Studies, 2013, 27 (2), 373–403.4</x:v>
      </x:c>
    </x:row>
    <x:row r="139" ht="48" customHeight="1">
      <x:c r="A139" s="24" t="str">
        <x:v>P10-R008</x:v>
      </x:c>
      <x:c r="B139" s="24" t="str">
        <x:v>P10</x:v>
      </x:c>
      <x:c r="C139" s="26" t="n">
        <x:v>8</x:v>
      </x:c>
      <x:c r="D139" s="26" t="n">
        <x:v>43</x:v>
      </x:c>
      <x:c r="E139" s="26" t="n">
        <x:v>43</x:v>
      </x:c>
      <x:c r="F139" s="26" t="str">
        <x:v>Adrian</x:v>
      </x:c>
      <x:c r="G139" s="26" t="n">
        <x:v>2013</x:v>
      </x:c>
      <x:c r="H139" s="25" t="str">
        <x:v>Intermediary Leverage Cycles and Financial Stability</x:v>
      </x:c>
      <x:c r="I139" s="25" t="str">
        <x:v>inherited_author_notation</x:v>
      </x:c>
      <x:c r="J139" s="25" t="str"/>
      <x:c r="K139" s="25" t="str">
        <x:v>prior_manual_sample</x:v>
      </x:c>
      <x:c r="L139" s="25" t="str">
        <x:v>accepted</x:v>
      </x:c>
      <x:c r="M139" s="25" t="str">
        <x:v>no</x:v>
      </x:c>
      <x:c r="N139" s="25" t="str">
        <x:v>saki_research/published_papers/begenau_bigio_majerovitz_vieyra_q_theory_banks.pdf</x:v>
      </x:c>
      <x:c r="O139" s="25" t="str">
        <x:v>and Nina Boyarchenko, “Intermediary Leverage Cycles and Financial Stability,” 2013. New York Federal Reserve, Staff Report No. 567.4,1</x:v>
      </x:c>
    </x:row>
    <x:row r="140" ht="48" customHeight="1">
      <x:c r="A140" s="24" t="str">
        <x:v>P10-R009</x:v>
      </x:c>
      <x:c r="B140" s="24" t="str">
        <x:v>P10</x:v>
      </x:c>
      <x:c r="C140" s="26" t="n">
        <x:v>9</x:v>
      </x:c>
      <x:c r="D140" s="26" t="n">
        <x:v>43</x:v>
      </x:c>
      <x:c r="E140" s="26" t="n">
        <x:v>43</x:v>
      </x:c>
      <x:c r="F140" s="26" t="str">
        <x:v>Adrian</x:v>
      </x:c>
      <x:c r="G140" s="26" t="n">
        <x:v>2014</x:v>
      </x:c>
      <x:c r="H140" s="25" t="str">
        <x:v>Financial intermediaries and the cross-section of asset returns</x:v>
      </x:c>
      <x:c r="I140" s="25" t="str">
        <x:v>inherited_author_notation</x:v>
      </x:c>
      <x:c r="J140" s="25" t="str"/>
      <x:c r="K140" s="25" t="str">
        <x:v>automatic_screen_pass</x:v>
      </x:c>
      <x:c r="L140" s="25" t="str">
        <x:v>accepted</x:v>
      </x:c>
      <x:c r="M140" s="25" t="str">
        <x:v>no</x:v>
      </x:c>
      <x:c r="N140" s="25" t="str">
        <x:v>saki_research/published_papers/begenau_bigio_majerovitz_vieyra_q_theory_banks.pdf</x:v>
      </x:c>
      <x:c r="O140" s="25" t="str">
        <x:v>Erkko Etula, and Tyler Muir, “Financial intermediaries and the cross-section of asset returns,” The Journal of Finance, 2014, 69 (6), 2557–2596.4</x:v>
      </x:c>
    </x:row>
    <x:row r="141" ht="48" customHeight="1">
      <x:c r="A141" s="24" t="str">
        <x:v>P10-R010</x:v>
      </x:c>
      <x:c r="B141" s="24" t="str">
        <x:v>P10</x:v>
      </x:c>
      <x:c r="C141" s="26" t="n">
        <x:v>10</x:v>
      </x:c>
      <x:c r="D141" s="26" t="n">
        <x:v>43</x:v>
      </x:c>
      <x:c r="E141" s="26" t="n">
        <x:v>43</x:v>
      </x:c>
      <x:c r="F141" s="26" t="str">
        <x:v>Agarwal</x:v>
      </x:c>
      <x:c r="G141" s="26" t="n">
        <x:v>2014</x:v>
      </x:c>
      <x:c r="H141" s="25" t="str">
        <x:v>Inconsistentregulators: Evidence from banking</x:v>
      </x:c>
      <x:c r="I141" s="25" t="str"/>
      <x:c r="J141" s="25" t="str"/>
      <x:c r="K141" s="25" t="str">
        <x:v>automatic_screen_pass</x:v>
      </x:c>
      <x:c r="L141" s="25" t="str">
        <x:v>accepted</x:v>
      </x:c>
      <x:c r="M141" s="25" t="str">
        <x:v>no</x:v>
      </x:c>
      <x:c r="N141" s="25" t="str">
        <x:v>saki_research/published_papers/begenau_bigio_majerovitz_vieyra_q_theory_banks.pdf</x:v>
      </x:c>
      <x:c r="O141" s="25" t="str">
        <x:v>Agarwal, Sumit, DavidLucca, AmitSeru, andFrancescoTrebbi, “Inconsistentregulators: Evidence from banking,” The Quarterly Journal of Economics, 2014, 129 (2), 889–938.14</x:v>
      </x:c>
    </x:row>
    <x:row r="142" ht="48" customHeight="1">
      <x:c r="A142" s="24" t="str">
        <x:v>P10-R011</x:v>
      </x:c>
      <x:c r="B142" s="24" t="str">
        <x:v>P10</x:v>
      </x:c>
      <x:c r="C142" s="26" t="n">
        <x:v>11</x:v>
      </x:c>
      <x:c r="D142" s="26" t="n">
        <x:v>44</x:v>
      </x:c>
      <x:c r="E142" s="26" t="n">
        <x:v>44</x:v>
      </x:c>
      <x:c r="F142" s="26" t="str">
        <x:v>Atkeson</x:v>
      </x:c>
      <x:c r="G142" s="26" t="n">
        <x:v>2018</x:v>
      </x:c>
      <x:c r="H142" s="25" t="str">
        <x:v>Government Guarantees and the Valuation of American Banks</x:v>
      </x:c>
      <x:c r="I142" s="25" t="str"/>
      <x:c r="J142" s="25" t="str"/>
      <x:c r="K142" s="25" t="str">
        <x:v>exhaustive_visual_multiwork_pattern_accepted</x:v>
      </x:c>
      <x:c r="L142" s="25" t="str">
        <x:v>accepted</x:v>
      </x:c>
      <x:c r="M142" s="25" t="str">
        <x:v>sí</x:v>
      </x:c>
      <x:c r="N142" s="25" t="str">
        <x:v>saki_research/published_papers/begenau_bigio_majerovitz_vieyra_q_theory_banks.pdf</x:v>
      </x:c>
      <x:c r="O142" s="25" t="str">
        <x:v>Atkeson, Andrew G, Adrien d’Avernas, Andrea L Eisfeldt, and Pierre-Olivier Weill, “Government Guarantees and the Valuation of American Banks,” in “NBER Macroeconomics Annual 2018, volume 33,” University of Chicago Press, 2018.3.1</x:v>
      </x:c>
    </x:row>
    <x:row r="143" ht="48" customHeight="1">
      <x:c r="A143" s="24" t="str">
        <x:v>P10-R012</x:v>
      </x:c>
      <x:c r="B143" s="24" t="str">
        <x:v>P10</x:v>
      </x:c>
      <x:c r="C143" s="26" t="n">
        <x:v>12</x:v>
      </x:c>
      <x:c r="D143" s="26" t="n">
        <x:v>44</x:v>
      </x:c>
      <x:c r="E143" s="26" t="n">
        <x:v>44</x:v>
      </x:c>
      <x:c r="F143" s="26" t="str">
        <x:v>BaselCommitteeonBankingSupervision</x:v>
      </x:c>
      <x:c r="G143" s="26" t="n">
        <x:v>2011</x:v>
      </x:c>
      <x:c r="H143" s="25" t="str">
        <x:v>BaselIII:Aglobalregulatoryframeworkformore resilientbanksandbankingsystems</x:v>
      </x:c>
      <x:c r="I143" s="25" t="str"/>
      <x:c r="J143" s="25" t="str"/>
      <x:c r="K143" s="25" t="str">
        <x:v>automatic_screen_pass</x:v>
      </x:c>
      <x:c r="L143" s="25" t="str">
        <x:v>accepted</x:v>
      </x:c>
      <x:c r="M143" s="25" t="str">
        <x:v>no</x:v>
      </x:c>
      <x:c r="N143" s="25" t="str">
        <x:v>saki_research/published_papers/begenau_bigio_majerovitz_vieyra_q_theory_banks.pdf</x:v>
      </x:c>
      <x:c r="O143" s="25" t="str">
        <x:v>BaselCommitteeonBankingSupervision,“BaselIII:Aglobalregulatoryframeworkformore resilientbanksandbankingsystems,”TechnicalReport,BankforInternationalSettlementsJune 2011.A.2.1</x:v>
      </x:c>
    </x:row>
    <x:row r="144" ht="48" customHeight="1">
      <x:c r="A144" s="24" t="str">
        <x:v>P10-R013</x:v>
      </x:c>
      <x:c r="B144" s="24" t="str">
        <x:v>P10</x:v>
      </x:c>
      <x:c r="C144" s="26" t="n">
        <x:v>13</x:v>
      </x:c>
      <x:c r="D144" s="26" t="n">
        <x:v>44</x:v>
      </x:c>
      <x:c r="E144" s="26" t="n">
        <x:v>44</x:v>
      </x:c>
      <x:c r="F144" s="26" t="str">
        <x:v>Begenau</x:v>
      </x:c>
      <x:c r="G144" s="26" t="n">
        <x:v>2020</x:v>
      </x:c>
      <x:c r="H144" s="25" t="str">
        <x:v>Capital requirements, risk choice, and liquidity provision in a business-cycle model</x:v>
      </x:c>
      <x:c r="I144" s="25" t="str"/>
      <x:c r="J144" s="25" t="str"/>
      <x:c r="K144" s="25" t="str">
        <x:v>automatic_screen_pass</x:v>
      </x:c>
      <x:c r="L144" s="25" t="str">
        <x:v>accepted</x:v>
      </x:c>
      <x:c r="M144" s="25" t="str">
        <x:v>no</x:v>
      </x:c>
      <x:c r="N144" s="25" t="str">
        <x:v>saki_research/published_papers/begenau_bigio_majerovitz_vieyra_q_theory_banks.pdf</x:v>
      </x:c>
      <x:c r="O144" s="25" t="str">
        <x:v>Begenau, Juliane, “Capital requirements, risk choice, and liquidity provision in a business-cycle model,” Journal of Financial Economics, 2020, 136 (2), 355–378.4,1</x:v>
      </x:c>
    </x:row>
    <x:row r="145" ht="48" customHeight="1">
      <x:c r="A145" s="24" t="str">
        <x:v>P10-R014</x:v>
      </x:c>
      <x:c r="B145" s="24" t="str">
        <x:v>P10</x:v>
      </x:c>
      <x:c r="C145" s="26" t="n">
        <x:v>14</x:v>
      </x:c>
      <x:c r="D145" s="26" t="n">
        <x:v>44</x:v>
      </x:c>
      <x:c r="E145" s="26" t="n">
        <x:v>44</x:v>
      </x:c>
      <x:c r="F145" s="26" t="str">
        <x:v>Begenau</x:v>
      </x:c>
      <x:c r="G145" s="26" t="n">
        <x:v>2022</x:v>
      </x:c>
      <x:c r="H145" s="25" t="str">
        <x:v>Financial regulation in a quantitative model of the modern banking system</x:v>
      </x:c>
      <x:c r="I145" s="25" t="str">
        <x:v>inherited_author_notation</x:v>
      </x:c>
      <x:c r="J145" s="25" t="str"/>
      <x:c r="K145" s="25" t="str">
        <x:v>automatic_screen_pass</x:v>
      </x:c>
      <x:c r="L145" s="25" t="str">
        <x:v>accepted</x:v>
      </x:c>
      <x:c r="M145" s="25" t="str">
        <x:v>no</x:v>
      </x:c>
      <x:c r="N145" s="25" t="str">
        <x:v>saki_research/published_papers/begenau_bigio_majerovitz_vieyra_q_theory_banks.pdf</x:v>
      </x:c>
      <x:c r="O145" s="25" t="str">
        <x:v>and Tim Landvoigt, “Financial regulation in a quantitative model of the modern banking system,” The Review of Economic Studies, 2022, 89 (4), 1748–1784.4,10</x:v>
      </x:c>
    </x:row>
    <x:row r="146" ht="48" customHeight="1">
      <x:c r="A146" s="24" t="str">
        <x:v>P10-R015</x:v>
      </x:c>
      <x:c r="B146" s="24" t="str">
        <x:v>P10</x:v>
      </x:c>
      <x:c r="C146" s="26" t="n">
        <x:v>15</x:v>
      </x:c>
      <x:c r="D146" s="26" t="n">
        <x:v>44</x:v>
      </x:c>
      <x:c r="E146" s="26" t="n">
        <x:v>44</x:v>
      </x:c>
      <x:c r="F146" s="26" t="str">
        <x:v>Begenau</x:v>
      </x:c>
      <x:c r="G146" s="26" t="n">
        <x:v>2024</x:v>
      </x:c>
      <x:c r="H146" s="25" t="str">
        <x:v>Interest Rate Risk and Cross-Sectional Effects of Micro-Prudential Regulation</x:v>
      </x:c>
      <x:c r="I146" s="25" t="str">
        <x:v>inherited_author_notation</x:v>
      </x:c>
      <x:c r="J146" s="25" t="str">
        <x:v>exhaustive_ai_audit_2026-09-17</x:v>
      </x:c>
      <x:c r="K146" s="25" t="str">
        <x:v>exhaustive_visual_correction</x:v>
      </x:c>
      <x:c r="L146" s="25" t="str">
        <x:v>corrected</x:v>
      </x:c>
      <x:c r="M146" s="25" t="str">
        <x:v>no</x:v>
      </x:c>
      <x:c r="N146" s="25" t="str">
        <x:v>saki_research/published_papers/begenau_bigio_majerovitz_vieyra_q_theory_banks.pdf</x:v>
      </x:c>
      <x:c r="O146" s="25" t="str">
        <x:v>, , and Vadim Elenev, “Interest Rate Risk and Cross-Sectional Effects of Micro-Prudential Regulation,” Available at SSRN, 2024.1</x:v>
      </x:c>
    </x:row>
    <x:row r="147" ht="48" customHeight="1">
      <x:c r="A147" s="24" t="str">
        <x:v>P10-R016</x:v>
      </x:c>
      <x:c r="B147" s="24" t="str">
        <x:v>P10</x:v>
      </x:c>
      <x:c r="C147" s="26" t="n">
        <x:v>16</x:v>
      </x:c>
      <x:c r="D147" s="26" t="n">
        <x:v>44</x:v>
      </x:c>
      <x:c r="E147" s="26" t="n">
        <x:v>44</x:v>
      </x:c>
      <x:c r="F147" s="26" t="str">
        <x:v>Behn</x:v>
      </x:c>
      <x:c r="G147" s="26" t="n">
        <x:v>2022</x:v>
      </x:c>
      <x:c r="H147" s="25" t="str">
        <x:v>The limits of model-based regulation</x:v>
      </x:c>
      <x:c r="I147" s="25" t="str"/>
      <x:c r="J147" s="25" t="str"/>
      <x:c r="K147" s="25" t="str">
        <x:v>automatic_screen_pass</x:v>
      </x:c>
      <x:c r="L147" s="25" t="str">
        <x:v>accepted</x:v>
      </x:c>
      <x:c r="M147" s="25" t="str">
        <x:v>no</x:v>
      </x:c>
      <x:c r="N147" s="25" t="str">
        <x:v>saki_research/published_papers/begenau_bigio_majerovitz_vieyra_q_theory_banks.pdf</x:v>
      </x:c>
      <x:c r="O147" s="25" t="str">
        <x:v>Behn, Markus, Rainer Haselmann, and Vikrant Vig, “The limits of model-based regulation,” The Journal of Finance, 2022, 77 (3), 1635–1684.14</x:v>
      </x:c>
    </x:row>
    <x:row r="148" ht="48" customHeight="1">
      <x:c r="A148" s="24" t="str">
        <x:v>P10-R017</x:v>
      </x:c>
      <x:c r="B148" s="24" t="str">
        <x:v>P10</x:v>
      </x:c>
      <x:c r="C148" s="26" t="n">
        <x:v>17</x:v>
      </x:c>
      <x:c r="D148" s="26" t="n">
        <x:v>44</x:v>
      </x:c>
      <x:c r="E148" s="26" t="n">
        <x:v>44</x:v>
      </x:c>
      <x:c r="F148" s="26" t="str">
        <x:v>Benes</x:v>
      </x:c>
      <x:c r="G148" s="26" t="n">
        <x:v>2015</x:v>
      </x:c>
      <x:c r="H148" s="25" t="str">
        <x:v>Risky bank lending and countercyclical capital buffers</x:v>
      </x:c>
      <x:c r="I148" s="25" t="str"/>
      <x:c r="J148" s="25" t="str"/>
      <x:c r="K148" s="25" t="str">
        <x:v>automatic_screen_pass</x:v>
      </x:c>
      <x:c r="L148" s="25" t="str">
        <x:v>accepted</x:v>
      </x:c>
      <x:c r="M148" s="25" t="str">
        <x:v>no</x:v>
      </x:c>
      <x:c r="N148" s="25" t="str">
        <x:v>saki_research/published_papers/begenau_bigio_majerovitz_vieyra_q_theory_banks.pdf</x:v>
      </x:c>
      <x:c r="O148" s="25" t="str">
        <x:v>Benes, Jaromir and Michael Kumhof, “Risky bank lending and countercyclical capital buffers,” Journal of Economic Dynamics and Control, 2015, 58, 58–80.46</x:v>
      </x:c>
    </x:row>
    <x:row r="149" ht="48" customHeight="1">
      <x:c r="A149" s="24" t="str">
        <x:v>P10-R018</x:v>
      </x:c>
      <x:c r="B149" s="24" t="str">
        <x:v>P10</x:v>
      </x:c>
      <x:c r="C149" s="26" t="n">
        <x:v>18</x:v>
      </x:c>
      <x:c r="D149" s="26" t="n">
        <x:v>44</x:v>
      </x:c>
      <x:c r="E149" s="26" t="n">
        <x:v>44</x:v>
      </x:c>
      <x:c r="F149" s="26" t="str">
        <x:v>Bernanke</x:v>
      </x:c>
      <x:c r="G149" s="26" t="n">
        <x:v>1989</x:v>
      </x:c>
      <x:c r="H149" s="25" t="str">
        <x:v>Agency Costs, Net Worth and Business Fluctuations</x:v>
      </x:c>
      <x:c r="I149" s="25" t="str"/>
      <x:c r="J149" s="25" t="str"/>
      <x:c r="K149" s="25" t="str">
        <x:v>automatic_screen_pass</x:v>
      </x:c>
      <x:c r="L149" s="25" t="str">
        <x:v>accepted</x:v>
      </x:c>
      <x:c r="M149" s="25" t="str">
        <x:v>no</x:v>
      </x:c>
      <x:c r="N149" s="25" t="str">
        <x:v>saki_research/published_papers/begenau_bigio_majerovitz_vieyra_q_theory_banks.pdf</x:v>
      </x:c>
      <x:c r="O149" s="25" t="str">
        <x:v>Bernanke, Ben and Mark Gertler, “Agency Costs, Net Worth and Business Fluctuations,” The American Economic Review, March 1989, 79 (1), 14–31.7</x:v>
      </x:c>
    </x:row>
    <x:row r="150" ht="48" customHeight="1">
      <x:c r="A150" s="24" t="str">
        <x:v>P10-R019</x:v>
      </x:c>
      <x:c r="B150" s="24" t="str">
        <x:v>P10</x:v>
      </x:c>
      <x:c r="C150" s="26" t="n">
        <x:v>19</x:v>
      </x:c>
      <x:c r="D150" s="26" t="n">
        <x:v>44</x:v>
      </x:c>
      <x:c r="E150" s="26" t="n">
        <x:v>44</x:v>
      </x:c>
      <x:c r="F150" s="26" t="str">
        <x:v>Bernstein</x:v>
      </x:c>
      <x:c r="G150" s="26" t="n">
        <x:v>2019</x:v>
      </x:c>
      <x:c r="H150" s="25" t="str">
        <x:v>Bankruptcy spillovers</x:v>
      </x:c>
      <x:c r="I150" s="25" t="str"/>
      <x:c r="J150" s="25" t="str"/>
      <x:c r="K150" s="25" t="str">
        <x:v>automatic_screen_pass</x:v>
      </x:c>
      <x:c r="L150" s="25" t="str">
        <x:v>accepted</x:v>
      </x:c>
      <x:c r="M150" s="25" t="str">
        <x:v>no</x:v>
      </x:c>
      <x:c r="N150" s="25" t="str">
        <x:v>saki_research/published_papers/begenau_bigio_majerovitz_vieyra_q_theory_banks.pdf</x:v>
      </x:c>
      <x:c r="O150" s="25" t="str">
        <x:v>Bernstein, Shai, Emanuele Colonnelli, Xavier Giroud, and Benjamin Iverson, “Bankruptcy spillovers,” Journal of Financial Economics, 2019, 133 (3), 608–633.42</x:v>
      </x:c>
    </x:row>
    <x:row r="151" ht="48" customHeight="1">
      <x:c r="A151" s="24" t="str">
        <x:v>P10-R020</x:v>
      </x:c>
      <x:c r="B151" s="24" t="str">
        <x:v>P10</x:v>
      </x:c>
      <x:c r="C151" s="26" t="n">
        <x:v>20</x:v>
      </x:c>
      <x:c r="D151" s="26" t="n">
        <x:v>44</x:v>
      </x:c>
      <x:c r="E151" s="26" t="n">
        <x:v>44</x:v>
      </x:c>
      <x:c r="F151" s="26" t="str">
        <x:v>Bianchi</x:v>
      </x:c>
      <x:c r="G151" s="26" t="n">
        <x:v>2022</x:v>
      </x:c>
      <x:c r="H151" s="25" t="str">
        <x:v>Banks, liquidity management, and monetary policy</x:v>
      </x:c>
      <x:c r="I151" s="25" t="str"/>
      <x:c r="J151" s="25" t="str"/>
      <x:c r="K151" s="25" t="str">
        <x:v>automatic_screen_pass</x:v>
      </x:c>
      <x:c r="L151" s="25" t="str">
        <x:v>accepted</x:v>
      </x:c>
      <x:c r="M151" s="25" t="str">
        <x:v>no</x:v>
      </x:c>
      <x:c r="N151" s="25" t="str">
        <x:v>saki_research/published_papers/begenau_bigio_majerovitz_vieyra_q_theory_banks.pdf</x:v>
      </x:c>
      <x:c r="O151" s="25" t="str">
        <x:v>Bianchi, Javier and Saki Bigio, “Banks, liquidity management, and monetary policy,” Econometrica, 2022, 90 (1), 391–454.1</x:v>
      </x:c>
    </x:row>
    <x:row r="152" ht="48" customHeight="1">
      <x:c r="A152" s="24" t="str">
        <x:v>P10-R021</x:v>
      </x:c>
      <x:c r="B152" s="24" t="str">
        <x:v>P10</x:v>
      </x:c>
      <x:c r="C152" s="26" t="n">
        <x:v>21</x:v>
      </x:c>
      <x:c r="D152" s="26" t="n">
        <x:v>44</x:v>
      </x:c>
      <x:c r="E152" s="26" t="n">
        <x:v>44</x:v>
      </x:c>
      <x:c r="F152" s="26" t="str">
        <x:v>Blank</x:v>
      </x:c>
      <x:c r="G152" s="26" t="n">
        <x:v>2020</x:v>
      </x:c>
      <x:c r="H152" s="25" t="str">
        <x:v>How Should US Bank Regulators Respond to the COVID-19 Crisis?</x:v>
      </x:c>
      <x:c r="I152" s="25" t="str"/>
      <x:c r="J152" s="25" t="str"/>
      <x:c r="K152" s="25" t="str">
        <x:v>automatic_screen_pass</x:v>
      </x:c>
      <x:c r="L152" s="25" t="str">
        <x:v>accepted</x:v>
      </x:c>
      <x:c r="M152" s="25" t="str">
        <x:v>no</x:v>
      </x:c>
      <x:c r="N152" s="25" t="str">
        <x:v>saki_research/published_papers/begenau_bigio_majerovitz_vieyra_q_theory_banks.pdf</x:v>
      </x:c>
      <x:c r="O152" s="25" t="str">
        <x:v>Blank, Michael, Samuel G Hanson, Jeremy C Stein, and Aditya Vikram Sunderam, “How Should US Bank Regulators Respond to the COVID-19 Crisis?,” 2020.13</x:v>
      </x:c>
    </x:row>
    <x:row r="153" ht="48" customHeight="1">
      <x:c r="A153" s="24" t="str">
        <x:v>P10-R022</x:v>
      </x:c>
      <x:c r="B153" s="24" t="str">
        <x:v>P10</x:v>
      </x:c>
      <x:c r="C153" s="26" t="n">
        <x:v>22</x:v>
      </x:c>
      <x:c r="D153" s="26" t="n">
        <x:v>44</x:v>
      </x:c>
      <x:c r="E153" s="26" t="n">
        <x:v>44</x:v>
      </x:c>
      <x:c r="F153" s="26" t="str">
        <x:v>Blattner</x:v>
      </x:c>
      <x:c r="G153" s="26" t="n">
        <x:v>2023</x:v>
      </x:c>
      <x:c r="H153" s="25" t="str">
        <x:v>When losses turn into loans: The cost of weak banks</x:v>
      </x:c>
      <x:c r="I153" s="25" t="str"/>
      <x:c r="J153" s="25" t="str"/>
      <x:c r="K153" s="25" t="str">
        <x:v>prior_manual_sample</x:v>
      </x:c>
      <x:c r="L153" s="25" t="str">
        <x:v>accepted</x:v>
      </x:c>
      <x:c r="M153" s="25" t="str">
        <x:v>no</x:v>
      </x:c>
      <x:c r="N153" s="25" t="str">
        <x:v>saki_research/published_papers/begenau_bigio_majerovitz_vieyra_q_theory_banks.pdf</x:v>
      </x:c>
      <x:c r="O153" s="25" t="str">
        <x:v>Blattner, Laura, Luisa Farinha, and Francisca Rebelo, “When losses turn into loans: The cost of weak banks,” American Economic Review, 2023, 113 (6), 1600–1641.11</x:v>
      </x:c>
    </x:row>
    <x:row r="154" ht="48" customHeight="1">
      <x:c r="A154" s="24" t="str">
        <x:v>P10-R023</x:v>
      </x:c>
      <x:c r="B154" s="24" t="str">
        <x:v>P10</x:v>
      </x:c>
      <x:c r="C154" s="26" t="n">
        <x:v>23</x:v>
      </x:c>
      <x:c r="D154" s="26" t="n">
        <x:v>44</x:v>
      </x:c>
      <x:c r="E154" s="26" t="n">
        <x:v>44</x:v>
      </x:c>
      <x:c r="F154" s="26" t="str">
        <x:v>Brunnermeier</x:v>
      </x:c>
      <x:c r="G154" s="26" t="n">
        <x:v>2014</x:v>
      </x:c>
      <x:c r="H154" s="25" t="str">
        <x:v>A Macroeconomic Model with a Financial Sector</x:v>
      </x:c>
      <x:c r="I154" s="25" t="str"/>
      <x:c r="J154" s="25" t="str"/>
      <x:c r="K154" s="25" t="str">
        <x:v>prior_manual_sample</x:v>
      </x:c>
      <x:c r="L154" s="25" t="str">
        <x:v>accepted</x:v>
      </x:c>
      <x:c r="M154" s="25" t="str">
        <x:v>no</x:v>
      </x:c>
      <x:c r="N154" s="25" t="str">
        <x:v>saki_research/published_papers/begenau_bigio_majerovitz_vieyra_q_theory_banks.pdf</x:v>
      </x:c>
      <x:c r="O154" s="25" t="str">
        <x:v>Brunnermeier, Markus K. and Yuliy Sannikov, “A Macroeconomic Model with a Financial Sector,” American Economic Review, 2014, 104 (2), 379–421.4,1,6,8,3.1,5.1,C</x:v>
      </x:c>
    </x:row>
    <x:row r="155" ht="48" customHeight="1">
      <x:c r="A155" s="24" t="str">
        <x:v>P10-R024</x:v>
      </x:c>
      <x:c r="B155" s="24" t="str">
        <x:v>P10</x:v>
      </x:c>
      <x:c r="C155" s="26" t="n">
        <x:v>24</x:v>
      </x:c>
      <x:c r="D155" s="26" t="n">
        <x:v>44</x:v>
      </x:c>
      <x:c r="E155" s="26" t="n">
        <x:v>44</x:v>
      </x:c>
      <x:c r="F155" s="26" t="str">
        <x:v>Buchak</x:v>
      </x:c>
      <x:c r="G155" s="26" t="n">
        <x:v>2018</x:v>
      </x:c>
      <x:c r="H155" s="25" t="str">
        <x:v>Fintech, regulatory arbitrage, and the rise of shadow banks</x:v>
      </x:c>
      <x:c r="I155" s="25" t="str"/>
      <x:c r="J155" s="25" t="str"/>
      <x:c r="K155" s="25" t="str">
        <x:v>automatic_screen_pass</x:v>
      </x:c>
      <x:c r="L155" s="25" t="str">
        <x:v>accepted</x:v>
      </x:c>
      <x:c r="M155" s="25" t="str">
        <x:v>no</x:v>
      </x:c>
      <x:c r="N155" s="25" t="str">
        <x:v>saki_research/published_papers/begenau_bigio_majerovitz_vieyra_q_theory_banks.pdf</x:v>
      </x:c>
      <x:c r="O155" s="25" t="str">
        <x:v>Buchak, Greg, Gregor Matvos, Tomasz Piskorski, and Amit Seru, “Fintech, regulatory arbitrage, and the rise of shadow banks,” Journal of financial economics, 2018, 130 (3), 453–483.</x:v>
      </x:c>
    </x:row>
    <x:row r="156" ht="48" customHeight="1">
      <x:c r="A156" s="24" t="str">
        <x:v>P10-R025</x:v>
      </x:c>
      <x:c r="B156" s="24" t="str">
        <x:v>P10</x:v>
      </x:c>
      <x:c r="C156" s="26" t="n">
        <x:v>25</x:v>
      </x:c>
      <x:c r="D156" s="26" t="n">
        <x:v>44</x:v>
      </x:c>
      <x:c r="E156" s="26" t="n">
        <x:v>44</x:v>
      </x:c>
      <x:c r="F156" s="26" t="str">
        <x:v>Buchak</x:v>
      </x:c>
      <x:c r="G156" s="26" t="n">
        <x:v>2024</x:v>
      </x:c>
      <x:c r="H156" s="25" t="str">
        <x:v>Theseculardeclineofbankbalancesheetlending</x:v>
      </x:c>
      <x:c r="I156" s="25" t="str">
        <x:v>inherited_author_notation</x:v>
      </x:c>
      <x:c r="J156" s="25" t="str">
        <x:v>exhaustive_ai_audit_2026-09-17</x:v>
      </x:c>
      <x:c r="K156" s="25" t="str">
        <x:v>exhaustive_visual_correction</x:v>
      </x:c>
      <x:c r="L156" s="25" t="str">
        <x:v>corrected</x:v>
      </x:c>
      <x:c r="M156" s="25" t="str">
        <x:v>no</x:v>
      </x:c>
      <x:c r="N156" s="25" t="str">
        <x:v>saki_research/published_papers/begenau_bigio_majerovitz_vieyra_q_theory_banks.pdf</x:v>
      </x:c>
      <x:c r="O156" s="25" t="str">
        <x:v>, , ,and ,“Theseculardeclineofbankbalancesheetlending,”TechnicalReport,National Bureau of Economic Research 2024.10</x:v>
      </x:c>
    </x:row>
    <x:row r="157" ht="48" customHeight="1">
      <x:c r="A157" s="24" t="str">
        <x:v>P10-R026</x:v>
      </x:c>
      <x:c r="B157" s="24" t="str">
        <x:v>P10</x:v>
      </x:c>
      <x:c r="C157" s="26" t="n">
        <x:v>26</x:v>
      </x:c>
      <x:c r="D157" s="26" t="n">
        <x:v>44</x:v>
      </x:c>
      <x:c r="E157" s="26" t="n">
        <x:v>44</x:v>
      </x:c>
      <x:c r="F157" s="26" t="str">
        <x:v>Bushman</x:v>
      </x:c>
      <x:c r="G157" s="26" t="n">
        <x:v>2016</x:v>
      </x:c>
      <x:c r="H157" s="25" t="str">
        <x:v>Transparency, Accounting Discretion, and Bank Stability</x:v>
      </x:c>
      <x:c r="I157" s="25" t="str"/>
      <x:c r="J157" s="25" t="str"/>
      <x:c r="K157" s="25" t="str">
        <x:v>automatic_screen_pass</x:v>
      </x:c>
      <x:c r="L157" s="25" t="str">
        <x:v>accepted</x:v>
      </x:c>
      <x:c r="M157" s="25" t="str">
        <x:v>no</x:v>
      </x:c>
      <x:c r="N157" s="25" t="str">
        <x:v>saki_research/published_papers/begenau_bigio_majerovitz_vieyra_q_theory_banks.pdf</x:v>
      </x:c>
      <x:c r="O157" s="25" t="str">
        <x:v>Bushman, Robert M., “Transparency, Accounting Discretion, and Bank Stability,” FRBNY Economic Policy Review, August 2016, pp. 129–149.9,A.2.2</x:v>
      </x:c>
    </x:row>
    <x:row r="158" ht="48" customHeight="1">
      <x:c r="A158" s="24" t="str">
        <x:v>P10-R027</x:v>
      </x:c>
      <x:c r="B158" s="24" t="str">
        <x:v>P10</x:v>
      </x:c>
      <x:c r="C158" s="26" t="n">
        <x:v>27</x:v>
      </x:c>
      <x:c r="D158" s="26" t="n">
        <x:v>44</x:v>
      </x:c>
      <x:c r="E158" s="26" t="n">
        <x:v>44</x:v>
      </x:c>
      <x:c r="F158" s="26" t="str">
        <x:v>Caballero</x:v>
      </x:c>
      <x:c r="G158" s="26" t="n">
        <x:v>2008</x:v>
      </x:c>
      <x:c r="H158" s="25" t="str">
        <x:v>ZombieLendingandDepressed Restructuring in Japan</x:v>
      </x:c>
      <x:c r="I158" s="25" t="str"/>
      <x:c r="J158" s="25" t="str"/>
      <x:c r="K158" s="25" t="str">
        <x:v>exhaustive_visual_multiwork_pattern_accepted</x:v>
      </x:c>
      <x:c r="L158" s="25" t="str">
        <x:v>accepted</x:v>
      </x:c>
      <x:c r="M158" s="25" t="str">
        <x:v>sí</x:v>
      </x:c>
      <x:c r="N158" s="25" t="str">
        <x:v>saki_research/published_papers/begenau_bigio_majerovitz_vieyra_q_theory_banks.pdf</x:v>
      </x:c>
      <x:c r="O158" s="25" t="str">
        <x:v>Caballero,RicardoJ.,TakeoHoshi,andAnilK.Kashyap,“ZombieLendingandDepressed Restructuring in Japan,” The American Economic Review, 2008, 98 (5), 1943–1977.11,3.1</x:v>
      </x:c>
    </x:row>
    <x:row r="159" ht="48" customHeight="1">
      <x:c r="A159" s="24" t="str">
        <x:v>P10-R028</x:v>
      </x:c>
      <x:c r="B159" s="24" t="str">
        <x:v>P10</x:v>
      </x:c>
      <x:c r="C159" s="26" t="n">
        <x:v>28</x:v>
      </x:c>
      <x:c r="D159" s="26" t="n">
        <x:v>45</x:v>
      </x:c>
      <x:c r="E159" s="26" t="n">
        <x:v>45</x:v>
      </x:c>
      <x:c r="F159" s="26" t="str">
        <x:v>Chernenko</x:v>
      </x:c>
      <x:c r="G159" s="26" t="n">
        <x:v>2024</x:v>
      </x:c>
      <x:c r="H159" s="25" t="str">
        <x:v>Bank Capital and the Growth of Private Credit</x:v>
      </x:c>
      <x:c r="I159" s="25" t="str"/>
      <x:c r="J159" s="25" t="str"/>
      <x:c r="K159" s="25" t="str">
        <x:v>prior_manual_sample</x:v>
      </x:c>
      <x:c r="L159" s="25" t="str">
        <x:v>accepted</x:v>
      </x:c>
      <x:c r="M159" s="25" t="str">
        <x:v>no</x:v>
      </x:c>
      <x:c r="N159" s="25" t="str">
        <x:v>saki_research/published_papers/begenau_bigio_majerovitz_vieyra_q_theory_banks.pdf</x:v>
      </x:c>
      <x:c r="O159" s="25" t="str">
        <x:v>Chernenko, Sergey, Robert Ialenti, and David Scharfstein, “Bank Capital and the Growth of Private Credit,” Technical Report, Harvard University Working Paper 2024.10</x:v>
      </x:c>
    </x:row>
    <x:row r="160" ht="48" customHeight="1">
      <x:c r="A160" s="24" t="str">
        <x:v>P10-R029</x:v>
      </x:c>
      <x:c r="B160" s="24" t="str">
        <x:v>P10</x:v>
      </x:c>
      <x:c r="C160" s="26" t="n">
        <x:v>29</x:v>
      </x:c>
      <x:c r="D160" s="26" t="n">
        <x:v>45</x:v>
      </x:c>
      <x:c r="E160" s="26" t="n">
        <x:v>45</x:v>
      </x:c>
      <x:c r="F160" s="26" t="str">
        <x:v>Corbae</x:v>
      </x:c>
      <x:c r="G160" s="26" t="n">
        <x:v>2021</x:v>
      </x:c>
      <x:c r="H160" s="25" t="str">
        <x:v>Capital buffers in a quantitative model of banking industry dynamics</x:v>
      </x:c>
      <x:c r="I160" s="25" t="str"/>
      <x:c r="J160" s="25" t="str"/>
      <x:c r="K160" s="25" t="str">
        <x:v>automatic_screen_pass</x:v>
      </x:c>
      <x:c r="L160" s="25" t="str">
        <x:v>accepted</x:v>
      </x:c>
      <x:c r="M160" s="25" t="str">
        <x:v>no</x:v>
      </x:c>
      <x:c r="N160" s="25" t="str">
        <x:v>saki_research/published_papers/begenau_bigio_majerovitz_vieyra_q_theory_banks.pdf</x:v>
      </x:c>
      <x:c r="O160" s="25" t="str">
        <x:v>Corbae, Dean and Pablo D’Erasmo, “Capital buffers in a quantitative model of banking industry dynamics,” Econometrica, 2021.4,1,F.1</x:v>
      </x:c>
    </x:row>
    <x:row r="161" ht="48" customHeight="1">
      <x:c r="A161" s="24" t="str">
        <x:v>P10-R030</x:v>
      </x:c>
      <x:c r="B161" s="24" t="str">
        <x:v>P10</x:v>
      </x:c>
      <x:c r="C161" s="26" t="n">
        <x:v>30</x:v>
      </x:c>
      <x:c r="D161" s="26" t="n">
        <x:v>45</x:v>
      </x:c>
      <x:c r="E161" s="26" t="n">
        <x:v>45</x:v>
      </x:c>
      <x:c r="F161" s="26" t="str">
        <x:v>Corbae</x:v>
      </x:c>
      <x:c r="G161" s="26" t="n">
        <x:v>2018</x:v>
      </x:c>
      <x:c r="H161" s="25" t="str">
        <x:v>Competition, stability, and efficiency in financial markets</x:v>
      </x:c>
      <x:c r="I161" s="25" t="str">
        <x:v>inherited_author_notation</x:v>
      </x:c>
      <x:c r="J161" s="25" t="str"/>
      <x:c r="K161" s="25" t="str">
        <x:v>prior_manual_sample</x:v>
      </x:c>
      <x:c r="L161" s="25" t="str">
        <x:v>accepted</x:v>
      </x:c>
      <x:c r="M161" s="25" t="str">
        <x:v>sí</x:v>
      </x:c>
      <x:c r="N161" s="25" t="str">
        <x:v>saki_research/published_papers/begenau_bigio_majerovitz_vieyra_q_theory_banks.pdf</x:v>
      </x:c>
      <x:c r="O161" s="25" t="str">
        <x:v>and Ross Levine, “Competition, stability, and efficiency in financial markets,” in “Jackson Hole Symposium: Changing Market Structure and Implications for Monetary Policy, Kansas City Federal Reserve” 2018.33</x:v>
      </x:c>
    </x:row>
    <x:row r="162" ht="48" customHeight="1">
      <x:c r="A162" s="24" t="str">
        <x:v>P10-R031</x:v>
      </x:c>
      <x:c r="B162" s="24" t="str">
        <x:v>P10</x:v>
      </x:c>
      <x:c r="C162" s="26" t="n">
        <x:v>31</x:v>
      </x:c>
      <x:c r="D162" s="26" t="n">
        <x:v>45</x:v>
      </x:c>
      <x:c r="E162" s="26" t="n">
        <x:v>45</x:v>
      </x:c>
      <x:c r="F162" s="26" t="str">
        <x:v>Corbae</x:v>
      </x:c>
      <x:c r="G162" s="26" t="n">
        <x:v>2024</x:v>
      </x:c>
      <x:c r="H162" s="25" t="str">
        <x:v>Competition, Stability, and Efficiency in the Banking Industry</x:v>
      </x:c>
      <x:c r="I162" s="25" t="str">
        <x:v>inherited_author_notation</x:v>
      </x:c>
      <x:c r="J162" s="25" t="str"/>
      <x:c r="K162" s="25" t="str">
        <x:v>automatic_screen_pass</x:v>
      </x:c>
      <x:c r="L162" s="25" t="str">
        <x:v>accepted</x:v>
      </x:c>
      <x:c r="M162" s="25" t="str">
        <x:v>no</x:v>
      </x:c>
      <x:c r="N162" s="25" t="str">
        <x:v>saki_research/published_papers/begenau_bigio_majerovitz_vieyra_q_theory_banks.pdf</x:v>
      </x:c>
      <x:c r="O162" s="25" t="str">
        <x:v>and , “Competition, Stability, and Efficiency in the Banking Industry,” Technical Report, Working Paper, University of Wisconsin 2024.1</x:v>
      </x:c>
    </x:row>
    <x:row r="163" ht="48" customHeight="1">
      <x:c r="A163" s="24" t="str">
        <x:v>P10-R032</x:v>
      </x:c>
      <x:c r="B163" s="24" t="str">
        <x:v>P10</x:v>
      </x:c>
      <x:c r="C163" s="26" t="n">
        <x:v>32</x:v>
      </x:c>
      <x:c r="D163" s="26" t="n">
        <x:v>45</x:v>
      </x:c>
      <x:c r="E163" s="26" t="n">
        <x:v>45</x:v>
      </x:c>
      <x:c r="F163" s="26" t="str">
        <x:v>DeMarzo</x:v>
      </x:c>
      <x:c r="G163" s="26" t="n">
        <x:v>2021</x:v>
      </x:c>
      <x:c r="H163" s="25" t="str">
        <x:v>Leverage dynamics without commitment</x:v>
      </x:c>
      <x:c r="I163" s="25" t="str"/>
      <x:c r="J163" s="25" t="str"/>
      <x:c r="K163" s="25" t="str">
        <x:v>automatic_screen_pass</x:v>
      </x:c>
      <x:c r="L163" s="25" t="str">
        <x:v>accepted</x:v>
      </x:c>
      <x:c r="M163" s="25" t="str">
        <x:v>no</x:v>
      </x:c>
      <x:c r="N163" s="25" t="str">
        <x:v>saki_research/published_papers/begenau_bigio_majerovitz_vieyra_q_theory_banks.pdf</x:v>
      </x:c>
      <x:c r="O163" s="25" t="str">
        <x:v>DeMarzo, Peter M and Zhiguo He, “Leverage dynamics without commitment,” The Journal of Finance, 2021, 76 (3), 1195–1250.8</x:v>
      </x:c>
    </x:row>
    <x:row r="164" ht="48" customHeight="1">
      <x:c r="A164" s="24" t="str">
        <x:v>P10-R033</x:v>
      </x:c>
      <x:c r="B164" s="24" t="str">
        <x:v>P10</x:v>
      </x:c>
      <x:c r="C164" s="26" t="n">
        <x:v>33</x:v>
      </x:c>
      <x:c r="D164" s="26" t="n">
        <x:v>45</x:v>
      </x:c>
      <x:c r="E164" s="26" t="n">
        <x:v>45</x:v>
      </x:c>
      <x:c r="F164" s="26" t="str">
        <x:v>Diamond</x:v>
      </x:c>
      <x:c r="G164" s="26" t="n">
        <x:v>1983</x:v>
      </x:c>
      <x:c r="H164" s="25" t="str">
        <x:v>BankRuns,DepositInsurance,andLiquidity</x:v>
      </x:c>
      <x:c r="I164" s="25" t="str"/>
      <x:c r="J164" s="25" t="str"/>
      <x:c r="K164" s="25" t="str">
        <x:v>automatic_screen_pass</x:v>
      </x:c>
      <x:c r="L164" s="25" t="str">
        <x:v>accepted</x:v>
      </x:c>
      <x:c r="M164" s="25" t="str">
        <x:v>no</x:v>
      </x:c>
      <x:c r="N164" s="25" t="str">
        <x:v>saki_research/published_papers/begenau_bigio_majerovitz_vieyra_q_theory_banks.pdf</x:v>
      </x:c>
      <x:c r="O164" s="25" t="str">
        <x:v>Diamond,DouglasW.andPhilipH.Dybvig,“BankRuns,DepositInsurance,andLiquidity,” Journal of Political Economy, 1983, 91, 401–417.3.1</x:v>
      </x:c>
    </x:row>
    <x:row r="165" ht="48" customHeight="1">
      <x:c r="A165" s="24" t="str">
        <x:v>P10-R034</x:v>
      </x:c>
      <x:c r="B165" s="24" t="str">
        <x:v>P10</x:v>
      </x:c>
      <x:c r="C165" s="26" t="n">
        <x:v>34</x:v>
      </x:c>
      <x:c r="D165" s="26" t="n">
        <x:v>45</x:v>
      </x:c>
      <x:c r="E165" s="26" t="n">
        <x:v>45</x:v>
      </x:c>
      <x:c r="F165" s="26" t="str">
        <x:v>Duffie</x:v>
      </x:c>
      <x:c r="G165" s="26" t="n">
        <x:v>2022</x:v>
      </x:c>
      <x:c r="H165" s="25" t="str">
        <x:v>Measuring Corporate Default Risk</x:v>
      </x:c>
      <x:c r="I165" s="25" t="str"/>
      <x:c r="J165" s="25" t="str">
        <x:v>local_citation_grammar_v3</x:v>
      </x:c>
      <x:c r="K165" s="25" t="str">
        <x:v>prior_manual_sample</x:v>
      </x:c>
      <x:c r="L165" s="25" t="str">
        <x:v>accepted</x:v>
      </x:c>
      <x:c r="M165" s="25" t="str">
        <x:v>no</x:v>
      </x:c>
      <x:c r="N165" s="25" t="str">
        <x:v>saki_research/published_papers/begenau_bigio_majerovitz_vieyra_q_theory_banks.pdf</x:v>
      </x:c>
      <x:c r="O165" s="25" t="str">
        <x:v>Duffie, Darrell, Measuring Corporate Default Risk, Oxford University Press, 2022.2</x:v>
      </x:c>
    </x:row>
    <x:row r="166" ht="48" customHeight="1">
      <x:c r="A166" s="24" t="str">
        <x:v>P10-R035</x:v>
      </x:c>
      <x:c r="B166" s="24" t="str">
        <x:v>P10</x:v>
      </x:c>
      <x:c r="C166" s="26" t="n">
        <x:v>35</x:v>
      </x:c>
      <x:c r="D166" s="26" t="n">
        <x:v>45</x:v>
      </x:c>
      <x:c r="E166" s="26" t="n">
        <x:v>45</x:v>
      </x:c>
      <x:c r="F166" s="26" t="str">
        <x:v>e Castro</x:v>
      </x:c>
      <x:c r="G166" s="26" t="n">
        <x:v>2021</x:v>
      </x:c>
      <x:c r="H166" s="25" t="str">
        <x:v>A quantitative analysis of the countercyclical capital buffer</x:v>
      </x:c>
      <x:c r="I166" s="25" t="str">
        <x:v>inherited_author_notation</x:v>
      </x:c>
      <x:c r="J166" s="25" t="str"/>
      <x:c r="K166" s="25" t="str">
        <x:v>automatic_screen_pass</x:v>
      </x:c>
      <x:c r="L166" s="25" t="str">
        <x:v>accepted</x:v>
      </x:c>
      <x:c r="M166" s="25" t="str">
        <x:v>no</x:v>
      </x:c>
      <x:c r="N166" s="25" t="str">
        <x:v>saki_research/published_papers/begenau_bigio_majerovitz_vieyra_q_theory_banks.pdf</x:v>
      </x:c>
      <x:c r="O166" s="25" t="str">
        <x:v>e Castro, Miguel Faria, “A quantitative analysis of the countercyclical capital buffer,” 2021.46</x:v>
      </x:c>
    </x:row>
    <x:row r="167" ht="48" customHeight="1">
      <x:c r="A167" s="24" t="str">
        <x:v>P10-R036</x:v>
      </x:c>
      <x:c r="B167" s="24" t="str">
        <x:v>P10</x:v>
      </x:c>
      <x:c r="C167" s="26" t="n">
        <x:v>36</x:v>
      </x:c>
      <x:c r="D167" s="26" t="n">
        <x:v>45</x:v>
      </x:c>
      <x:c r="E167" s="26" t="n">
        <x:v>45</x:v>
      </x:c>
      <x:c r="F167" s="26" t="str">
        <x:v>e Castro</x:v>
      </x:c>
      <x:c r="G167" s="26" t="n">
        <x:v>2024</x:v>
      </x:c>
      <x:c r="H167" s="25" t="str">
        <x:v>Evergreening</x:v>
      </x:c>
      <x:c r="I167" s="25" t="str">
        <x:v>inherited_author_notation</x:v>
      </x:c>
      <x:c r="J167" s="25" t="str"/>
      <x:c r="K167" s="25" t="str">
        <x:v>automatic_screen_pass</x:v>
      </x:c>
      <x:c r="L167" s="25" t="str">
        <x:v>accepted</x:v>
      </x:c>
      <x:c r="M167" s="25" t="str">
        <x:v>no</x:v>
      </x:c>
      <x:c r="N167" s="25" t="str">
        <x:v>saki_research/published_papers/begenau_bigio_majerovitz_vieyra_q_theory_banks.pdf</x:v>
      </x:c>
      <x:c r="O167" s="25" t="str">
        <x:v>PascalPaul, andJuanMS ́anchez, “Evergreening,” Journal of Financial Economics, 2024, 153, 103778.12</x:v>
      </x:c>
    </x:row>
    <x:row r="168" ht="48" customHeight="1">
      <x:c r="A168" s="24" t="str">
        <x:v>P10-R037</x:v>
      </x:c>
      <x:c r="B168" s="24" t="str">
        <x:v>P10</x:v>
      </x:c>
      <x:c r="C168" s="26" t="n">
        <x:v>37</x:v>
      </x:c>
      <x:c r="D168" s="26" t="n">
        <x:v>45</x:v>
      </x:c>
      <x:c r="E168" s="26" t="n">
        <x:v>45</x:v>
      </x:c>
      <x:c r="F168" s="26" t="str">
        <x:v>Elenev</x:v>
      </x:c>
      <x:c r="G168" s="26" t="n">
        <x:v>2021</x:v>
      </x:c>
      <x:c r="H168" s="25" t="str">
        <x:v>A macroeconomic model with financially constrained producers and intermediaries</x:v>
      </x:c>
      <x:c r="I168" s="25" t="str"/>
      <x:c r="J168" s="25" t="str"/>
      <x:c r="K168" s="25" t="str">
        <x:v>automatic_screen_pass</x:v>
      </x:c>
      <x:c r="L168" s="25" t="str">
        <x:v>accepted</x:v>
      </x:c>
      <x:c r="M168" s="25" t="str">
        <x:v>no</x:v>
      </x:c>
      <x:c r="N168" s="25" t="str">
        <x:v>saki_research/published_papers/begenau_bigio_majerovitz_vieyra_q_theory_banks.pdf</x:v>
      </x:c>
      <x:c r="O168" s="25" t="str">
        <x:v>Elenev, Vadim, Tim Landvoigt, and Stijn Van Nieuwerburgh, “A macroeconomic model with financially constrained producers and intermediaries,” Econometrica, 2021, 89 (3), 1361– 1418.1</x:v>
      </x:c>
    </x:row>
    <x:row r="169" ht="48" customHeight="1">
      <x:c r="A169" s="24" t="str">
        <x:v>P10-R038</x:v>
      </x:c>
      <x:c r="B169" s="24" t="str">
        <x:v>P10</x:v>
      </x:c>
      <x:c r="C169" s="26" t="n">
        <x:v>38</x:v>
      </x:c>
      <x:c r="D169" s="26" t="n">
        <x:v>45</x:v>
      </x:c>
      <x:c r="E169" s="26" t="n">
        <x:v>45</x:v>
      </x:c>
      <x:c r="F169" s="26" t="str">
        <x:v>Erel</x:v>
      </x:c>
      <x:c r="G169" s="26" t="n">
        <x:v>2024</x:v>
      </x:c>
      <x:c r="H169" s="25" t="str">
        <x:v>Evolution of debt financing toward less-regulated financial intermediariesintheunitedstates</x:v>
      </x:c>
      <x:c r="I169" s="25" t="str"/>
      <x:c r="J169" s="25" t="str"/>
      <x:c r="K169" s="25" t="str">
        <x:v>automatic_screen_pass</x:v>
      </x:c>
      <x:c r="L169" s="25" t="str">
        <x:v>accepted</x:v>
      </x:c>
      <x:c r="M169" s="25" t="str">
        <x:v>no</x:v>
      </x:c>
      <x:c r="N169" s="25" t="str">
        <x:v>saki_research/published_papers/begenau_bigio_majerovitz_vieyra_q_theory_banks.pdf</x:v>
      </x:c>
      <x:c r="O169" s="25" t="str">
        <x:v>Erel, Isil and Eduard Inozemtsev, “Evolution of debt financing toward less-regulated financial intermediariesintheunitedstates,” Journal of Financial and Quantitative Analysis,2024,pp.1– 38.10</x:v>
      </x:c>
    </x:row>
    <x:row r="170" ht="48" customHeight="1">
      <x:c r="A170" s="24" t="str">
        <x:v>P10-R039</x:v>
      </x:c>
      <x:c r="B170" s="24" t="str">
        <x:v>P10</x:v>
      </x:c>
      <x:c r="C170" s="26" t="n">
        <x:v>39</x:v>
      </x:c>
      <x:c r="D170" s="26" t="n">
        <x:v>45</x:v>
      </x:c>
      <x:c r="E170" s="26" t="n">
        <x:v>45</x:v>
      </x:c>
      <x:c r="F170" s="26" t="str">
        <x:v>Fama</x:v>
      </x:c>
      <x:c r="G170" s="26" t="n">
        <x:v>1993</x:v>
      </x:c>
      <x:c r="H170" s="25" t="str">
        <x:v>Common Risk Factors in the Returns on Stock and Bonds</x:v>
      </x:c>
      <x:c r="I170" s="25" t="str"/>
      <x:c r="J170" s="25" t="str"/>
      <x:c r="K170" s="25" t="str">
        <x:v>prior_manual_sample</x:v>
      </x:c>
      <x:c r="L170" s="25" t="str">
        <x:v>accepted</x:v>
      </x:c>
      <x:c r="M170" s="25" t="str">
        <x:v>no</x:v>
      </x:c>
      <x:c r="N170" s="25" t="str">
        <x:v>saki_research/published_papers/begenau_bigio_majerovitz_vieyra_q_theory_banks.pdf</x:v>
      </x:c>
      <x:c r="O170" s="25" t="str">
        <x:v>Fama, Eugene F. and Kenneth R. French, “Common Risk Factors in the Returns on Stock and Bonds,” Journal of Financial Economics, 1993, 33, 131–156.21</x:v>
      </x:c>
    </x:row>
    <x:row r="171" ht="48" customHeight="1">
      <x:c r="A171" s="24" t="str">
        <x:v>P10-R040</x:v>
      </x:c>
      <x:c r="B171" s="24" t="str">
        <x:v>P10</x:v>
      </x:c>
      <x:c r="C171" s="26" t="n">
        <x:v>40</x:v>
      </x:c>
      <x:c r="D171" s="26" t="n">
        <x:v>45</x:v>
      </x:c>
      <x:c r="E171" s="26" t="n">
        <x:v>45</x:v>
      </x:c>
      <x:c r="F171" s="26" t="str">
        <x:v>Federal Deposit Insurance Corporation</x:v>
      </x:c>
      <x:c r="G171" s="26" t="n">
        <x:v>2022</x:v>
      </x:c>
      <x:c r="H171" s="25" t="str">
        <x:v>Formal And Informal Enforcement Actions Manual</x:v>
      </x:c>
      <x:c r="I171" s="25" t="str"/>
      <x:c r="J171" s="25" t="str">
        <x:v>local_citation_grammar_v3</x:v>
      </x:c>
      <x:c r="K171" s="25" t="str">
        <x:v>automatic_screen_pass</x:v>
      </x:c>
      <x:c r="L171" s="25" t="str">
        <x:v>accepted</x:v>
      </x:c>
      <x:c r="M171" s="25" t="str">
        <x:v>no</x:v>
      </x:c>
      <x:c r="N171" s="25" t="str">
        <x:v>saki_research/published_papers/begenau_bigio_majerovitz_vieyra_q_theory_banks.pdf</x:v>
      </x:c>
      <x:c r="O171" s="25" t="str">
        <x:v>Federal Deposit Insurance Corporation, Formal And Informal Enforcement Actions Manual 2022.A.2.1</x:v>
      </x:c>
    </x:row>
    <x:row r="172" ht="48" customHeight="1">
      <x:c r="A172" s="24" t="str">
        <x:v>P10-R041</x:v>
      </x:c>
      <x:c r="B172" s="24" t="str">
        <x:v>P10</x:v>
      </x:c>
      <x:c r="C172" s="26" t="n">
        <x:v>41</x:v>
      </x:c>
      <x:c r="D172" s="26" t="n">
        <x:v>45</x:v>
      </x:c>
      <x:c r="E172" s="26" t="n">
        <x:v>45</x:v>
      </x:c>
      <x:c r="F172" s="26" t="str">
        <x:v>Flanagan</x:v>
      </x:c>
      <x:c r="G172" s="26" t="n">
        <x:v>2019</x:v>
      </x:c>
      <x:c r="H172" s="25" t="str">
        <x:v>Why do banks hide losses?</x:v>
      </x:c>
      <x:c r="I172" s="25" t="str"/>
      <x:c r="J172" s="25" t="str"/>
      <x:c r="K172" s="25" t="str">
        <x:v>automatic_screen_pass</x:v>
      </x:c>
      <x:c r="L172" s="25" t="str">
        <x:v>accepted</x:v>
      </x:c>
      <x:c r="M172" s="25" t="str">
        <x:v>no</x:v>
      </x:c>
      <x:c r="N172" s="25" t="str">
        <x:v>saki_research/published_papers/begenau_bigio_majerovitz_vieyra_q_theory_banks.pdf</x:v>
      </x:c>
      <x:c r="O172" s="25" t="str">
        <x:v>Flanagan, Thomas and Amiyatosh Purnanandam, “Why do banks hide losses?,” Available at SSRN 3329953, 2019.11,3.1</x:v>
      </x:c>
    </x:row>
    <x:row r="173" ht="48" customHeight="1">
      <x:c r="A173" s="24" t="str">
        <x:v>P10-R042</x:v>
      </x:c>
      <x:c r="B173" s="24" t="str">
        <x:v>P10</x:v>
      </x:c>
      <x:c r="C173" s="26" t="n">
        <x:v>42</x:v>
      </x:c>
      <x:c r="D173" s="26" t="n">
        <x:v>45</x:v>
      </x:c>
      <x:c r="E173" s="26" t="n">
        <x:v>45</x:v>
      </x:c>
      <x:c r="F173" s="26" t="str">
        <x:v>Francis</x:v>
      </x:c>
      <x:c r="G173" s="26" t="n">
        <x:v>1996</x:v>
      </x:c>
      <x:c r="H173" s="25" t="str">
        <x:v>Causes and Effects of Discretionary Asset Write-Offs</x:v>
      </x:c>
      <x:c r="I173" s="25" t="str"/>
      <x:c r="J173" s="25" t="str"/>
      <x:c r="K173" s="25" t="str">
        <x:v>automatic_screen_pass</x:v>
      </x:c>
      <x:c r="L173" s="25" t="str">
        <x:v>accepted</x:v>
      </x:c>
      <x:c r="M173" s="25" t="str">
        <x:v>no</x:v>
      </x:c>
      <x:c r="N173" s="25" t="str">
        <x:v>saki_research/published_papers/begenau_bigio_majerovitz_vieyra_q_theory_banks.pdf</x:v>
      </x:c>
      <x:c r="O173" s="25" t="str">
        <x:v>Francis, Jennifer, J. Douglas Hanna, and Linda Vincent, “Causes and Effects of Discretionary Asset Write-Offs,” Journal of Accounting Research, 1996.A.2.2</x:v>
      </x:c>
    </x:row>
    <x:row r="174" ht="48" customHeight="1">
      <x:c r="A174" s="24" t="str">
        <x:v>P10-R043</x:v>
      </x:c>
      <x:c r="B174" s="24" t="str">
        <x:v>P10</x:v>
      </x:c>
      <x:c r="C174" s="26" t="n">
        <x:v>43</x:v>
      </x:c>
      <x:c r="D174" s="26" t="n">
        <x:v>45</x:v>
      </x:c>
      <x:c r="E174" s="26" t="n">
        <x:v>45</x:v>
      </x:c>
      <x:c r="F174" s="26" t="str">
        <x:v>Gambacorta</x:v>
      </x:c>
      <x:c r="G174" s="26" t="n">
        <x:v>2018</x:v>
      </x:c>
      <x:c r="H174" s="25" t="str">
        <x:v>Leverage and Risk-Weighted Capital Requirements</x:v>
      </x:c>
      <x:c r="I174" s="25" t="str"/>
      <x:c r="J174" s="25" t="str"/>
      <x:c r="K174" s="25" t="str">
        <x:v>automatic_screen_pass</x:v>
      </x:c>
      <x:c r="L174" s="25" t="str">
        <x:v>accepted</x:v>
      </x:c>
      <x:c r="M174" s="25" t="str">
        <x:v>no</x:v>
      </x:c>
      <x:c r="N174" s="25" t="str">
        <x:v>saki_research/published_papers/begenau_bigio_majerovitz_vieyra_q_theory_banks.pdf</x:v>
      </x:c>
      <x:c r="O174" s="25" t="str">
        <x:v>Gambacorta, Leonardo and Sudipto Karmakar, “Leverage and Risk-Weighted Capital Requirements,” International Journal of Central Banking, December 2018, 14 (5), 153–191.46</x:v>
      </x:c>
    </x:row>
    <x:row r="175" ht="48" customHeight="1">
      <x:c r="A175" s="24" t="str">
        <x:v>P10-R044</x:v>
      </x:c>
      <x:c r="B175" s="24" t="str">
        <x:v>P10</x:v>
      </x:c>
      <x:c r="C175" s="26" t="n">
        <x:v>44</x:v>
      </x:c>
      <x:c r="D175" s="26" t="n">
        <x:v>45</x:v>
      </x:c>
      <x:c r="E175" s="26" t="n">
        <x:v>45</x:v>
      </x:c>
      <x:c r="F175" s="26" t="str">
        <x:v>Gandhi</x:v>
      </x:c>
      <x:c r="G175" s="26" t="n">
        <x:v>2015</x:v>
      </x:c>
      <x:c r="H175" s="25" t="str">
        <x:v>Size anomalies in US bank stock returns</x:v>
      </x:c>
      <x:c r="I175" s="25" t="str"/>
      <x:c r="J175" s="25" t="str"/>
      <x:c r="K175" s="25" t="str">
        <x:v>automatic_screen_pass</x:v>
      </x:c>
      <x:c r="L175" s="25" t="str">
        <x:v>accepted</x:v>
      </x:c>
      <x:c r="M175" s="25" t="str">
        <x:v>no</x:v>
      </x:c>
      <x:c r="N175" s="25" t="str">
        <x:v>saki_research/published_papers/begenau_bigio_majerovitz_vieyra_q_theory_banks.pdf</x:v>
      </x:c>
      <x:c r="O175" s="25" t="str">
        <x:v>Gandhi, Priyank and Hanno Lustig, “Size anomalies in US bank stock returns,” The Journal of Finance, 2015, 70 (2), 733–768.2</x:v>
      </x:c>
    </x:row>
    <x:row r="176" ht="48" customHeight="1">
      <x:c r="A176" s="24" t="str">
        <x:v>P10-R045</x:v>
      </x:c>
      <x:c r="B176" s="24" t="str">
        <x:v>P10</x:v>
      </x:c>
      <x:c r="C176" s="26" t="n">
        <x:v>45</x:v>
      </x:c>
      <x:c r="D176" s="26" t="n">
        <x:v>45</x:v>
      </x:c>
      <x:c r="E176" s="26" t="n">
        <x:v>45</x:v>
      </x:c>
      <x:c r="F176" s="26" t="str">
        <x:v>Gertler</x:v>
      </x:c>
      <x:c r="G176" s="26" t="n">
        <x:v>2016</x:v>
      </x:c>
      <x:c r="H176" s="25" t="str">
        <x:v>Chapter 16 - Wholesale Banking and Bank RunsinMacroeconomicModelingofFinancialCrises</x:v>
      </x:c>
      <x:c r="I176" s="25" t="str"/>
      <x:c r="J176" s="25" t="str"/>
      <x:c r="K176" s="25" t="str">
        <x:v>automatic_screen_pass</x:v>
      </x:c>
      <x:c r="L176" s="25" t="str">
        <x:v>accepted</x:v>
      </x:c>
      <x:c r="M176" s="25" t="str">
        <x:v>no</x:v>
      </x:c>
      <x:c r="N176" s="25" t="str">
        <x:v>saki_research/published_papers/begenau_bigio_majerovitz_vieyra_q_theory_banks.pdf</x:v>
      </x:c>
      <x:c r="O176" s="25" t="str">
        <x:v>Gertler, M., N. Kiyotaki, and A. Prestipino, “Chapter 16 - Wholesale Banking and Bank RunsinMacroeconomicModelingofFinancialCrises,” inJohnB.TaylorandHaraldUhlig, eds., Handbook of Macroeconomics, Vol. 2, Elsevier, 2016, pp. 1345 – 1425.6,8</x:v>
      </x:c>
    </x:row>
    <x:row r="177" ht="48" customHeight="1">
      <x:c r="A177" s="24" t="str">
        <x:v>P10-R046</x:v>
      </x:c>
      <x:c r="B177" s="24" t="str">
        <x:v>P10</x:v>
      </x:c>
      <x:c r="C177" s="26" t="n">
        <x:v>46</x:v>
      </x:c>
      <x:c r="D177" s="26" t="n">
        <x:v>46</x:v>
      </x:c>
      <x:c r="E177" s="26" t="n">
        <x:v>46</x:v>
      </x:c>
      <x:c r="F177" s="26" t="str">
        <x:v>Gertler</x:v>
      </x:c>
      <x:c r="G177" s="26" t="n">
        <x:v>2010</x:v>
      </x:c>
      <x:c r="H177" s="25" t="str">
        <x:v>Financial Intermediation and Credit Policy in Business Cycle Analysis</x:v>
      </x:c>
      <x:c r="I177" s="25" t="str"/>
      <x:c r="J177" s="25" t="str"/>
      <x:c r="K177" s="25" t="str">
        <x:v>prior_manual_sample</x:v>
      </x:c>
      <x:c r="L177" s="25" t="str">
        <x:v>accepted</x:v>
      </x:c>
      <x:c r="M177" s="25" t="str">
        <x:v>no</x:v>
      </x:c>
      <x:c r="N177" s="25" t="str">
        <x:v>saki_research/published_papers/begenau_bigio_majerovitz_vieyra_q_theory_banks.pdf</x:v>
      </x:c>
      <x:c r="O177" s="25" t="str">
        <x:v>Gertler, Mark and Nobuhiro Kiyotaki, “Financial Intermediation and Credit Policy in Business Cycle Analysis,” in Benjamin M. Friedman and Michael Woodford, eds., Handbook of Monetary Economics, Vol. 3 of Handbook of Monetary Economics, Elsevier, 2010, pp. 547 – 599.</x:v>
      </x:c>
    </x:row>
    <x:row r="178" ht="48" customHeight="1">
      <x:c r="A178" s="24" t="str">
        <x:v>P10-R047</x:v>
      </x:c>
      <x:c r="B178" s="24" t="str">
        <x:v>P10</x:v>
      </x:c>
      <x:c r="C178" s="26" t="n">
        <x:v>47</x:v>
      </x:c>
      <x:c r="D178" s="26" t="n">
        <x:v>46</x:v>
      </x:c>
      <x:c r="E178" s="26" t="n">
        <x:v>46</x:v>
      </x:c>
      <x:c r="F178" s="26" t="str">
        <x:v>Gertler</x:v>
      </x:c>
      <x:c r="G178" s="26" t="n">
        <x:v>2015</x:v>
      </x:c>
      <x:c r="H178" s="25" t="str">
        <x:v>Banking,liquidity,andbankrunsinaninfinitehorizoneconomy</x:v>
      </x:c>
      <x:c r="I178" s="25" t="str">
        <x:v>inherited_author_notation</x:v>
      </x:c>
      <x:c r="J178" s="25" t="str"/>
      <x:c r="K178" s="25" t="str">
        <x:v>prior_manual_sample</x:v>
      </x:c>
      <x:c r="L178" s="25" t="str">
        <x:v>accepted</x:v>
      </x:c>
      <x:c r="M178" s="25" t="str">
        <x:v>no</x:v>
      </x:c>
      <x:c r="N178" s="25" t="str">
        <x:v>saki_research/published_papers/begenau_bigio_majerovitz_vieyra_q_theory_banks.pdf</x:v>
      </x:c>
      <x:c r="O178" s="25" t="str">
        <x:v>and ,“Banking,liquidity,andbankrunsinaninfinitehorizoneconomy,” American Economic Review, 2015, 105 (7), 2011–2043.6,3.1</x:v>
      </x:c>
    </x:row>
    <x:row r="179" ht="48" customHeight="1">
      <x:c r="A179" s="24" t="str">
        <x:v>P10-R048</x:v>
      </x:c>
      <x:c r="B179" s="24" t="str">
        <x:v>P10</x:v>
      </x:c>
      <x:c r="C179" s="26" t="n">
        <x:v>48</x:v>
      </x:c>
      <x:c r="D179" s="26" t="n">
        <x:v>46</x:v>
      </x:c>
      <x:c r="E179" s="26" t="n">
        <x:v>46</x:v>
      </x:c>
      <x:c r="F179" s="26" t="str">
        <x:v>Gertler</x:v>
      </x:c>
      <x:c r="G179" s="26" t="n">
        <x:v>2011</x:v>
      </x:c>
      <x:c r="H179" s="25" t="str">
        <x:v>A model of unconventional monetary policy</x:v>
      </x:c>
      <x:c r="I179" s="25" t="str">
        <x:v>inherited_author_notation</x:v>
      </x:c>
      <x:c r="J179" s="25" t="str"/>
      <x:c r="K179" s="25" t="str">
        <x:v>automatic_screen_pass</x:v>
      </x:c>
      <x:c r="L179" s="25" t="str">
        <x:v>accepted</x:v>
      </x:c>
      <x:c r="M179" s="25" t="str">
        <x:v>no</x:v>
      </x:c>
      <x:c r="N179" s="25" t="str">
        <x:v>saki_research/published_papers/begenau_bigio_majerovitz_vieyra_q_theory_banks.pdf</x:v>
      </x:c>
      <x:c r="O179" s="25" t="str">
        <x:v>and Peter Karadi, “A model of unconventional monetary policy,” Journal of Monetary Economics, 2011, 58 (1), 17 – 34. ¡ce:title¿Carnegie-Rochester Conference Series on Public Policy: The Future of Central Banking April 16-17, 2010¡/ce:title¿.6</x:v>
      </x:c>
    </x:row>
    <x:row r="180" ht="48" customHeight="1">
      <x:c r="A180" s="24" t="str">
        <x:v>P10-R049</x:v>
      </x:c>
      <x:c r="B180" s="24" t="str">
        <x:v>P10</x:v>
      </x:c>
      <x:c r="C180" s="26" t="n">
        <x:v>49</x:v>
      </x:c>
      <x:c r="D180" s="26" t="n">
        <x:v>46</x:v>
      </x:c>
      <x:c r="E180" s="26" t="n">
        <x:v>46</x:v>
      </x:c>
      <x:c r="F180" s="26" t="str">
        <x:v>Gertler</x:v>
      </x:c>
      <x:c r="G180" s="26" t="n">
        <x:v>2012</x:v>
      </x:c>
      <x:c r="H180" s="25" t="str">
        <x:v>Financial crises, bank risk exposure and government financial policy</x:v>
      </x:c>
      <x:c r="I180" s="25" t="str">
        <x:v>inherited_author_notation</x:v>
      </x:c>
      <x:c r="J180" s="25" t="str"/>
      <x:c r="K180" s="25" t="str">
        <x:v>automatic_screen_pass</x:v>
      </x:c>
      <x:c r="L180" s="25" t="str">
        <x:v>accepted</x:v>
      </x:c>
      <x:c r="M180" s="25" t="str">
        <x:v>no</x:v>
      </x:c>
      <x:c r="N180" s="25" t="str">
        <x:v>saki_research/published_papers/begenau_bigio_majerovitz_vieyra_q_theory_banks.pdf</x:v>
      </x:c>
      <x:c r="O180" s="25" t="str">
        <x:v>Nobuhiro Kiyotaki, and Albert Queralto, “Financial crises, bank risk exposure and government financial policy,” Journal of Monetary Economics, 2012, 59, S17–S34.6</x:v>
      </x:c>
    </x:row>
    <x:row r="181" ht="48" customHeight="1">
      <x:c r="A181" s="24" t="str">
        <x:v>P10-R050</x:v>
      </x:c>
      <x:c r="B181" s="24" t="str">
        <x:v>P10</x:v>
      </x:c>
      <x:c r="C181" s="26" t="n">
        <x:v>50</x:v>
      </x:c>
      <x:c r="D181" s="26" t="n">
        <x:v>46</x:v>
      </x:c>
      <x:c r="E181" s="26" t="n">
        <x:v>46</x:v>
      </x:c>
      <x:c r="F181" s="26" t="str">
        <x:v>Goh</x:v>
      </x:c>
      <x:c r="G181" s="26" t="n">
        <x:v>2015</x:v>
      </x:c>
      <x:c r="H181" s="25" t="str">
        <x:v>Market pricing of banks’ fair value assets reported under SFAS 157 since the 2008 financial crisis</x:v>
      </x:c>
      <x:c r="I181" s="25" t="str"/>
      <x:c r="J181" s="25" t="str"/>
      <x:c r="K181" s="25" t="str">
        <x:v>automatic_screen_pass</x:v>
      </x:c>
      <x:c r="L181" s="25" t="str">
        <x:v>accepted</x:v>
      </x:c>
      <x:c r="M181" s="25" t="str">
        <x:v>no</x:v>
      </x:c>
      <x:c r="N181" s="25" t="str">
        <x:v>saki_research/published_papers/begenau_bigio_majerovitz_vieyra_q_theory_banks.pdf</x:v>
      </x:c>
      <x:c r="O181" s="25" t="str">
        <x:v>Goh, Beng Wee, Dan Li, Jeffrey Ng, and Kevin Ow Yong, “Market pricing of banks’ fair value assets reported under SFAS 157 since the 2008 financial crisis,” Journal of Accounting and Public Policy, jan 2015.52</x:v>
      </x:c>
    </x:row>
    <x:row r="182" ht="48" customHeight="1">
      <x:c r="A182" s="24" t="str">
        <x:v>P10-R051</x:v>
      </x:c>
      <x:c r="B182" s="24" t="str">
        <x:v>P10</x:v>
      </x:c>
      <x:c r="C182" s="26" t="n">
        <x:v>51</x:v>
      </x:c>
      <x:c r="D182" s="26" t="n">
        <x:v>46</x:v>
      </x:c>
      <x:c r="E182" s="26" t="n">
        <x:v>46</x:v>
      </x:c>
      <x:c r="F182" s="26" t="str">
        <x:v>Goldstein</x:v>
      </x:c>
      <x:c r="G182" s="26" t="n">
        <x:v>2024</x:v>
      </x:c>
      <x:c r="H182" s="25" t="str">
        <x:v>Bank heterogeneity and financial stability</x:v>
      </x:c>
      <x:c r="I182" s="25" t="str"/>
      <x:c r="J182" s="25" t="str"/>
      <x:c r="K182" s="25" t="str">
        <x:v>automatic_screen_pass</x:v>
      </x:c>
      <x:c r="L182" s="25" t="str">
        <x:v>accepted</x:v>
      </x:c>
      <x:c r="M182" s="25" t="str">
        <x:v>no</x:v>
      </x:c>
      <x:c r="N182" s="25" t="str">
        <x:v>saki_research/published_papers/begenau_bigio_majerovitz_vieyra_q_theory_banks.pdf</x:v>
      </x:c>
      <x:c r="O182" s="25" t="str">
        <x:v>Goldstein, Itay, Alexandr Kopytov, Lin Shen, and Haotian Xiang, “Bank heterogeneity and financial stability,” Journal of Financial Economics, 2024, 162, 103934.1</x:v>
      </x:c>
    </x:row>
    <x:row r="183" ht="48" customHeight="1">
      <x:c r="A183" s="24" t="str">
        <x:v>P10-R052</x:v>
      </x:c>
      <x:c r="B183" s="24" t="str">
        <x:v>P10</x:v>
      </x:c>
      <x:c r="C183" s="26" t="n">
        <x:v>52</x:v>
      </x:c>
      <x:c r="D183" s="26" t="n">
        <x:v>46</x:v>
      </x:c>
      <x:c r="E183" s="26" t="n">
        <x:v>46</x:v>
      </x:c>
      <x:c r="F183" s="26" t="str">
        <x:v>Gomes</x:v>
      </x:c>
      <x:c r="G183" s="26" t="n">
        <x:v>2016</x:v>
      </x:c>
      <x:c r="H183" s="25" t="str">
        <x:v>Sticky Leverage</x:v>
      </x:c>
      <x:c r="I183" s="25" t="str"/>
      <x:c r="J183" s="25" t="str"/>
      <x:c r="K183" s="25" t="str">
        <x:v>automatic_screen_pass</x:v>
      </x:c>
      <x:c r="L183" s="25" t="str">
        <x:v>accepted</x:v>
      </x:c>
      <x:c r="M183" s="25" t="str">
        <x:v>no</x:v>
      </x:c>
      <x:c r="N183" s="25" t="str">
        <x:v>saki_research/published_papers/begenau_bigio_majerovitz_vieyra_q_theory_banks.pdf</x:v>
      </x:c>
      <x:c r="O183" s="25" t="str">
        <x:v>Gomes, Jo ̃ao, Urban Jermann, and Lukas Schmid, “Sticky Leverage,” American Economic Review, 2016, 106 (12), 3800–3828.8</x:v>
      </x:c>
    </x:row>
    <x:row r="184" ht="48" customHeight="1">
      <x:c r="A184" s="24" t="str">
        <x:v>P10-R053</x:v>
      </x:c>
      <x:c r="B184" s="24" t="str">
        <x:v>P10</x:v>
      </x:c>
      <x:c r="C184" s="26" t="n">
        <x:v>53</x:v>
      </x:c>
      <x:c r="D184" s="26" t="n">
        <x:v>46</x:v>
      </x:c>
      <x:c r="E184" s="26" t="n">
        <x:v>46</x:v>
      </x:c>
      <x:c r="F184" s="26" t="str">
        <x:v>Granja</x:v>
      </x:c>
      <x:c r="G184" s="26" t="n">
        <x:v>2023</x:v>
      </x:c>
      <x:c r="H184" s="25" t="str">
        <x:v>BankFragilityandReclassificationofSecuritiesintoHTM</x:v>
      </x:c>
      <x:c r="I184" s="25" t="str"/>
      <x:c r="J184" s="25" t="str"/>
      <x:c r="K184" s="25" t="str">
        <x:v>automatic_screen_pass</x:v>
      </x:c>
      <x:c r="L184" s="25" t="str">
        <x:v>accepted</x:v>
      </x:c>
      <x:c r="M184" s="25" t="str">
        <x:v>no</x:v>
      </x:c>
      <x:c r="N184" s="25" t="str">
        <x:v>saki_research/published_papers/begenau_bigio_majerovitz_vieyra_q_theory_banks.pdf</x:v>
      </x:c>
      <x:c r="O184" s="25" t="str">
        <x:v>Granja,Jo ̃ao,“BankFragilityandReclassificationofSecuritiesintoHTM,”University of Chicago, Becker Friedman Institute for Economics Working Paper, 2023, (2023-53).13</x:v>
      </x:c>
    </x:row>
    <x:row r="185" ht="48" customHeight="1">
      <x:c r="A185" s="24" t="str">
        <x:v>P10-R054</x:v>
      </x:c>
      <x:c r="B185" s="24" t="str">
        <x:v>P10</x:v>
      </x:c>
      <x:c r="C185" s="26" t="n">
        <x:v>54</x:v>
      </x:c>
      <x:c r="D185" s="26" t="n">
        <x:v>46</x:v>
      </x:c>
      <x:c r="E185" s="26" t="n">
        <x:v>46</x:v>
      </x:c>
      <x:c r="F185" s="26" t="str">
        <x:v>Granja</x:v>
      </x:c>
      <x:c r="G185" s="26" t="n">
        <x:v>2018</x:v>
      </x:c>
      <x:c r="H185" s="25" t="str">
        <x:v>The death of a regulator: strict supervision, bank lending, and business activity</x:v>
      </x:c>
      <x:c r="I185" s="25" t="str">
        <x:v>inherited_author_notation</x:v>
      </x:c>
      <x:c r="J185" s="25" t="str"/>
      <x:c r="K185" s="25" t="str">
        <x:v>prior_manual_sample</x:v>
      </x:c>
      <x:c r="L185" s="25" t="str">
        <x:v>accepted</x:v>
      </x:c>
      <x:c r="M185" s="25" t="str">
        <x:v>no</x:v>
      </x:c>
      <x:c r="N185" s="25" t="str">
        <x:v>saki_research/published_papers/begenau_bigio_majerovitz_vieyra_q_theory_banks.pdf</x:v>
      </x:c>
      <x:c r="O185" s="25" t="str">
        <x:v>and Christian Leuz, “The death of a regulator: strict supervision, bank lending, and business activity,” Technical Report, National Bureau of Economic Research 2018.14</x:v>
      </x:c>
    </x:row>
    <x:row r="186" ht="48" customHeight="1">
      <x:c r="A186" s="24" t="str">
        <x:v>P10-R055</x:v>
      </x:c>
      <x:c r="B186" s="24" t="str">
        <x:v>P10</x:v>
      </x:c>
      <x:c r="C186" s="26" t="n">
        <x:v>55</x:v>
      </x:c>
      <x:c r="D186" s="26" t="n">
        <x:v>46</x:v>
      </x:c>
      <x:c r="E186" s="26" t="n">
        <x:v>46</x:v>
      </x:c>
      <x:c r="F186" s="26" t="str">
        <x:v>Granja</x:v>
      </x:c>
      <x:c r="G186" s="26" t="n">
        <x:v>2023</x:v>
      </x:c>
      <x:c r="H186" s="25" t="str">
        <x:v>Current Expected Credit Losses and Consumer Loans</x:v>
      </x:c>
      <x:c r="I186" s="25" t="str"/>
      <x:c r="J186" s="25" t="str"/>
      <x:c r="K186" s="25" t="str">
        <x:v>prior_manual_sample</x:v>
      </x:c>
      <x:c r="L186" s="25" t="str">
        <x:v>accepted</x:v>
      </x:c>
      <x:c r="M186" s="25" t="str">
        <x:v>no</x:v>
      </x:c>
      <x:c r="N186" s="25" t="str">
        <x:v>saki_research/published_papers/begenau_bigio_majerovitz_vieyra_q_theory_banks.pdf</x:v>
      </x:c>
      <x:c r="O186" s="25" t="str">
        <x:v>Granja, Joao and Fabian Nagel, “Current Expected Credit Losses and Consumer Loans,” Available at SSRN 4324118, 2023.15</x:v>
      </x:c>
    </x:row>
    <x:row r="187" ht="48" customHeight="1">
      <x:c r="A187" s="24" t="str">
        <x:v>P10-R056</x:v>
      </x:c>
      <x:c r="B187" s="24" t="str">
        <x:v>P10</x:v>
      </x:c>
      <x:c r="C187" s="26" t="n">
        <x:v>56</x:v>
      </x:c>
      <x:c r="D187" s="26" t="n">
        <x:v>46</x:v>
      </x:c>
      <x:c r="E187" s="26" t="n">
        <x:v>46</x:v>
      </x:c>
      <x:c r="F187" s="26" t="str">
        <x:v>Hachem</x:v>
      </x:c>
      <x:c r="G187" s="26" t="n">
        <x:v>2021</x:v>
      </x:c>
      <x:c r="H187" s="25" t="str">
        <x:v>Liquidity rules and credit booms</x:v>
      </x:c>
      <x:c r="I187" s="25" t="str"/>
      <x:c r="J187" s="25" t="str"/>
      <x:c r="K187" s="25" t="str">
        <x:v>prior_manual_sample</x:v>
      </x:c>
      <x:c r="L187" s="25" t="str">
        <x:v>accepted</x:v>
      </x:c>
      <x:c r="M187" s="25" t="str">
        <x:v>no</x:v>
      </x:c>
      <x:c r="N187" s="25" t="str">
        <x:v>saki_research/published_papers/begenau_bigio_majerovitz_vieyra_q_theory_banks.pdf</x:v>
      </x:c>
      <x:c r="O187" s="25" t="str">
        <x:v>Hachem, Kinda and Zheng Song, “Liquidity rules and credit booms,” Journal of Political Economy, 2021, 129 (10), 2721–2765.10</x:v>
      </x:c>
    </x:row>
    <x:row r="188" ht="48" customHeight="1">
      <x:c r="A188" s="24" t="str">
        <x:v>P10-R057</x:v>
      </x:c>
      <x:c r="B188" s="24" t="str">
        <x:v>P10</x:v>
      </x:c>
      <x:c r="C188" s="26" t="n">
        <x:v>57</x:v>
      </x:c>
      <x:c r="D188" s="26" t="n">
        <x:v>46</x:v>
      </x:c>
      <x:c r="E188" s="26" t="n">
        <x:v>46</x:v>
      </x:c>
      <x:c r="F188" s="26" t="str">
        <x:v>Harris</x:v>
      </x:c>
      <x:c r="G188" s="26" t="n">
        <x:v>2013</x:v>
      </x:c>
      <x:c r="H188" s="25" t="str">
        <x:v>The Expected Rate of Credit Losses on Banks’ Loan Portfolios</x:v>
      </x:c>
      <x:c r="I188" s="25" t="str"/>
      <x:c r="J188" s="25" t="str"/>
      <x:c r="K188" s="25" t="str">
        <x:v>automatic_screen_pass</x:v>
      </x:c>
      <x:c r="L188" s="25" t="str">
        <x:v>accepted</x:v>
      </x:c>
      <x:c r="M188" s="25" t="str">
        <x:v>no</x:v>
      </x:c>
      <x:c r="N188" s="25" t="str">
        <x:v>saki_research/published_papers/begenau_bigio_majerovitz_vieyra_q_theory_banks.pdf</x:v>
      </x:c>
      <x:c r="O188" s="25" t="str">
        <x:v>Harris, Trevor, Urooj Khan, and Doron Nissim, “The Expected Rate of Credit Losses on Banks’ Loan Portfolios,” 2013.A.2.2</x:v>
      </x:c>
    </x:row>
    <x:row r="189" ht="48" customHeight="1">
      <x:c r="A189" s="24" t="str">
        <x:v>P10-R058</x:v>
      </x:c>
      <x:c r="B189" s="24" t="str">
        <x:v>P10</x:v>
      </x:c>
      <x:c r="C189" s="26" t="n">
        <x:v>58</x:v>
      </x:c>
      <x:c r="D189" s="26" t="n">
        <x:v>46</x:v>
      </x:c>
      <x:c r="E189" s="26" t="n">
        <x:v>46</x:v>
      </x:c>
      <x:c r="F189" s="26" t="str">
        <x:v>Hart</x:v>
      </x:c>
      <x:c r="G189" s="26" t="n">
        <x:v>1994</x:v>
      </x:c>
      <x:c r="H189" s="25" t="str">
        <x:v>A Theory of Debt Based on the Inalienability of Human Capital</x:v>
      </x:c>
      <x:c r="I189" s="25" t="str"/>
      <x:c r="J189" s="25" t="str"/>
      <x:c r="K189" s="25" t="str">
        <x:v>automatic_screen_pass</x:v>
      </x:c>
      <x:c r="L189" s="25" t="str">
        <x:v>accepted</x:v>
      </x:c>
      <x:c r="M189" s="25" t="str">
        <x:v>no</x:v>
      </x:c>
      <x:c r="N189" s="25" t="str">
        <x:v>saki_research/published_papers/begenau_bigio_majerovitz_vieyra_q_theory_banks.pdf</x:v>
      </x:c>
      <x:c r="O189" s="25" t="str">
        <x:v>Hart, Oliver and John Moore, “A Theory of Debt Based on the Inalienability of Human Capital,” The Quarterly Journal of Economics, 1994, 109 (4), pp. 841–879.7</x:v>
      </x:c>
    </x:row>
    <x:row r="190" ht="48" customHeight="1">
      <x:c r="A190" s="24" t="str">
        <x:v>P10-R059</x:v>
      </x:c>
      <x:c r="B190" s="24" t="str">
        <x:v>P10</x:v>
      </x:c>
      <x:c r="C190" s="26" t="n">
        <x:v>59</x:v>
      </x:c>
      <x:c r="D190" s="26" t="n">
        <x:v>46</x:v>
      </x:c>
      <x:c r="E190" s="26" t="n">
        <x:v>46</x:v>
      </x:c>
      <x:c r="F190" s="26" t="str">
        <x:v>Haselmann</x:v>
      </x:c>
      <x:c r="G190" s="26" t="n">
        <x:v>2022</x:v>
      </x:c>
      <x:c r="H190" s="25" t="str">
        <x:v>The political economy of financial regulation</x:v>
      </x:c>
      <x:c r="I190" s="25" t="str"/>
      <x:c r="J190" s="25" t="str"/>
      <x:c r="K190" s="25" t="str">
        <x:v>automatic_screen_pass</x:v>
      </x:c>
      <x:c r="L190" s="25" t="str">
        <x:v>accepted</x:v>
      </x:c>
      <x:c r="M190" s="25" t="str">
        <x:v>no</x:v>
      </x:c>
      <x:c r="N190" s="25" t="str">
        <x:v>saki_research/published_papers/begenau_bigio_majerovitz_vieyra_q_theory_banks.pdf</x:v>
      </x:c>
      <x:c r="O190" s="25" t="str">
        <x:v>Haselmann, Rainer, Arkodipta Sarkar, Shikhar Singla, and Vikrant Vig, “The political economy of financial regulation,” Technical Report, LawFin Working Paper 2022.14</x:v>
      </x:c>
    </x:row>
    <x:row r="191" ht="48" customHeight="1">
      <x:c r="A191" s="24" t="str">
        <x:v>P10-R060</x:v>
      </x:c>
      <x:c r="B191" s="24" t="str">
        <x:v>P10</x:v>
      </x:c>
      <x:c r="C191" s="26" t="n">
        <x:v>60</x:v>
      </x:c>
      <x:c r="D191" s="26" t="n">
        <x:v>46</x:v>
      </x:c>
      <x:c r="E191" s="26" t="n">
        <x:v>46</x:v>
      </x:c>
      <x:c r="F191" s="26" t="str">
        <x:v>He</x:v>
      </x:c>
      <x:c r="G191" s="26" t="n">
        <x:v>2012</x:v>
      </x:c>
      <x:c r="H191" s="25" t="str">
        <x:v>AModelofCapitalandCrises</x:v>
      </x:c>
      <x:c r="I191" s="25" t="str"/>
      <x:c r="J191" s="25" t="str"/>
      <x:c r="K191" s="25" t="str">
        <x:v>automatic_screen_pass</x:v>
      </x:c>
      <x:c r="L191" s="25" t="str">
        <x:v>accepted</x:v>
      </x:c>
      <x:c r="M191" s="25" t="str">
        <x:v>no</x:v>
      </x:c>
      <x:c r="N191" s="25" t="str">
        <x:v>saki_research/published_papers/begenau_bigio_majerovitz_vieyra_q_theory_banks.pdf</x:v>
      </x:c>
      <x:c r="O191" s="25" t="str">
        <x:v>He,ZhiguoandArvindKrishnamurthy,“AModelofCapitalandCrises,” Review of Economic Studies, 2012, 79(2), 735–777.6</x:v>
      </x:c>
    </x:row>
    <x:row r="192" ht="48" customHeight="1">
      <x:c r="A192" s="24" t="str">
        <x:v>P10-R061</x:v>
      </x:c>
      <x:c r="B192" s="24" t="str">
        <x:v>P10</x:v>
      </x:c>
      <x:c r="C192" s="26" t="n">
        <x:v>61</x:v>
      </x:c>
      <x:c r="D192" s="26" t="n">
        <x:v>46</x:v>
      </x:c>
      <x:c r="E192" s="26" t="n">
        <x:v>46</x:v>
      </x:c>
      <x:c r="F192" s="26" t="str">
        <x:v>He</x:v>
      </x:c>
      <x:c r="G192" s="26" t="n">
        <x:v>2013</x:v>
      </x:c>
      <x:c r="H192" s="25" t="str">
        <x:v>Intermediary asset pricing</x:v>
      </x:c>
      <x:c r="I192" s="25" t="str">
        <x:v>inherited_author_notation</x:v>
      </x:c>
      <x:c r="J192" s="25" t="str"/>
      <x:c r="K192" s="25" t="str">
        <x:v>automatic_screen_pass</x:v>
      </x:c>
      <x:c r="L192" s="25" t="str">
        <x:v>accepted</x:v>
      </x:c>
      <x:c r="M192" s="25" t="str">
        <x:v>no</x:v>
      </x:c>
      <x:c r="N192" s="25" t="str">
        <x:v>saki_research/published_papers/begenau_bigio_majerovitz_vieyra_q_theory_banks.pdf</x:v>
      </x:c>
      <x:c r="O192" s="25" t="str">
        <x:v>and , “Intermediary asset pricing,” The American Economic Review, 2013, 103 (2), 732–770. 4,1,6,3.1,5.1,C</x:v>
      </x:c>
    </x:row>
    <x:row r="193" ht="48" customHeight="1">
      <x:c r="A193" s="24" t="str">
        <x:v>P10-R062</x:v>
      </x:c>
      <x:c r="B193" s="24" t="str">
        <x:v>P10</x:v>
      </x:c>
      <x:c r="C193" s="26" t="n">
        <x:v>62</x:v>
      </x:c>
      <x:c r="D193" s="26" t="n">
        <x:v>46</x:v>
      </x:c>
      <x:c r="E193" s="26" t="n">
        <x:v>46</x:v>
      </x:c>
      <x:c r="F193" s="26" t="str">
        <x:v>He</x:v>
      </x:c>
      <x:c r="G193" s="26" t="n">
        <x:v>2017</x:v>
      </x:c>
      <x:c r="H193" s="25" t="str">
        <x:v>Intermediary Asset Pricing: New Evidence From Many Asset Classes</x:v>
      </x:c>
      <x:c r="I193" s="25" t="str">
        <x:v>inherited_author_notation</x:v>
      </x:c>
      <x:c r="J193" s="25" t="str"/>
      <x:c r="K193" s="25" t="str">
        <x:v>automatic_screen_pass</x:v>
      </x:c>
      <x:c r="L193" s="25" t="str">
        <x:v>accepted</x:v>
      </x:c>
      <x:c r="M193" s="25" t="str">
        <x:v>no</x:v>
      </x:c>
      <x:c r="N193" s="25" t="str">
        <x:v>saki_research/published_papers/begenau_bigio_majerovitz_vieyra_q_theory_banks.pdf</x:v>
      </x:c>
      <x:c r="O193" s="25" t="str">
        <x:v>Bryan Kelly, and Asaf Manela, “Intermediary Asset Pricing: New Evidence From Many Asset Classes,” Journal of Financial Economics, 2017, 126 (1), 1–35.4,16</x:v>
      </x:c>
    </x:row>
    <x:row r="194" ht="48" customHeight="1">
      <x:c r="A194" s="24" t="str">
        <x:v>P10-R063</x:v>
      </x:c>
      <x:c r="B194" s="24" t="str">
        <x:v>P10</x:v>
      </x:c>
      <x:c r="C194" s="26" t="n">
        <x:v>63</x:v>
      </x:c>
      <x:c r="D194" s="26" t="n">
        <x:v>47</x:v>
      </x:c>
      <x:c r="E194" s="26" t="n">
        <x:v>47</x:v>
      </x:c>
      <x:c r="F194" s="26" t="str">
        <x:v>Holmstrom</x:v>
      </x:c>
      <x:c r="G194" s="26" t="n">
        <x:v>1997</x:v>
      </x:c>
      <x:c r="H194" s="25" t="str">
        <x:v>Financial Intermediation, Loanable funds, and the real sector</x:v>
      </x:c>
      <x:c r="I194" s="25" t="str"/>
      <x:c r="J194" s="25" t="str"/>
      <x:c r="K194" s="25" t="str">
        <x:v>automatic_screen_pass</x:v>
      </x:c>
      <x:c r="L194" s="25" t="str">
        <x:v>accepted</x:v>
      </x:c>
      <x:c r="M194" s="25" t="str">
        <x:v>no</x:v>
      </x:c>
      <x:c r="N194" s="25" t="str">
        <x:v>saki_research/published_papers/begenau_bigio_majerovitz_vieyra_q_theory_banks.pdf</x:v>
      </x:c>
      <x:c r="O194" s="25" t="str">
        <x:v>Holmstrom, Bengt and Jean Tirole, “Financial Intermediation, Loanable funds, and the real sector,” Quarterly Journal of Economics, 1997, 112 (3), 663–691.7</x:v>
      </x:c>
    </x:row>
    <x:row r="195" ht="48" customHeight="1">
      <x:c r="A195" s="24" t="str">
        <x:v>P10-R064</x:v>
      </x:c>
      <x:c r="B195" s="24" t="str">
        <x:v>P10</x:v>
      </x:c>
      <x:c r="C195" s="26" t="n">
        <x:v>64</x:v>
      </x:c>
      <x:c r="D195" s="26" t="n">
        <x:v>47</x:v>
      </x:c>
      <x:c r="E195" s="26" t="n">
        <x:v>47</x:v>
      </x:c>
      <x:c r="F195" s="26" t="str">
        <x:v>Huizinga</x:v>
      </x:c>
      <x:c r="G195" s="26" t="n">
        <x:v>2012</x:v>
      </x:c>
      <x:c r="H195" s="25" t="str">
        <x:v>Bankvaluationandaccountingdiscretionduringafinancial crisis</x:v>
      </x:c>
      <x:c r="I195" s="25" t="str"/>
      <x:c r="J195" s="25" t="str"/>
      <x:c r="K195" s="25" t="str">
        <x:v>automatic_screen_pass</x:v>
      </x:c>
      <x:c r="L195" s="25" t="str">
        <x:v>accepted</x:v>
      </x:c>
      <x:c r="M195" s="25" t="str">
        <x:v>no</x:v>
      </x:c>
      <x:c r="N195" s="25" t="str">
        <x:v>saki_research/published_papers/begenau_bigio_majerovitz_vieyra_q_theory_banks.pdf</x:v>
      </x:c>
      <x:c r="O195" s="25" t="str">
        <x:v>Huizinga,HarryandLucLaeven,“Bankvaluationandaccountingdiscretionduringafinancial crisis,” Journal of Financial Economics, December 2012, 106 (3), 614–634.A.2.2</x:v>
      </x:c>
    </x:row>
    <x:row r="196" ht="48" customHeight="1">
      <x:c r="A196" s="24" t="str">
        <x:v>P10-R065</x:v>
      </x:c>
      <x:c r="B196" s="24" t="str">
        <x:v>P10</x:v>
      </x:c>
      <x:c r="C196" s="26" t="n">
        <x:v>65</x:v>
      </x:c>
      <x:c r="D196" s="26" t="n">
        <x:v>47</x:v>
      </x:c>
      <x:c r="E196" s="26" t="n">
        <x:v>47</x:v>
      </x:c>
      <x:c r="F196" s="26" t="str">
        <x:v>Jermann</x:v>
      </x:c>
      <x:c r="G196" s="26" t="n">
        <x:v>2012</x:v>
      </x:c>
      <x:c r="H196" s="25" t="str">
        <x:v>Macroeconomic Effects of Financial Shocks</x:v>
      </x:c>
      <x:c r="I196" s="25" t="str"/>
      <x:c r="J196" s="25" t="str"/>
      <x:c r="K196" s="25" t="str">
        <x:v>automatic_screen_pass</x:v>
      </x:c>
      <x:c r="L196" s="25" t="str">
        <x:v>accepted</x:v>
      </x:c>
      <x:c r="M196" s="25" t="str">
        <x:v>no</x:v>
      </x:c>
      <x:c r="N196" s="25" t="str">
        <x:v>saki_research/published_papers/begenau_bigio_majerovitz_vieyra_q_theory_banks.pdf</x:v>
      </x:c>
      <x:c r="O196" s="25" t="str">
        <x:v>Jermann, Urban and Vincenzo Quadrini, “Macroeconomic Effects of Financial Shocks,” American Economic Review, February 2012, 102 (1), 238–71.1,6</x:v>
      </x:c>
    </x:row>
    <x:row r="197" ht="48" customHeight="1">
      <x:c r="A197" s="24" t="str">
        <x:v>P10-R066</x:v>
      </x:c>
      <x:c r="B197" s="24" t="str">
        <x:v>P10</x:v>
      </x:c>
      <x:c r="C197" s="26" t="n">
        <x:v>66</x:v>
      </x:c>
      <x:c r="D197" s="26" t="n">
        <x:v>47</x:v>
      </x:c>
      <x:c r="E197" s="26" t="n">
        <x:v>47</x:v>
      </x:c>
      <x:c r="F197" s="26" t="str">
        <x:v>Jiang</x:v>
      </x:c>
      <x:c r="G197" s="26" t="n">
        <x:v>2023</x:v>
      </x:c>
      <x:c r="H197" s="25" t="str">
        <x:v>Monetary Tightening and US Bank Fragility in 2023: Mark-to-Market Losses and Uninsured Depositor Runs?</x:v>
      </x:c>
      <x:c r="I197" s="25" t="str"/>
      <x:c r="J197" s="25" t="str"/>
      <x:c r="K197" s="25" t="str">
        <x:v>automatic_screen_pass</x:v>
      </x:c>
      <x:c r="L197" s="25" t="str">
        <x:v>accepted</x:v>
      </x:c>
      <x:c r="M197" s="25" t="str">
        <x:v>no</x:v>
      </x:c>
      <x:c r="N197" s="25" t="str">
        <x:v>saki_research/published_papers/begenau_bigio_majerovitz_vieyra_q_theory_banks.pdf</x:v>
      </x:c>
      <x:c r="O197" s="25" t="str">
        <x:v>Jiang, Erica Xuewei, Gregor Matvos, Tomasz Piskorski, and Amit Seru, “Monetary Tightening and US Bank Fragility in 2023: Mark-to-Market Losses and Uninsured Depositor Runs?,” Technical Report, National Bureau of Economic Research 2023.13</x:v>
      </x:c>
    </x:row>
    <x:row r="198" ht="48" customHeight="1">
      <x:c r="A198" s="24" t="str">
        <x:v>P10-R067</x:v>
      </x:c>
      <x:c r="B198" s="24" t="str">
        <x:v>P10</x:v>
      </x:c>
      <x:c r="C198" s="26" t="n">
        <x:v>67</x:v>
      </x:c>
      <x:c r="D198" s="26" t="n">
        <x:v>47</x:v>
      </x:c>
      <x:c r="E198" s="26" t="n">
        <x:v>47</x:v>
      </x:c>
      <x:c r="F198" s="26" t="str">
        <x:v>Kanzig</x:v>
      </x:c>
      <x:c r="G198" s="26" t="n">
        <x:v>2021</x:v>
      </x:c>
      <x:c r="H198" s="25" t="str">
        <x:v>The Macroeconomic Effects of Oil Supply News: Evidence from OPEC Announcements</x:v>
      </x:c>
      <x:c r="I198" s="25" t="str"/>
      <x:c r="J198" s="25" t="str"/>
      <x:c r="K198" s="25" t="str">
        <x:v>automatic_screen_pass</x:v>
      </x:c>
      <x:c r="L198" s="25" t="str">
        <x:v>accepted</x:v>
      </x:c>
      <x:c r="M198" s="25" t="str">
        <x:v>no</x:v>
      </x:c>
      <x:c r="N198" s="25" t="str">
        <x:v>saki_research/published_papers/begenau_bigio_majerovitz_vieyra_q_theory_banks.pdf</x:v>
      </x:c>
      <x:c r="O198" s="25" t="str">
        <x:v>Kanzig, Diego R., “The Macroeconomic Effects of Oil Supply News: Evidence from OPEC Announcements,” American Economic Review, apr 2021, 111 (4), 1092–1125.B.1</x:v>
      </x:c>
    </x:row>
    <x:row r="199" ht="48" customHeight="1">
      <x:c r="A199" s="24" t="str">
        <x:v>P10-R068</x:v>
      </x:c>
      <x:c r="B199" s="24" t="str">
        <x:v>P10</x:v>
      </x:c>
      <x:c r="C199" s="26" t="n">
        <x:v>68</x:v>
      </x:c>
      <x:c r="D199" s="26" t="n">
        <x:v>47</x:v>
      </x:c>
      <x:c r="E199" s="26" t="n">
        <x:v>47</x:v>
      </x:c>
      <x:c r="F199" s="26" t="str">
        <x:v>Kelly</x:v>
      </x:c>
      <x:c r="G199" s="26" t="n">
        <x:v>2016</x:v>
      </x:c>
      <x:c r="H199" s="25" t="str">
        <x:v>Too-systemic-to-fail: What option markets imply about sector-wide government guarantees</x:v>
      </x:c>
      <x:c r="I199" s="25" t="str"/>
      <x:c r="J199" s="25" t="str"/>
      <x:c r="K199" s="25" t="str">
        <x:v>automatic_screen_pass</x:v>
      </x:c>
      <x:c r="L199" s="25" t="str">
        <x:v>accepted</x:v>
      </x:c>
      <x:c r="M199" s="25" t="str">
        <x:v>no</x:v>
      </x:c>
      <x:c r="N199" s="25" t="str">
        <x:v>saki_research/published_papers/begenau_bigio_majerovitz_vieyra_q_theory_banks.pdf</x:v>
      </x:c>
      <x:c r="O199" s="25" t="str">
        <x:v>Kelly, Bryan, Hanno Lustig, and Stijn Van Nieuwerburgh, “Too-systemic-to-fail: What option markets imply about sector-wide government guarantees,” American Economic Review, 2016, 106 (6), 1278–1319.3.1</x:v>
      </x:c>
    </x:row>
    <x:row r="200" ht="48" customHeight="1">
      <x:c r="A200" s="24" t="str">
        <x:v>P10-R069</x:v>
      </x:c>
      <x:c r="B200" s="24" t="str">
        <x:v>P10</x:v>
      </x:c>
      <x:c r="C200" s="26" t="n">
        <x:v>69</x:v>
      </x:c>
      <x:c r="D200" s="26" t="n">
        <x:v>47</x:v>
      </x:c>
      <x:c r="E200" s="26" t="n">
        <x:v>47</x:v>
      </x:c>
      <x:c r="F200" s="26" t="str">
        <x:v>Kilian</x:v>
      </x:c>
      <x:c r="G200" s="26" t="n">
        <x:v>2009</x:v>
      </x:c>
      <x:c r="H200" s="25" t="str">
        <x:v>Not all oil price shocks are alike: Disentangling demand and supply shocks in the crude oil market</x:v>
      </x:c>
      <x:c r="I200" s="25" t="str"/>
      <x:c r="J200" s="25" t="str"/>
      <x:c r="K200" s="25" t="str">
        <x:v>automatic_screen_pass</x:v>
      </x:c>
      <x:c r="L200" s="25" t="str">
        <x:v>accepted</x:v>
      </x:c>
      <x:c r="M200" s="25" t="str">
        <x:v>no</x:v>
      </x:c>
      <x:c r="N200" s="25" t="str">
        <x:v>saki_research/published_papers/begenau_bigio_majerovitz_vieyra_q_theory_banks.pdf</x:v>
      </x:c>
      <x:c r="O200" s="25" t="str">
        <x:v>Kilian, Lutz, “Not all oil price shocks are alike: Disentangling demand and supply shocks in the crude oil market,” American Economic Review, 2009, 99 (3), 1053–69.2</x:v>
      </x:c>
    </x:row>
    <x:row r="201" ht="48" customHeight="1">
      <x:c r="A201" s="24" t="str">
        <x:v>P10-R070</x:v>
      </x:c>
      <x:c r="B201" s="24" t="str">
        <x:v>P10</x:v>
      </x:c>
      <x:c r="C201" s="26" t="n">
        <x:v>70</x:v>
      </x:c>
      <x:c r="D201" s="26" t="n">
        <x:v>47</x:v>
      </x:c>
      <x:c r="E201" s="26" t="n">
        <x:v>47</x:v>
      </x:c>
      <x:c r="F201" s="26" t="str">
        <x:v>Kisin</x:v>
      </x:c>
      <x:c r="G201" s="26" t="n">
        <x:v>2016</x:v>
      </x:c>
      <x:c r="H201" s="25" t="str">
        <x:v>The shadow cost of bank capital requirements</x:v>
      </x:c>
      <x:c r="I201" s="25" t="str"/>
      <x:c r="J201" s="25" t="str"/>
      <x:c r="K201" s="25" t="str">
        <x:v>automatic_screen_pass</x:v>
      </x:c>
      <x:c r="L201" s="25" t="str">
        <x:v>accepted</x:v>
      </x:c>
      <x:c r="M201" s="25" t="str">
        <x:v>no</x:v>
      </x:c>
      <x:c r="N201" s="25" t="str">
        <x:v>saki_research/published_papers/begenau_bigio_majerovitz_vieyra_q_theory_banks.pdf</x:v>
      </x:c>
      <x:c r="O201" s="25" t="str">
        <x:v>Kisin, Roni and Asaf Manela, “The shadow cost of bank capital requirements,” The Review of Financial Studies, 2016, 29 (7), 1780–1820.A.2.1</x:v>
      </x:c>
    </x:row>
    <x:row r="202" ht="48" customHeight="1">
      <x:c r="A202" s="24" t="str">
        <x:v>P10-R071</x:v>
      </x:c>
      <x:c r="B202" s="24" t="str">
        <x:v>P10</x:v>
      </x:c>
      <x:c r="C202" s="26" t="n">
        <x:v>71</x:v>
      </x:c>
      <x:c r="D202" s="26" t="n">
        <x:v>47</x:v>
      </x:c>
      <x:c r="E202" s="26" t="n">
        <x:v>47</x:v>
      </x:c>
      <x:c r="F202" s="26" t="str">
        <x:v>Kiyotaki</x:v>
      </x:c>
      <x:c r="G202" s="26" t="n">
        <x:v>1997</x:v>
      </x:c>
      <x:c r="H202" s="25" t="str">
        <x:v>Credit Cycles</x:v>
      </x:c>
      <x:c r="I202" s="25" t="str"/>
      <x:c r="J202" s="25" t="str"/>
      <x:c r="K202" s="25" t="str">
        <x:v>automatic_screen_pass</x:v>
      </x:c>
      <x:c r="L202" s="25" t="str">
        <x:v>accepted</x:v>
      </x:c>
      <x:c r="M202" s="25" t="str">
        <x:v>no</x:v>
      </x:c>
      <x:c r="N202" s="25" t="str">
        <x:v>saki_research/published_papers/begenau_bigio_majerovitz_vieyra_q_theory_banks.pdf</x:v>
      </x:c>
      <x:c r="O202" s="25" t="str">
        <x:v>Kiyotaki, Nobuhiro and John Moore, “Credit Cycles,” Journal of Political Economy, 1997, 105 (2), 211–248.6</x:v>
      </x:c>
    </x:row>
    <x:row r="203" ht="48" customHeight="1">
      <x:c r="A203" s="24" t="str">
        <x:v>P10-R072</x:v>
      </x:c>
      <x:c r="B203" s="24" t="str">
        <x:v>P10</x:v>
      </x:c>
      <x:c r="C203" s="26" t="n">
        <x:v>72</x:v>
      </x:c>
      <x:c r="D203" s="26" t="n">
        <x:v>47</x:v>
      </x:c>
      <x:c r="E203" s="26" t="n">
        <x:v>47</x:v>
      </x:c>
      <x:c r="F203" s="26" t="str">
        <x:v>Kronmal</x:v>
      </x:c>
      <x:c r="G203" s="26" t="n">
        <x:v>1993</x:v>
      </x:c>
      <x:c r="H203" s="25" t="str">
        <x:v>Spurious Correlation and the Fallacy of the Ratio Standard Revisited</x:v>
      </x:c>
      <x:c r="I203" s="25" t="str"/>
      <x:c r="J203" s="25" t="str"/>
      <x:c r="K203" s="25" t="str">
        <x:v>automatic_screen_pass</x:v>
      </x:c>
      <x:c r="L203" s="25" t="str">
        <x:v>accepted</x:v>
      </x:c>
      <x:c r="M203" s="25" t="str">
        <x:v>no</x:v>
      </x:c>
      <x:c r="N203" s="25" t="str">
        <x:v>saki_research/published_papers/begenau_bigio_majerovitz_vieyra_q_theory_banks.pdf</x:v>
      </x:c>
      <x:c r="O203" s="25" t="str">
        <x:v>Kronmal, Richard A., “Spurious Correlation and the Fallacy of the Ratio Standard Revisited,” Journal of the Royal Statistical Society. Series A (Statistics in Society), 1993, 156 (3), 379–392. 18,56</x:v>
      </x:c>
    </x:row>
    <x:row r="204" ht="48" customHeight="1">
      <x:c r="A204" s="24" t="str">
        <x:v>P10-R073</x:v>
      </x:c>
      <x:c r="B204" s="24" t="str">
        <x:v>P10</x:v>
      </x:c>
      <x:c r="C204" s="26" t="n">
        <x:v>73</x:v>
      </x:c>
      <x:c r="D204" s="26" t="n">
        <x:v>47</x:v>
      </x:c>
      <x:c r="E204" s="26" t="n">
        <x:v>47</x:v>
      </x:c>
      <x:c r="F204" s="26" t="str">
        <x:v>Laux</x:v>
      </x:c>
      <x:c r="G204" s="26" t="n">
        <x:v>2010</x:v>
      </x:c>
      <x:c r="H204" s="25" t="str">
        <x:v>Did fair-value accounting contribute to the financial crisis?</x:v>
      </x:c>
      <x:c r="I204" s="25" t="str"/>
      <x:c r="J204" s="25" t="str"/>
      <x:c r="K204" s="25" t="str">
        <x:v>automatic_screen_pass</x:v>
      </x:c>
      <x:c r="L204" s="25" t="str">
        <x:v>accepted</x:v>
      </x:c>
      <x:c r="M204" s="25" t="str">
        <x:v>no</x:v>
      </x:c>
      <x:c r="N204" s="25" t="str">
        <x:v>saki_research/published_papers/begenau_bigio_majerovitz_vieyra_q_theory_banks.pdf</x:v>
      </x:c>
      <x:c r="O204" s="25" t="str">
        <x:v>Laux, Christian and Christian Leuz, “Did fair-value accounting contribute to the financial crisis?,” The Journal of Economic Perspectives, 2010, 24 (1), 93–118.5,13,A.2.2,52</x:v>
      </x:c>
    </x:row>
    <x:row r="205" ht="48" customHeight="1">
      <x:c r="A205" s="24" t="str">
        <x:v>P10-R074</x:v>
      </x:c>
      <x:c r="B205" s="24" t="str">
        <x:v>P10</x:v>
      </x:c>
      <x:c r="C205" s="26" t="n">
        <x:v>74</x:v>
      </x:c>
      <x:c r="D205" s="26" t="n">
        <x:v>47</x:v>
      </x:c>
      <x:c r="E205" s="26" t="n">
        <x:v>47</x:v>
      </x:c>
      <x:c r="F205" s="26" t="str">
        <x:v>Leland</x:v>
      </x:c>
      <x:c r="G205" s="26" t="n">
        <x:v>1996</x:v>
      </x:c>
      <x:c r="H205" s="25" t="str">
        <x:v>Optimal Capital Structure, Endogenous Bankruptcy, and the Term Structure of Credit Spreads</x:v>
      </x:c>
      <x:c r="I205" s="25" t="str"/>
      <x:c r="J205" s="25" t="str"/>
      <x:c r="K205" s="25" t="str">
        <x:v>prior_manual_sample</x:v>
      </x:c>
      <x:c r="L205" s="25" t="str">
        <x:v>accepted</x:v>
      </x:c>
      <x:c r="M205" s="25" t="str">
        <x:v>no</x:v>
      </x:c>
      <x:c r="N205" s="25" t="str">
        <x:v>saki_research/published_papers/begenau_bigio_majerovitz_vieyra_q_theory_banks.pdf</x:v>
      </x:c>
      <x:c r="O205" s="25" t="str">
        <x:v>Leland, Hayne E. and Klaus Bjerre Toft, “Optimal Capital Structure, Endogenous Bankruptcy, and the Term Structure of Credit Spreads,” The Journal of Finance, 1996, 51 (3), pp. 987–1019.3.1</x:v>
      </x:c>
    </x:row>
    <x:row r="206" ht="48" customHeight="1">
      <x:c r="A206" s="24" t="str">
        <x:v>P10-R075</x:v>
      </x:c>
      <x:c r="B206" s="24" t="str">
        <x:v>P10</x:v>
      </x:c>
      <x:c r="C206" s="26" t="n">
        <x:v>75</x:v>
      </x:c>
      <x:c r="D206" s="26" t="n">
        <x:v>47</x:v>
      </x:c>
      <x:c r="E206" s="26" t="n">
        <x:v>47</x:v>
      </x:c>
      <x:c r="F206" s="26" t="str">
        <x:v>Milbradt</x:v>
      </x:c>
      <x:c r="G206" s="26" t="n">
        <x:v>2012</x:v>
      </x:c>
      <x:c r="H206" s="25" t="str">
        <x:v>Level 3 Assets: Booking Profits and Concealing Losses</x:v>
      </x:c>
      <x:c r="I206" s="25" t="str"/>
      <x:c r="J206" s="25" t="str"/>
      <x:c r="K206" s="25" t="str">
        <x:v>automatic_screen_pass</x:v>
      </x:c>
      <x:c r="L206" s="25" t="str">
        <x:v>accepted</x:v>
      </x:c>
      <x:c r="M206" s="25" t="str">
        <x:v>no</x:v>
      </x:c>
      <x:c r="N206" s="25" t="str">
        <x:v>saki_research/published_papers/begenau_bigio_majerovitz_vieyra_q_theory_banks.pdf</x:v>
      </x:c>
      <x:c r="O206" s="25" t="str">
        <x:v>Milbradt, Konstantin, “Level 3 Assets: Booking Profits and Concealing Losses,” The Review of Financial Studies, 2012, 25 (1), 55–95.11</x:v>
      </x:c>
    </x:row>
    <x:row r="207" ht="48" customHeight="1">
      <x:c r="A207" s="24" t="str">
        <x:v>P10-R076</x:v>
      </x:c>
      <x:c r="B207" s="24" t="str">
        <x:v>P10</x:v>
      </x:c>
      <x:c r="C207" s="26" t="n">
        <x:v>76</x:v>
      </x:c>
      <x:c r="D207" s="26" t="n">
        <x:v>47</x:v>
      </x:c>
      <x:c r="E207" s="26" t="n">
        <x:v>47</x:v>
      </x:c>
      <x:c r="F207" s="26" t="str">
        <x:v>Nuño</x:v>
      </x:c>
      <x:c r="G207" s="26" t="n">
        <x:v>2017</x:v>
      </x:c>
      <x:c r="H207" s="25" t="str">
        <x:v>Bank Leverage Cycles</x:v>
      </x:c>
      <x:c r="I207" s="25" t="str"/>
      <x:c r="J207" s="25" t="str">
        <x:v>exhaustive_ai_audit_2026-09-17</x:v>
      </x:c>
      <x:c r="K207" s="25" t="str">
        <x:v>exhaustive_visual_correction</x:v>
      </x:c>
      <x:c r="L207" s="25" t="str">
        <x:v>corrected</x:v>
      </x:c>
      <x:c r="M207" s="25" t="str">
        <x:v>no</x:v>
      </x:c>
      <x:c r="N207" s="25" t="str">
        <x:v>saki_research/published_papers/begenau_bigio_majerovitz_vieyra_q_theory_banks.pdf</x:v>
      </x:c>
      <x:c r="O207" s="25" t="str">
        <x:v>Nu ̃no, Galo and Carlos Thomas, “Bank Leverage Cycles,” American Economic Journal: Macroeconomics, April 2017, 9 (2), 32–72.6</x:v>
      </x:c>
    </x:row>
    <x:row r="208" ht="48" customHeight="1">
      <x:c r="A208" s="24" t="str">
        <x:v>P10-R077</x:v>
      </x:c>
      <x:c r="B208" s="24" t="str">
        <x:v>P10</x:v>
      </x:c>
      <x:c r="C208" s="26" t="n">
        <x:v>77</x:v>
      </x:c>
      <x:c r="D208" s="26" t="n">
        <x:v>47</x:v>
      </x:c>
      <x:c r="E208" s="26" t="n">
        <x:v>47</x:v>
      </x:c>
      <x:c r="F208" s="26" t="str">
        <x:v>Peek</x:v>
      </x:c>
      <x:c r="G208" s="26" t="n">
        <x:v>2005</x:v>
      </x:c>
      <x:c r="H208" s="25" t="str">
        <x:v>Unnatural selection: Perverse incentives and the misallocation of credit in Japan</x:v>
      </x:c>
      <x:c r="I208" s="25" t="str"/>
      <x:c r="J208" s="25" t="str"/>
      <x:c r="K208" s="25" t="str">
        <x:v>automatic_screen_pass</x:v>
      </x:c>
      <x:c r="L208" s="25" t="str">
        <x:v>accepted</x:v>
      </x:c>
      <x:c r="M208" s="25" t="str">
        <x:v>no</x:v>
      </x:c>
      <x:c r="N208" s="25" t="str">
        <x:v>saki_research/published_papers/begenau_bigio_majerovitz_vieyra_q_theory_banks.pdf</x:v>
      </x:c>
      <x:c r="O208" s="25" t="str">
        <x:v>Peek, Joe and Eric S Rosengren, “Unnatural selection: Perverse incentives and the misallocation of credit in Japan,” American Economic Review, 2005, 95 (4), 1144–1166.11</x:v>
      </x:c>
    </x:row>
    <x:row r="209" ht="48" customHeight="1">
      <x:c r="A209" s="24" t="str">
        <x:v>P10-R078</x:v>
      </x:c>
      <x:c r="B209" s="24" t="str">
        <x:v>P10</x:v>
      </x:c>
      <x:c r="C209" s="26" t="n">
        <x:v>78</x:v>
      </x:c>
      <x:c r="D209" s="26" t="n">
        <x:v>47</x:v>
      </x:c>
      <x:c r="E209" s="26" t="n">
        <x:v>47</x:v>
      </x:c>
      <x:c r="F209" s="26" t="str">
        <x:v>Piazzesi</x:v>
      </x:c>
      <x:c r="G209" s="26" t="n">
        <x:v>2022</x:v>
      </x:c>
      <x:c r="H209" s="25" t="str">
        <x:v>Money and banking in a New Keynesian model</x:v>
      </x:c>
      <x:c r="I209" s="25" t="str"/>
      <x:c r="J209" s="25" t="str"/>
      <x:c r="K209" s="25" t="str">
        <x:v>automatic_screen_pass</x:v>
      </x:c>
      <x:c r="L209" s="25" t="str">
        <x:v>accepted</x:v>
      </x:c>
      <x:c r="M209" s="25" t="str">
        <x:v>no</x:v>
      </x:c>
      <x:c r="N209" s="25" t="str">
        <x:v>saki_research/published_papers/begenau_bigio_majerovitz_vieyra_q_theory_banks.pdf</x:v>
      </x:c>
      <x:c r="O209" s="25" t="str">
        <x:v>Piazzesi, Monika, Ciaran Rogers, and Martin Schneider, “Money and banking in a New Keynesian model,” Standford WP, 2022.6</x:v>
      </x:c>
    </x:row>
    <x:row r="210" ht="48" customHeight="1">
      <x:c r="A210" s="24" t="str">
        <x:v>P10-R079</x:v>
      </x:c>
      <x:c r="B210" s="24" t="str">
        <x:v>P10</x:v>
      </x:c>
      <x:c r="C210" s="26" t="n">
        <x:v>79</x:v>
      </x:c>
      <x:c r="D210" s="26" t="n">
        <x:v>47</x:v>
      </x:c>
      <x:c r="E210" s="26" t="n">
        <x:v>47</x:v>
      </x:c>
      <x:c r="F210" s="26" t="str">
        <x:v>Plantin</x:v>
      </x:c>
      <x:c r="G210" s="26" t="n">
        <x:v>2018</x:v>
      </x:c>
      <x:c r="H210" s="25" t="str">
        <x:v>Marking to market versus taking to market</x:v>
      </x:c>
      <x:c r="I210" s="25" t="str"/>
      <x:c r="J210" s="25" t="str"/>
      <x:c r="K210" s="25" t="str">
        <x:v>automatic_screen_pass</x:v>
      </x:c>
      <x:c r="L210" s="25" t="str">
        <x:v>accepted</x:v>
      </x:c>
      <x:c r="M210" s="25" t="str">
        <x:v>no</x:v>
      </x:c>
      <x:c r="N210" s="25" t="str">
        <x:v>saki_research/published_papers/begenau_bigio_majerovitz_vieyra_q_theory_banks.pdf</x:v>
      </x:c>
      <x:c r="O210" s="25" t="str">
        <x:v>Plantin, Guillaume and Jean Tirole, “Marking to market versus taking to market,” American Economic Review, August 2018, 108 (8), 2246–76.13</x:v>
      </x:c>
    </x:row>
    <x:row r="211" ht="48" customHeight="1">
      <x:c r="A211" s="24" t="str">
        <x:v>P10-R080</x:v>
      </x:c>
      <x:c r="B211" s="24" t="str">
        <x:v>P10</x:v>
      </x:c>
      <x:c r="C211" s="26" t="n">
        <x:v>80</x:v>
      </x:c>
      <x:c r="D211" s="26" t="n">
        <x:v>48</x:v>
      </x:c>
      <x:c r="E211" s="26" t="n">
        <x:v>48</x:v>
      </x:c>
      <x:c r="F211" s="26" t="str">
        <x:v>Plosser</x:v>
      </x:c>
      <x:c r="G211" s="26" t="n">
        <x:v>2018</x:v>
      </x:c>
      <x:c r="H211" s="25" t="str">
        <x:v>Banks’ incentives and inconsistent risk models</x:v>
      </x:c>
      <x:c r="I211" s="25" t="str"/>
      <x:c r="J211" s="25" t="str"/>
      <x:c r="K211" s="25" t="str">
        <x:v>automatic_screen_pass</x:v>
      </x:c>
      <x:c r="L211" s="25" t="str">
        <x:v>accepted</x:v>
      </x:c>
      <x:c r="M211" s="25" t="str">
        <x:v>no</x:v>
      </x:c>
      <x:c r="N211" s="25" t="str">
        <x:v>saki_research/published_papers/begenau_bigio_majerovitz_vieyra_q_theory_banks.pdf</x:v>
      </x:c>
      <x:c r="O211" s="25" t="str">
        <x:v>Plosser, Matthew and Joao Santos, “Banks’ incentives and inconsistent risk models,” The Review of Financial Studies, 2018, 31 (6), 2080–2112.11</x:v>
      </x:c>
    </x:row>
    <x:row r="212" ht="48" customHeight="1">
      <x:c r="A212" s="24" t="str">
        <x:v>P10-R081</x:v>
      </x:c>
      <x:c r="B212" s="24" t="str">
        <x:v>P10</x:v>
      </x:c>
      <x:c r="C212" s="26" t="n">
        <x:v>81</x:v>
      </x:c>
      <x:c r="D212" s="26" t="n">
        <x:v>48</x:v>
      </x:c>
      <x:c r="E212" s="26" t="n">
        <x:v>48</x:v>
      </x:c>
      <x:c r="F212" s="26" t="str">
        <x:v>Rios-Rull</x:v>
      </x:c>
      <x:c r="G212" s="26" t="n">
        <x:v>2023</x:v>
      </x:c>
      <x:c r="H212" s="25" t="str">
        <x:v>Banking Dynamics, Market Discipline and Capital</x:v>
      </x:c>
      <x:c r="I212" s="25" t="str"/>
      <x:c r="J212" s="25" t="str"/>
      <x:c r="K212" s="25" t="str">
        <x:v>automatic_screen_pass</x:v>
      </x:c>
      <x:c r="L212" s="25" t="str">
        <x:v>accepted</x:v>
      </x:c>
      <x:c r="M212" s="25" t="str">
        <x:v>no</x:v>
      </x:c>
      <x:c r="N212" s="25" t="str">
        <x:v>saki_research/published_papers/begenau_bigio_majerovitz_vieyra_q_theory_banks.pdf</x:v>
      </x:c>
      <x:c r="O212" s="25" t="str">
        <x:v>Rios-Rull, Jose Victor, Tamon Takamura, and Yaz Terajima, “Banking Dynamics, Market Discipline and Capital,” Feb 2023.1</x:v>
      </x:c>
    </x:row>
    <x:row r="213" ht="48" customHeight="1">
      <x:c r="A213" s="24" t="str">
        <x:v>P10-R082</x:v>
      </x:c>
      <x:c r="B213" s="24" t="str">
        <x:v>P10</x:v>
      </x:c>
      <x:c r="C213" s="26" t="n">
        <x:v>82</x:v>
      </x:c>
      <x:c r="D213" s="26" t="n">
        <x:v>48</x:v>
      </x:c>
      <x:c r="E213" s="26" t="n">
        <x:v>48</x:v>
      </x:c>
      <x:c r="F213" s="26" t="str">
        <x:v>Shleifer</x:v>
      </x:c>
      <x:c r="G213" s="26" t="n">
        <x:v>2011</x:v>
      </x:c>
      <x:c r="H213" s="25" t="str">
        <x:v>Fire Sales in Finance and Macroeconomics</x:v>
      </x:c>
      <x:c r="I213" s="25" t="str"/>
      <x:c r="J213" s="25" t="str"/>
      <x:c r="K213" s="25" t="str">
        <x:v>automatic_screen_pass</x:v>
      </x:c>
      <x:c r="L213" s="25" t="str">
        <x:v>accepted</x:v>
      </x:c>
      <x:c r="M213" s="25" t="str">
        <x:v>no</x:v>
      </x:c>
      <x:c r="N213" s="25" t="str">
        <x:v>saki_research/published_papers/begenau_bigio_majerovitz_vieyra_q_theory_banks.pdf</x:v>
      </x:c>
      <x:c r="O213" s="25" t="str">
        <x:v>Shleifer, Andrei and Robert Vishny, “Fire Sales in Finance and Macroeconomics,” The Journal of Economic Perspectives, 2011, 25 (1), pp. 29–48.13</x:v>
      </x:c>
    </x:row>
    <x:row r="214" ht="48" customHeight="1">
      <x:c r="A214" s="24" t="str">
        <x:v>P10-R083</x:v>
      </x:c>
      <x:c r="B214" s="24" t="str">
        <x:v>P10</x:v>
      </x:c>
      <x:c r="C214" s="26" t="n">
        <x:v>83</x:v>
      </x:c>
      <x:c r="D214" s="26" t="n">
        <x:v>48</x:v>
      </x:c>
      <x:c r="E214" s="26" t="n">
        <x:v>48</x:v>
      </x:c>
      <x:c r="F214" s="26" t="str">
        <x:v>Simon</x:v>
      </x:c>
      <x:c r="G214" s="26" t="n">
        <x:v>2021</x:v>
      </x:c>
      <x:c r="H214" s="25" t="str">
        <x:v>Capital requirements in a model of bank runs: The 2008 run on repo</x:v>
      </x:c>
      <x:c r="I214" s="25" t="str"/>
      <x:c r="J214" s="25" t="str"/>
      <x:c r="K214" s="25" t="str">
        <x:v>prior_manual_sample</x:v>
      </x:c>
      <x:c r="L214" s="25" t="str">
        <x:v>accepted</x:v>
      </x:c>
      <x:c r="M214" s="25" t="str">
        <x:v>no</x:v>
      </x:c>
      <x:c r="N214" s="25" t="str">
        <x:v>saki_research/published_papers/begenau_bigio_majerovitz_vieyra_q_theory_banks.pdf</x:v>
      </x:c>
      <x:c r="O214" s="25" t="str">
        <x:v>Simon, Luis, “Capital requirements in a model of bank runs: The 2008 run on repo,” Latin American Journal of Central Banking, 2021, 2 (3), 100038.46</x:v>
      </x:c>
    </x:row>
    <x:row r="215" ht="48" customHeight="1">
      <x:c r="A215" s="24" t="str">
        <x:v>P10-R084</x:v>
      </x:c>
      <x:c r="B215" s="24" t="str">
        <x:v>P10</x:v>
      </x:c>
      <x:c r="C215" s="26" t="n">
        <x:v>84</x:v>
      </x:c>
      <x:c r="D215" s="26" t="n">
        <x:v>48</x:v>
      </x:c>
      <x:c r="E215" s="26" t="n">
        <x:v>48</x:v>
      </x:c>
      <x:c r="F215" s="26" t="str">
        <x:v>Townsend</x:v>
      </x:c>
      <x:c r="G215" s="26" t="n">
        <x:v>1979</x:v>
      </x:c>
      <x:c r="H215" s="25" t="str">
        <x:v>Optimal Contracts and Competitive Markets with Costly State Verification</x:v>
      </x:c>
      <x:c r="I215" s="25" t="str"/>
      <x:c r="J215" s="25" t="str"/>
      <x:c r="K215" s="25" t="str">
        <x:v>prior_manual_sample</x:v>
      </x:c>
      <x:c r="L215" s="25" t="str">
        <x:v>accepted</x:v>
      </x:c>
      <x:c r="M215" s="25" t="str">
        <x:v>no</x:v>
      </x:c>
      <x:c r="N215" s="25" t="str">
        <x:v>saki_research/published_papers/begenau_bigio_majerovitz_vieyra_q_theory_banks.pdf</x:v>
      </x:c>
      <x:c r="O215" s="25" t="str">
        <x:v>Townsend, Robert, “Optimal Contracts and Competitive Markets with Costly State Verification,” Journal of Economic Theory, 1979, 22, 265–293.7,3.1,D.8</x:v>
      </x:c>
    </x:row>
    <x:row r="216" ht="48" customHeight="1">
      <x:c r="A216" s="24" t="str">
        <x:v>P10-R085</x:v>
      </x:c>
      <x:c r="B216" s="24" t="str">
        <x:v>P10</x:v>
      </x:c>
      <x:c r="C216" s="26" t="n">
        <x:v>85</x:v>
      </x:c>
      <x:c r="D216" s="26" t="n">
        <x:v>48</x:v>
      </x:c>
      <x:c r="E216" s="26" t="n">
        <x:v>48</x:v>
      </x:c>
      <x:c r="F216" s="26" t="str">
        <x:v>Vuolteenaho</x:v>
      </x:c>
      <x:c r="G216" s="26" t="n">
        <x:v>2002</x:v>
      </x:c>
      <x:c r="H216" s="25" t="str">
        <x:v>What drives firm-level stock returns?</x:v>
      </x:c>
      <x:c r="I216" s="25" t="str"/>
      <x:c r="J216" s="25" t="str"/>
      <x:c r="K216" s="25" t="str">
        <x:v>automatic_screen_pass</x:v>
      </x:c>
      <x:c r="L216" s="25" t="str">
        <x:v>accepted</x:v>
      </x:c>
      <x:c r="M216" s="25" t="str">
        <x:v>no</x:v>
      </x:c>
      <x:c r="N216" s="25" t="str">
        <x:v>saki_research/published_papers/begenau_bigio_majerovitz_vieyra_q_theory_banks.pdf</x:v>
      </x:c>
      <x:c r="O216" s="25" t="str">
        <x:v>Vuolteenaho, Tuomo, “What drives firm-level stock returns?,” The Journal of Finance, 2002, 57 (1), 233–264.2</x:v>
      </x:c>
    </x:row>
    <x:row r="217" ht="48" customHeight="1">
      <x:c r="A217" s="24" t="str">
        <x:v>P07-R001</x:v>
      </x:c>
      <x:c r="B217" s="24" t="str">
        <x:v>P07</x:v>
      </x:c>
      <x:c r="C217" s="26" t="n">
        <x:v>1</x:v>
      </x:c>
      <x:c r="D217" s="26" t="n">
        <x:v>45</x:v>
      </x:c>
      <x:c r="E217" s="26" t="n">
        <x:v>45</x:v>
      </x:c>
      <x:c r="F217" s="26" t="str">
        <x:v>Afonso</x:v>
      </x:c>
      <x:c r="G217" s="26" t="n">
        <x:v>2015</x:v>
      </x:c>
      <x:c r="H217" s="25" t="str">
        <x:v>Trade Dynamics in the Market for Federal Funds</x:v>
      </x:c>
      <x:c r="I217" s="25" t="str"/>
      <x:c r="J217" s="25" t="str"/>
      <x:c r="K217" s="25" t="str">
        <x:v>automatic_screen_pass</x:v>
      </x:c>
      <x:c r="L217" s="25" t="str">
        <x:v>accepted</x:v>
      </x:c>
      <x:c r="M217" s="25" t="str">
        <x:v>no</x:v>
      </x:c>
      <x:c r="N217" s="25" t="str">
        <x:v>saki_research/published_papers/bianchi_bigio_banks_liquidity_management_monetary_policy.pdf</x:v>
      </x:c>
      <x:c r="O217" s="25" t="str">
        <x:v>Afonso, G. and R. Lagos (2015): “Trade Dynamics in the Market for Federal Funds,” Econometrica, 83, 263–313.</x:v>
      </x:c>
    </x:row>
    <x:row r="218" ht="48" customHeight="1">
      <x:c r="A218" s="24" t="str">
        <x:v>P07-R002</x:v>
      </x:c>
      <x:c r="B218" s="24" t="str">
        <x:v>P07</x:v>
      </x:c>
      <x:c r="C218" s="26" t="n">
        <x:v>2</x:v>
      </x:c>
      <x:c r="D218" s="26" t="n">
        <x:v>45</x:v>
      </x:c>
      <x:c r="E218" s="26" t="n">
        <x:v>45</x:v>
      </x:c>
      <x:c r="F218" s="26" t="str">
        <x:v>Allen</x:v>
      </x:c>
      <x:c r="G218" s="26" t="n">
        <x:v>1998</x:v>
      </x:c>
      <x:c r="H218" s="25" t="str">
        <x:v>Optimal Financial Crises</x:v>
      </x:c>
      <x:c r="I218" s="25" t="str"/>
      <x:c r="J218" s="25" t="str"/>
      <x:c r="K218" s="25" t="str">
        <x:v>automatic_screen_pass</x:v>
      </x:c>
      <x:c r="L218" s="25" t="str">
        <x:v>accepted</x:v>
      </x:c>
      <x:c r="M218" s="25" t="str">
        <x:v>no</x:v>
      </x:c>
      <x:c r="N218" s="25" t="str">
        <x:v>saki_research/published_papers/bianchi_bigio_banks_liquidity_management_monetary_policy.pdf</x:v>
      </x:c>
      <x:c r="O218" s="25" t="str">
        <x:v>Allen, F. and D. Gale (1998): “Optimal Financial Crises,” Journal of Finance, 53, 1245– 1284.</x:v>
      </x:c>
    </x:row>
    <x:row r="219" ht="48" customHeight="1">
      <x:c r="A219" s="24" t="str">
        <x:v>P07-R003</x:v>
      </x:c>
      <x:c r="B219" s="24" t="str">
        <x:v>P07</x:v>
      </x:c>
      <x:c r="C219" s="26" t="n">
        <x:v>3</x:v>
      </x:c>
      <x:c r="D219" s="26" t="n">
        <x:v>45</x:v>
      </x:c>
      <x:c r="E219" s="26" t="n">
        <x:v>45</x:v>
      </x:c>
      <x:c r="F219" s="26" t="str">
        <x:v>Altavilla</x:v>
      </x:c>
      <x:c r="G219" s="26" t="n">
        <x:v>2019</x:v>
      </x:c>
      <x:c r="H219" s="25" t="str">
        <x:v>InterbankRateUncertainty and Bank Lending</x:v>
      </x:c>
      <x:c r="I219" s="25" t="str"/>
      <x:c r="J219" s="25" t="str"/>
      <x:c r="K219" s="25" t="str">
        <x:v>automatic_screen_pass</x:v>
      </x:c>
      <x:c r="L219" s="25" t="str">
        <x:v>accepted</x:v>
      </x:c>
      <x:c r="M219" s="25" t="str">
        <x:v>no</x:v>
      </x:c>
      <x:c r="N219" s="25" t="str">
        <x:v>saki_research/published_papers/bianchi_bigio_banks_liquidity_management_monetary_policy.pdf</x:v>
      </x:c>
      <x:c r="O219" s="25" t="str">
        <x:v>Altavilla,C.,G.Carboni,M.Lenza,andH.Uhlig(2019): “InterbankRateUncertainty and Bank Lending,” ECB Working Paper 2311.</x:v>
      </x:c>
    </x:row>
    <x:row r="220" ht="48" customHeight="1">
      <x:c r="A220" s="24" t="str">
        <x:v>P07-R004</x:v>
      </x:c>
      <x:c r="B220" s="24" t="str">
        <x:v>P07</x:v>
      </x:c>
      <x:c r="C220" s="26" t="n">
        <x:v>4</x:v>
      </x:c>
      <x:c r="D220" s="26" t="n">
        <x:v>45</x:v>
      </x:c>
      <x:c r="E220" s="26" t="n">
        <x:v>45</x:v>
      </x:c>
      <x:c r="F220" s="26" t="str">
        <x:v>Arce</x:v>
      </x:c>
      <x:c r="G220" s="26" t="n">
        <x:v>2019</x:v>
      </x:c>
      <x:c r="H220" s="25" t="str">
        <x:v>A Large Central Bank Balance Sheet? Floor vs Corridor Systems in a New Keynesian Environment</x:v>
      </x:c>
      <x:c r="I220" s="25" t="str"/>
      <x:c r="J220" s="25" t="str"/>
      <x:c r="K220" s="25" t="str">
        <x:v>automatic_screen_pass</x:v>
      </x:c>
      <x:c r="L220" s="25" t="str">
        <x:v>accepted</x:v>
      </x:c>
      <x:c r="M220" s="25" t="str">
        <x:v>no</x:v>
      </x:c>
      <x:c r="N220" s="25" t="str">
        <x:v>saki_research/published_papers/bianchi_bigio_banks_liquidity_management_monetary_policy.pdf</x:v>
      </x:c>
      <x:c r="O220" s="25" t="str">
        <x:v>Arce, ́O., G. Nu ̃no, D. Thaler, and C. Thomas (2019): “A Large Central Bank Balance Sheet? Floor vs Corridor Systems in a New Keynesian Environment,” Journal of Monetary Economics.</x:v>
      </x:c>
    </x:row>
    <x:row r="221" ht="48" customHeight="1">
      <x:c r="A221" s="24" t="str">
        <x:v>P07-R005</x:v>
      </x:c>
      <x:c r="B221" s="24" t="str">
        <x:v>P07</x:v>
      </x:c>
      <x:c r="C221" s="26" t="n">
        <x:v>5</x:v>
      </x:c>
      <x:c r="D221" s="26" t="n">
        <x:v>45</x:v>
      </x:c>
      <x:c r="E221" s="26" t="n">
        <x:v>45</x:v>
      </x:c>
      <x:c r="F221" s="26" t="str">
        <x:v>Armenter</x:v>
      </x:c>
      <x:c r="G221" s="26" t="n">
        <x:v>2017</x:v>
      </x:c>
      <x:c r="H221" s="25" t="str">
        <x:v>Excessreservesandmonetarypolicyimplementation</x:v>
      </x:c>
      <x:c r="I221" s="25" t="str"/>
      <x:c r="J221" s="25" t="str"/>
      <x:c r="K221" s="25" t="str">
        <x:v>automatic_screen_pass</x:v>
      </x:c>
      <x:c r="L221" s="25" t="str">
        <x:v>accepted</x:v>
      </x:c>
      <x:c r="M221" s="25" t="str">
        <x:v>no</x:v>
      </x:c>
      <x:c r="N221" s="25" t="str">
        <x:v>saki_research/published_papers/bianchi_bigio_banks_liquidity_management_monetary_policy.pdf</x:v>
      </x:c>
      <x:c r="O221" s="25" t="str">
        <x:v>Armenter,R.andB.Lester(2017): “Excessreservesandmonetarypolicyimplementation,” Review of Economic Dynamics, 23, 212–235.</x:v>
      </x:c>
    </x:row>
    <x:row r="222" ht="48" customHeight="1">
      <x:c r="A222" s="24" t="str">
        <x:v>P07-R006</x:v>
      </x:c>
      <x:c r="B222" s="24" t="str">
        <x:v>P07</x:v>
      </x:c>
      <x:c r="C222" s="26" t="n">
        <x:v>6</x:v>
      </x:c>
      <x:c r="D222" s="26" t="n">
        <x:v>45</x:v>
      </x:c>
      <x:c r="E222" s="26" t="n">
        <x:v>45</x:v>
      </x:c>
      <x:c r="F222" s="26" t="str">
        <x:v>Ashcraft</x:v>
      </x:c>
      <x:c r="G222" s="26" t="n">
        <x:v>2007</x:v>
      </x:c>
      <x:c r="H222" s="25" t="str">
        <x:v>Systemic Illiquidity in the Federal Funds Market</x:v>
      </x:c>
      <x:c r="I222" s="25" t="str"/>
      <x:c r="J222" s="25" t="str"/>
      <x:c r="K222" s="25" t="str">
        <x:v>automatic_screen_pass</x:v>
      </x:c>
      <x:c r="L222" s="25" t="str">
        <x:v>accepted</x:v>
      </x:c>
      <x:c r="M222" s="25" t="str">
        <x:v>no</x:v>
      </x:c>
      <x:c r="N222" s="25" t="str">
        <x:v>saki_research/published_papers/bianchi_bigio_banks_liquidity_management_monetary_policy.pdf</x:v>
      </x:c>
      <x:c r="O222" s="25" t="str">
        <x:v>Ashcraft, A. B. and D. Duffie (2007): “Systemic Illiquidity in the Federal Funds Market,” American Economic Review, 97, 221–225.</x:v>
      </x:c>
    </x:row>
    <x:row r="223" ht="48" customHeight="1">
      <x:c r="A223" s="24" t="str">
        <x:v>P07-R007</x:v>
      </x:c>
      <x:c r="B223" s="24" t="str">
        <x:v>P07</x:v>
      </x:c>
      <x:c r="C223" s="26" t="n">
        <x:v>7</x:v>
      </x:c>
      <x:c r="D223" s="26" t="n">
        <x:v>45</x:v>
      </x:c>
      <x:c r="E223" s="26" t="n">
        <x:v>45</x:v>
      </x:c>
      <x:c r="F223" s="26" t="str">
        <x:v>Atkeson</x:v>
      </x:c>
      <x:c r="G223" s="26" t="n">
        <x:v>2019</x:v>
      </x:c>
      <x:c r="H223" s="25" t="str">
        <x:v>Government guarantees and the valuation of american banks</x:v>
      </x:c>
      <x:c r="I223" s="25" t="str"/>
      <x:c r="J223" s="25" t="str"/>
      <x:c r="K223" s="25" t="str">
        <x:v>automatic_screen_pass</x:v>
      </x:c>
      <x:c r="L223" s="25" t="str">
        <x:v>accepted</x:v>
      </x:c>
      <x:c r="M223" s="25" t="str">
        <x:v>no</x:v>
      </x:c>
      <x:c r="N223" s="25" t="str">
        <x:v>saki_research/published_papers/bianchi_bigio_banks_liquidity_management_monetary_policy.pdf</x:v>
      </x:c>
      <x:c r="O223" s="25" t="str">
        <x:v>Atkeson, A. G., A. d’Avernas, A. L. Eisfeldt, and P.-O. Weill (2019): “Government guarantees and the valuation of american banks,” NBER Macroeconomics Annual, 33, 81–145.</x:v>
      </x:c>
    </x:row>
    <x:row r="224" ht="48" customHeight="1">
      <x:c r="A224" s="24" t="str">
        <x:v>P07-R008</x:v>
      </x:c>
      <x:c r="B224" s="24" t="str">
        <x:v>P07</x:v>
      </x:c>
      <x:c r="C224" s="26" t="n">
        <x:v>8</x:v>
      </x:c>
      <x:c r="D224" s="26" t="n">
        <x:v>45</x:v>
      </x:c>
      <x:c r="E224" s="26" t="n">
        <x:v>45</x:v>
      </x:c>
      <x:c r="F224" s="26" t="str">
        <x:v>Atkeson</x:v>
      </x:c>
      <x:c r="G224" s="26" t="n">
        <x:v>2015</x:v>
      </x:c>
      <x:c r="H224" s="25" t="str">
        <x:v>Entry and Exit in OTC Derivatives Markets</x:v>
      </x:c>
      <x:c r="I224" s="25" t="str"/>
      <x:c r="J224" s="25" t="str"/>
      <x:c r="K224" s="25" t="str">
        <x:v>automatic_screen_pass</x:v>
      </x:c>
      <x:c r="L224" s="25" t="str">
        <x:v>accepted</x:v>
      </x:c>
      <x:c r="M224" s="25" t="str">
        <x:v>no</x:v>
      </x:c>
      <x:c r="N224" s="25" t="str">
        <x:v>saki_research/published_papers/bianchi_bigio_banks_liquidity_management_monetary_policy.pdf</x:v>
      </x:c>
      <x:c r="O224" s="25" t="str">
        <x:v>Atkeson, A. G., A. L. Eisfeldt, and P.-O. Weill (2015): “Entry and Exit in OTC Derivatives Markets,” Econometrica, 83, 2231–2292.</x:v>
      </x:c>
    </x:row>
    <x:row r="225" ht="48" customHeight="1">
      <x:c r="A225" s="24" t="str">
        <x:v>P07-R009</x:v>
      </x:c>
      <x:c r="B225" s="24" t="str">
        <x:v>P07</x:v>
      </x:c>
      <x:c r="C225" s="26" t="n">
        <x:v>9</x:v>
      </x:c>
      <x:c r="D225" s="26" t="n">
        <x:v>45</x:v>
      </x:c>
      <x:c r="E225" s="26" t="n">
        <x:v>45</x:v>
      </x:c>
      <x:c r="F225" s="26" t="str">
        <x:v>Bansal</x:v>
      </x:c>
      <x:c r="G225" s="26" t="n">
        <x:v>2004</x:v>
      </x:c>
      <x:c r="H225" s="25" t="str">
        <x:v>Risks for the Long Run: A Potential Resolution of Asset Pricing Puzzles</x:v>
      </x:c>
      <x:c r="I225" s="25" t="str"/>
      <x:c r="J225" s="25" t="str"/>
      <x:c r="K225" s="25" t="str">
        <x:v>automatic_screen_pass</x:v>
      </x:c>
      <x:c r="L225" s="25" t="str">
        <x:v>accepted</x:v>
      </x:c>
      <x:c r="M225" s="25" t="str">
        <x:v>no</x:v>
      </x:c>
      <x:c r="N225" s="25" t="str">
        <x:v>saki_research/published_papers/bianchi_bigio_banks_liquidity_management_monetary_policy.pdf</x:v>
      </x:c>
      <x:c r="O225" s="25" t="str">
        <x:v>Bansal, R. and A. Yaron (2004): “Risks for the Long Run: A Potential Resolution of Asset Pricing Puzzles,” The Journal of Finance, 59, 1481–1509.</x:v>
      </x:c>
    </x:row>
    <x:row r="226" ht="48" customHeight="1">
      <x:c r="A226" s="24" t="str">
        <x:v>P07-R010</x:v>
      </x:c>
      <x:c r="B226" s="24" t="str">
        <x:v>P07</x:v>
      </x:c>
      <x:c r="C226" s="26" t="n">
        <x:v>10</x:v>
      </x:c>
      <x:c r="D226" s="26" t="n">
        <x:v>45</x:v>
      </x:c>
      <x:c r="E226" s="26" t="n">
        <x:v>45</x:v>
      </x:c>
      <x:c r="F226" s="26" t="str">
        <x:v>Bech</x:v>
      </x:c>
      <x:c r="G226" s="26" t="n">
        <x:v>2017</x:v>
      </x:c>
      <x:c r="H226" s="25" t="str">
        <x:v>LiquidityRegulationandtheImplementationofMonetary Policy</x:v>
      </x:c>
      <x:c r="I226" s="25" t="str"/>
      <x:c r="J226" s="25" t="str"/>
      <x:c r="K226" s="25" t="str">
        <x:v>automatic_screen_pass</x:v>
      </x:c>
      <x:c r="L226" s="25" t="str">
        <x:v>accepted</x:v>
      </x:c>
      <x:c r="M226" s="25" t="str">
        <x:v>no</x:v>
      </x:c>
      <x:c r="N226" s="25" t="str">
        <x:v>saki_research/published_papers/bianchi_bigio_banks_liquidity_management_monetary_policy.pdf</x:v>
      </x:c>
      <x:c r="O226" s="25" t="str">
        <x:v>Bech,M.andT.Keister(2017): “LiquidityRegulationandtheImplementationofMonetary Policy,” Journal of Monetary Economics, 92, 64–77.</x:v>
      </x:c>
    </x:row>
    <x:row r="227" ht="48" customHeight="1">
      <x:c r="A227" s="24" t="str">
        <x:v>P07-R011</x:v>
      </x:c>
      <x:c r="B227" s="24" t="str">
        <x:v>P07</x:v>
      </x:c>
      <x:c r="C227" s="26" t="n">
        <x:v>11</x:v>
      </x:c>
      <x:c r="D227" s="26" t="n">
        <x:v>45</x:v>
      </x:c>
      <x:c r="E227" s="26" t="n">
        <x:v>45</x:v>
      </x:c>
      <x:c r="F227" s="26" t="str">
        <x:v>Bernanke</x:v>
      </x:c>
      <x:c r="G227" s="26" t="n">
        <x:v>1989</x:v>
      </x:c>
      <x:c r="H227" s="25" t="str">
        <x:v>Agency Costs, Net Worth, and Business Fluctuations</x:v>
      </x:c>
      <x:c r="I227" s="25" t="str"/>
      <x:c r="J227" s="25" t="str"/>
      <x:c r="K227" s="25" t="str">
        <x:v>automatic_screen_pass</x:v>
      </x:c>
      <x:c r="L227" s="25" t="str">
        <x:v>accepted</x:v>
      </x:c>
      <x:c r="M227" s="25" t="str">
        <x:v>no</x:v>
      </x:c>
      <x:c r="N227" s="25" t="str">
        <x:v>saki_research/published_papers/bianchi_bigio_banks_liquidity_management_monetary_policy.pdf</x:v>
      </x:c>
      <x:c r="O227" s="25" t="str">
        <x:v>Bernanke, B. and M. Gertler (1989): “Agency Costs, Net Worth, and Business Fluctuations,” .</x:v>
      </x:c>
    </x:row>
    <x:row r="228" ht="48" customHeight="1">
      <x:c r="A228" s="24" t="str">
        <x:v>P07-R012</x:v>
      </x:c>
      <x:c r="B228" s="24" t="str">
        <x:v>P07</x:v>
      </x:c>
      <x:c r="C228" s="26" t="n">
        <x:v>12</x:v>
      </x:c>
      <x:c r="D228" s="26" t="n">
        <x:v>45</x:v>
      </x:c>
      <x:c r="E228" s="26" t="n">
        <x:v>45</x:v>
      </x:c>
      <x:c r="F228" s="26" t="str">
        <x:v>Bernanke</x:v>
      </x:c>
      <x:c r="G228" s="26" t="n">
        <x:v>1988</x:v>
      </x:c>
      <x:c r="H228" s="25" t="str">
        <x:v>Credit, Money, and Aggregate Demand</x:v>
      </x:c>
      <x:c r="I228" s="25" t="str"/>
      <x:c r="J228" s="25" t="str"/>
      <x:c r="K228" s="25" t="str">
        <x:v>automatic_screen_pass</x:v>
      </x:c>
      <x:c r="L228" s="25" t="str">
        <x:v>accepted</x:v>
      </x:c>
      <x:c r="M228" s="25" t="str">
        <x:v>no</x:v>
      </x:c>
      <x:c r="N228" s="25" t="str">
        <x:v>saki_research/published_papers/bianchi_bigio_banks_liquidity_management_monetary_policy.pdf</x:v>
      </x:c>
      <x:c r="O228" s="25" t="str">
        <x:v>Bernanke, B. S. and A. S. Blinder (1988): “Credit, Money, and Aggregate Demand,” American Economic Review, 78, 435–439.</x:v>
      </x:c>
    </x:row>
    <x:row r="229" ht="48" customHeight="1">
      <x:c r="A229" s="24" t="str">
        <x:v>P07-R013</x:v>
      </x:c>
      <x:c r="B229" s="24" t="str">
        <x:v>P07</x:v>
      </x:c>
      <x:c r="C229" s="26" t="n">
        <x:v>13</x:v>
      </x:c>
      <x:c r="D229" s="26" t="n">
        <x:v>45</x:v>
      </x:c>
      <x:c r="E229" s="26" t="n">
        <x:v>45</x:v>
      </x:c>
      <x:c r="F229" s="26" t="str">
        <x:v>Bianchi</x:v>
      </x:c>
      <x:c r="G229" s="26" t="n">
        <x:v>2017</x:v>
      </x:c>
      <x:c r="H229" s="25" t="str">
        <x:v>OTC Settlement Frictions and Portfolio Theory</x:v>
      </x:c>
      <x:c r="I229" s="25" t="str"/>
      <x:c r="J229" s="25" t="str"/>
      <x:c r="K229" s="25" t="str">
        <x:v>automatic_screen_pass</x:v>
      </x:c>
      <x:c r="L229" s="25" t="str">
        <x:v>accepted</x:v>
      </x:c>
      <x:c r="M229" s="25" t="str">
        <x:v>no</x:v>
      </x:c>
      <x:c r="N229" s="25" t="str">
        <x:v>saki_research/published_papers/bianchi_bigio_banks_liquidity_management_monetary_policy.pdf</x:v>
      </x:c>
      <x:c r="O229" s="25" t="str">
        <x:v>Bianchi, J. and S. Bigio (2017): “OTC Settlement Frictions and Portfolio Theory,” Mimeo, Federal Reserve Bank of Minneapolis.</x:v>
      </x:c>
    </x:row>
    <x:row r="230" ht="48" customHeight="1">
      <x:c r="A230" s="24" t="str">
        <x:v>P07-R014</x:v>
      </x:c>
      <x:c r="B230" s="24" t="str">
        <x:v>P07</x:v>
      </x:c>
      <x:c r="C230" s="26" t="n">
        <x:v>14</x:v>
      </x:c>
      <x:c r="D230" s="26" t="n">
        <x:v>45</x:v>
      </x:c>
      <x:c r="E230" s="26" t="n">
        <x:v>45</x:v>
      </x:c>
      <x:c r="F230" s="26" t="str">
        <x:v>Bianchi</x:v>
      </x:c>
      <x:c r="G230" s="26" t="n">
        <x:v>2020</x:v>
      </x:c>
      <x:c r="H230" s="25" t="str">
        <x:v>ScramblingforDollars: InternationalLiquidity, Banks and Exchange Rates</x:v>
      </x:c>
      <x:c r="I230" s="25" t="str"/>
      <x:c r="J230" s="25" t="str"/>
      <x:c r="K230" s="25" t="str">
        <x:v>automatic_screen_pass</x:v>
      </x:c>
      <x:c r="L230" s="25" t="str">
        <x:v>accepted</x:v>
      </x:c>
      <x:c r="M230" s="25" t="str">
        <x:v>no</x:v>
      </x:c>
      <x:c r="N230" s="25" t="str">
        <x:v>saki_research/published_papers/bianchi_bigio_banks_liquidity_management_monetary_policy.pdf</x:v>
      </x:c>
      <x:c r="O230" s="25" t="str">
        <x:v>Bianchi,J.,S.Bigio,andC.Engel(2020): “ScramblingforDollars: InternationalLiquidity, Banks and Exchange Rates,” Mimeo, Minneapolis Fed.</x:v>
      </x:c>
    </x:row>
    <x:row r="231" ht="48" customHeight="1">
      <x:c r="A231" s="24" t="str">
        <x:v>P07-R015</x:v>
      </x:c>
      <x:c r="B231" s="24" t="str">
        <x:v>P07</x:v>
      </x:c>
      <x:c r="C231" s="26" t="n">
        <x:v>15</x:v>
      </x:c>
      <x:c r="D231" s="26" t="n">
        <x:v>45</x:v>
      </x:c>
      <x:c r="E231" s="26" t="n">
        <x:v>45</x:v>
      </x:c>
      <x:c r="F231" s="26" t="str">
        <x:v>Bigio</x:v>
      </x:c>
      <x:c r="G231" s="26" t="n">
        <x:v>2019</x:v>
      </x:c>
      <x:c r="H231" s="25" t="str">
        <x:v>AModelofIntermediation,Money,Interest,andPrices</x:v>
      </x:c>
      <x:c r="I231" s="25" t="str"/>
      <x:c r="J231" s="25" t="str"/>
      <x:c r="K231" s="25" t="str">
        <x:v>automatic_screen_pass</x:v>
      </x:c>
      <x:c r="L231" s="25" t="str">
        <x:v>accepted</x:v>
      </x:c>
      <x:c r="M231" s="25" t="str">
        <x:v>no</x:v>
      </x:c>
      <x:c r="N231" s="25" t="str">
        <x:v>saki_research/published_papers/bianchi_bigio_banks_liquidity_management_monetary_policy.pdf</x:v>
      </x:c>
      <x:c r="O231" s="25" t="str">
        <x:v>Bigio,S.andY.Sannikov (2019): “AModelofIntermediation,Money,Interest,andPrices,” Unpublished Manuscript.</x:v>
      </x:c>
    </x:row>
    <x:row r="232" ht="48" customHeight="1">
      <x:c r="A232" s="24" t="str">
        <x:v>P07-R016</x:v>
      </x:c>
      <x:c r="B232" s="24" t="str">
        <x:v>P07</x:v>
      </x:c>
      <x:c r="C232" s="26" t="n">
        <x:v>16</x:v>
      </x:c>
      <x:c r="D232" s="26" t="n">
        <x:v>45</x:v>
      </x:c>
      <x:c r="E232" s="26" t="n">
        <x:v>45</x:v>
      </x:c>
      <x:c r="F232" s="26" t="str">
        <x:v>Bindseil</x:v>
      </x:c>
      <x:c r="G232" s="26" t="n">
        <x:v>2014</x:v>
      </x:c>
      <x:c r="H232" s="25" t="str">
        <x:v>Monetary Policy Operations and the Financial System</x:v>
      </x:c>
      <x:c r="I232" s="25" t="str"/>
      <x:c r="J232" s="25" t="str">
        <x:v>literal_citation_review_2026-09-16; third_sample_T-031_2026-09-17</x:v>
      </x:c>
      <x:c r="K232" s="25" t="str">
        <x:v>prior_manual_sample</x:v>
      </x:c>
      <x:c r="L232" s="25" t="str">
        <x:v>accepted</x:v>
      </x:c>
      <x:c r="M232" s="25" t="str">
        <x:v>no</x:v>
      </x:c>
      <x:c r="N232" s="25" t="str">
        <x:v>saki_research/published_papers/bianchi_bigio_banks_liquidity_management_monetary_policy.pdf</x:v>
      </x:c>
      <x:c r="O232" s="25" t="str">
        <x:v>Bindseil, U. (2014): Monetary Policy Operations and the Financial System, Oxford University Press, first ed.</x:v>
      </x:c>
    </x:row>
    <x:row r="233" ht="48" customHeight="1">
      <x:c r="A233" s="24" t="str">
        <x:v>P07-R017</x:v>
      </x:c>
      <x:c r="B233" s="24" t="str">
        <x:v>P07</x:v>
      </x:c>
      <x:c r="C233" s="26" t="n">
        <x:v>17</x:v>
      </x:c>
      <x:c r="D233" s="26" t="n">
        <x:v>46</x:v>
      </x:c>
      <x:c r="E233" s="26" t="n">
        <x:v>46</x:v>
      </x:c>
      <x:c r="F233" s="26" t="str">
        <x:v>Boyd</x:v>
      </x:c>
      <x:c r="G233" s="26" t="n">
        <x:v>1986</x:v>
      </x:c>
      <x:c r="H233" s="25" t="str">
        <x:v>Financial Intermediary-Coalitions</x:v>
      </x:c>
      <x:c r="I233" s="25" t="str"/>
      <x:c r="J233" s="25" t="str"/>
      <x:c r="K233" s="25" t="str">
        <x:v>automatic_screen_pass</x:v>
      </x:c>
      <x:c r="L233" s="25" t="str">
        <x:v>accepted</x:v>
      </x:c>
      <x:c r="M233" s="25" t="str">
        <x:v>no</x:v>
      </x:c>
      <x:c r="N233" s="25" t="str">
        <x:v>saki_research/published_papers/bianchi_bigio_banks_liquidity_management_monetary_policy.pdf</x:v>
      </x:c>
      <x:c r="O233" s="25" t="str">
        <x:v>Boyd, J. H. and E. C. Prescott (1986): “Financial Intermediary-Coalitions,” Journal of Economic Theory, 38, 211–232.</x:v>
      </x:c>
    </x:row>
    <x:row r="234" ht="48" customHeight="1">
      <x:c r="A234" s="24" t="str">
        <x:v>P07-R018</x:v>
      </x:c>
      <x:c r="B234" s="24" t="str">
        <x:v>P07</x:v>
      </x:c>
      <x:c r="C234" s="26" t="n">
        <x:v>18</x:v>
      </x:c>
      <x:c r="D234" s="26" t="n">
        <x:v>46</x:v>
      </x:c>
      <x:c r="E234" s="26" t="n">
        <x:v>46</x:v>
      </x:c>
      <x:c r="F234" s="26" t="str">
        <x:v>Brunnermeier</x:v>
      </x:c>
      <x:c r="G234" s="26" t="n">
        <x:v>2019</x:v>
      </x:c>
      <x:c r="H234" s="25" t="str">
        <x:v>The Reversal Interest Rate</x:v>
      </x:c>
      <x:c r="I234" s="25" t="str"/>
      <x:c r="J234" s="25" t="str"/>
      <x:c r="K234" s="25" t="str">
        <x:v>automatic_screen_pass</x:v>
      </x:c>
      <x:c r="L234" s="25" t="str">
        <x:v>accepted</x:v>
      </x:c>
      <x:c r="M234" s="25" t="str">
        <x:v>no</x:v>
      </x:c>
      <x:c r="N234" s="25" t="str">
        <x:v>saki_research/published_papers/bianchi_bigio_banks_liquidity_management_monetary_policy.pdf</x:v>
      </x:c>
      <x:c r="O234" s="25" t="str">
        <x:v>Brunnermeier, M. K. and Y. Koby (2019): “The Reversal Interest Rate,” Mimeo, Princeton.</x:v>
      </x:c>
    </x:row>
    <x:row r="235" ht="48" customHeight="1">
      <x:c r="A235" s="24" t="str">
        <x:v>P07-R019</x:v>
      </x:c>
      <x:c r="B235" s="24" t="str">
        <x:v>P07</x:v>
      </x:c>
      <x:c r="C235" s="26" t="n">
        <x:v>19</x:v>
      </x:c>
      <x:c r="D235" s="26" t="n">
        <x:v>46</x:v>
      </x:c>
      <x:c r="E235" s="26" t="n">
        <x:v>46</x:v>
      </x:c>
      <x:c r="F235" s="26" t="str">
        <x:v>Burdett</x:v>
      </x:c>
      <x:c r="G235" s="26" t="n">
        <x:v>2001</x:v>
      </x:c>
      <x:c r="H235" s="25" t="str">
        <x:v>PricingandMatchingwithFrictions</x:v>
      </x:c>
      <x:c r="I235" s="25" t="str"/>
      <x:c r="J235" s="25" t="str"/>
      <x:c r="K235" s="25" t="str">
        <x:v>automatic_screen_pass</x:v>
      </x:c>
      <x:c r="L235" s="25" t="str">
        <x:v>accepted</x:v>
      </x:c>
      <x:c r="M235" s="25" t="str">
        <x:v>no</x:v>
      </x:c>
      <x:c r="N235" s="25" t="str">
        <x:v>saki_research/published_papers/bianchi_bigio_banks_liquidity_management_monetary_policy.pdf</x:v>
      </x:c>
      <x:c r="O235" s="25" t="str">
        <x:v>Burdett,K.,S.Shi,andR.Wright(2001): “PricingandMatchingwithFrictions,” Journal of Political Economy, 109, 1060–1085.</x:v>
      </x:c>
    </x:row>
    <x:row r="236" ht="48" customHeight="1">
      <x:c r="A236" s="24" t="str">
        <x:v>P07-R020</x:v>
      </x:c>
      <x:c r="B236" s="24" t="str">
        <x:v>P07</x:v>
      </x:c>
      <x:c r="C236" s="26" t="n">
        <x:v>20</x:v>
      </x:c>
      <x:c r="D236" s="26" t="n">
        <x:v>46</x:v>
      </x:c>
      <x:c r="E236" s="26" t="n">
        <x:v>46</x:v>
      </x:c>
      <x:c r="F236" s="26" t="str">
        <x:v>Cavalcanti</x:v>
      </x:c>
      <x:c r="G236" s="26" t="n">
        <x:v>1999</x:v>
      </x:c>
      <x:c r="H236" s="25" t="str">
        <x:v>Private Money and Reserve Management in a Random Matching Model</x:v>
      </x:c>
      <x:c r="I236" s="25" t="str"/>
      <x:c r="J236" s="25" t="str"/>
      <x:c r="K236" s="25" t="str">
        <x:v>automatic_screen_pass</x:v>
      </x:c>
      <x:c r="L236" s="25" t="str">
        <x:v>accepted</x:v>
      </x:c>
      <x:c r="M236" s="25" t="str">
        <x:v>no</x:v>
      </x:c>
      <x:c r="N236" s="25" t="str">
        <x:v>saki_research/published_papers/bianchi_bigio_banks_liquidity_management_monetary_policy.pdf</x:v>
      </x:c>
      <x:c r="O236" s="25" t="str">
        <x:v>Cavalcanti, R., A. Erosa, and T. Temzelides (1999): “Private Money and Reserve Management in a Random Matching Model,” Journal of Political Economy, 107, 929–945.</x:v>
      </x:c>
    </x:row>
    <x:row r="237" ht="48" customHeight="1">
      <x:c r="A237" s="24" t="str">
        <x:v>P07-R021</x:v>
      </x:c>
      <x:c r="B237" s="24" t="str">
        <x:v>P07</x:v>
      </x:c>
      <x:c r="C237" s="26" t="n">
        <x:v>21</x:v>
      </x:c>
      <x:c r="D237" s="26" t="n">
        <x:v>46</x:v>
      </x:c>
      <x:c r="E237" s="26" t="n">
        <x:v>46</x:v>
      </x:c>
      <x:c r="F237" s="26" t="str">
        <x:v>Chari</x:v>
      </x:c>
      <x:c r="G237" s="26" t="n">
        <x:v>2007</x:v>
      </x:c>
      <x:c r="H237" s="25" t="str">
        <x:v>Business Cycle Accounting</x:v>
      </x:c>
      <x:c r="I237" s="25" t="str"/>
      <x:c r="J237" s="25" t="str"/>
      <x:c r="K237" s="25" t="str">
        <x:v>automatic_screen_pass</x:v>
      </x:c>
      <x:c r="L237" s="25" t="str">
        <x:v>accepted</x:v>
      </x:c>
      <x:c r="M237" s="25" t="str">
        <x:v>no</x:v>
      </x:c>
      <x:c r="N237" s="25" t="str">
        <x:v>saki_research/published_papers/bianchi_bigio_banks_liquidity_management_monetary_policy.pdf</x:v>
      </x:c>
      <x:c r="O237" s="25" t="str">
        <x:v>Chari, V. V., P. J. Kehoe, and E. R. McGrattan (2007): “Business Cycle Accounting,” Econometrica, 75, 781–836.</x:v>
      </x:c>
    </x:row>
    <x:row r="238" ht="48" customHeight="1">
      <x:c r="A238" s="24" t="str">
        <x:v>P07-R022</x:v>
      </x:c>
      <x:c r="B238" s="24" t="str">
        <x:v>P07</x:v>
      </x:c>
      <x:c r="C238" s="26" t="n">
        <x:v>22</x:v>
      </x:c>
      <x:c r="D238" s="26" t="n">
        <x:v>46</x:v>
      </x:c>
      <x:c r="E238" s="26" t="n">
        <x:v>46</x:v>
      </x:c>
      <x:c r="F238" s="26" t="str">
        <x:v>Chen</x:v>
      </x:c>
      <x:c r="G238" s="26" t="n">
        <x:v>2017</x:v>
      </x:c>
      <x:c r="H238" s="25" t="str">
        <x:v>The Nexus of Monetary Policy and Shadow Banking in China</x:v>
      </x:c>
      <x:c r="I238" s="25" t="str"/>
      <x:c r="J238" s="25" t="str"/>
      <x:c r="K238" s="25" t="str">
        <x:v>prior_manual_sample</x:v>
      </x:c>
      <x:c r="L238" s="25" t="str">
        <x:v>accepted</x:v>
      </x:c>
      <x:c r="M238" s="25" t="str">
        <x:v>no</x:v>
      </x:c>
      <x:c r="N238" s="25" t="str">
        <x:v>saki_research/published_papers/bianchi_bigio_banks_liquidity_management_monetary_policy.pdf</x:v>
      </x:c>
      <x:c r="O238" s="25" t="str">
        <x:v>Chen, K., J. Ren, and T. Zha (2017): “The Nexus of Monetary Policy and Shadow Banking in China,” NBER Working Paper 23377.</x:v>
      </x:c>
    </x:row>
    <x:row r="239" ht="48" customHeight="1">
      <x:c r="A239" s="24" t="str">
        <x:v>P07-R023</x:v>
      </x:c>
      <x:c r="B239" s="24" t="str">
        <x:v>P07</x:v>
      </x:c>
      <x:c r="C239" s="26" t="n">
        <x:v>23</x:v>
      </x:c>
      <x:c r="D239" s="26" t="n">
        <x:v>46</x:v>
      </x:c>
      <x:c r="E239" s="26" t="n">
        <x:v>46</x:v>
      </x:c>
      <x:c r="F239" s="26" t="str">
        <x:v>Cochrane</x:v>
      </x:c>
      <x:c r="G239" s="26" t="n">
        <x:v>2019</x:v>
      </x:c>
      <x:c r="H239" s="25" t="str">
        <x:v>The Fiscal Theory of the Price Level</x:v>
      </x:c>
      <x:c r="I239" s="25" t="str"/>
      <x:c r="J239" s="25" t="str"/>
      <x:c r="K239" s="25" t="str">
        <x:v>automatic_screen_pass</x:v>
      </x:c>
      <x:c r="L239" s="25" t="str">
        <x:v>accepted</x:v>
      </x:c>
      <x:c r="M239" s="25" t="str">
        <x:v>no</x:v>
      </x:c>
      <x:c r="N239" s="25" t="str">
        <x:v>saki_research/published_papers/bianchi_bigio_banks_liquidity_management_monetary_policy.pdf</x:v>
      </x:c>
      <x:c r="O239" s="25" t="str">
        <x:v>Cochrane, J. H. (2019): “The Fiscal Theory of the Price Level,” Preliminary Book Draft.</x:v>
      </x:c>
    </x:row>
    <x:row r="240" ht="48" customHeight="1">
      <x:c r="A240" s="24" t="str">
        <x:v>P07-R024</x:v>
      </x:c>
      <x:c r="B240" s="24" t="str">
        <x:v>P07</x:v>
      </x:c>
      <x:c r="C240" s="26" t="n">
        <x:v>24</x:v>
      </x:c>
      <x:c r="D240" s="26" t="n">
        <x:v>46</x:v>
      </x:c>
      <x:c r="E240" s="26" t="n">
        <x:v>46</x:v>
      </x:c>
      <x:c r="F240" s="26" t="str">
        <x:v>Corbae</x:v>
      </x:c>
      <x:c r="G240" s="26" t="n">
        <x:v>2013</x:v>
      </x:c>
      <x:c r="H240" s="25" t="str">
        <x:v>A Quantitative Model of Banking Industry Dynamics</x:v>
      </x:c>
      <x:c r="I240" s="25" t="str"/>
      <x:c r="J240" s="25" t="str"/>
      <x:c r="K240" s="25" t="str">
        <x:v>automatic_screen_pass</x:v>
      </x:c>
      <x:c r="L240" s="25" t="str">
        <x:v>accepted</x:v>
      </x:c>
      <x:c r="M240" s="25" t="str">
        <x:v>no</x:v>
      </x:c>
      <x:c r="N240" s="25" t="str">
        <x:v>saki_research/published_papers/bianchi_bigio_banks_liquidity_management_monetary_policy.pdf</x:v>
      </x:c>
      <x:c r="O240" s="25" t="str">
        <x:v>Corbae, D. and P. D’Erasmo (2013): “A Quantitative Model of Banking Industry Dynamics,” Federal Reserve Bank of Philadelphia Working Paper No 14-13.</x:v>
      </x:c>
    </x:row>
    <x:row r="241" ht="48" customHeight="1">
      <x:c r="A241" s="24" t="str">
        <x:v>P07-R025</x:v>
      </x:c>
      <x:c r="B241" s="24" t="str">
        <x:v>P07</x:v>
      </x:c>
      <x:c r="C241" s="26" t="n">
        <x:v>25</x:v>
      </x:c>
      <x:c r="D241" s="26" t="n">
        <x:v>46</x:v>
      </x:c>
      <x:c r="E241" s="26" t="n">
        <x:v>46</x:v>
      </x:c>
      <x:c r="F241" s="26" t="str">
        <x:v>Corbae</x:v>
      </x:c>
      <x:c r="G241" s="26" t="n">
        <x:v>2018</x:v>
      </x:c>
      <x:c r="H241" s="25" t="str">
        <x:v>Capital Requirements in a Quantitative Model of Banking Industry Dynamics</x:v>
      </x:c>
      <x:c r="I241" s="25" t="str">
        <x:v>inherited_author_notation</x:v>
      </x:c>
      <x:c r="J241" s="25" t="str"/>
      <x:c r="K241" s="25" t="str">
        <x:v>automatic_screen_pass</x:v>
      </x:c>
      <x:c r="L241" s="25" t="str">
        <x:v>accepted</x:v>
      </x:c>
      <x:c r="M241" s="25" t="str">
        <x:v>no</x:v>
      </x:c>
      <x:c r="N241" s="25" t="str">
        <x:v>saki_research/published_papers/bianchi_bigio_banks_liquidity_management_monetary_policy.pdf</x:v>
      </x:c>
      <x:c r="O241" s="25" t="str">
        <x:v>——— (2018): “Capital Requirements in a Quantitative Model of Banking Industry Dynamics,” Mimeo, Wisconsin.</x:v>
      </x:c>
    </x:row>
    <x:row r="242" ht="48" customHeight="1">
      <x:c r="A242" s="24" t="str">
        <x:v>P07-R026</x:v>
      </x:c>
      <x:c r="B242" s="24" t="str">
        <x:v>P07</x:v>
      </x:c>
      <x:c r="C242" s="26" t="n">
        <x:v>26</x:v>
      </x:c>
      <x:c r="D242" s="26" t="n">
        <x:v>46</x:v>
      </x:c>
      <x:c r="E242" s="26" t="n">
        <x:v>46</x:v>
      </x:c>
      <x:c r="F242" s="26" t="str">
        <x:v>Curdia</x:v>
      </x:c>
      <x:c r="G242" s="26" t="n">
        <x:v>2009</x:v>
      </x:c>
      <x:c r="H242" s="25" t="str">
        <x:v>ConventionalandUnconventionalMonetaryPolicy</x:v>
      </x:c>
      <x:c r="I242" s="25" t="str"/>
      <x:c r="J242" s="25" t="str"/>
      <x:c r="K242" s="25" t="str">
        <x:v>automatic_screen_pass</x:v>
      </x:c>
      <x:c r="L242" s="25" t="str">
        <x:v>accepted</x:v>
      </x:c>
      <x:c r="M242" s="25" t="str">
        <x:v>no</x:v>
      </x:c>
      <x:c r="N242" s="25" t="str">
        <x:v>saki_research/published_papers/bianchi_bigio_banks_liquidity_management_monetary_policy.pdf</x:v>
      </x:c>
      <x:c r="O242" s="25" t="str">
        <x:v>Curdia,V.andM.Woodford(2009): “ConventionalandUnconventionalMonetaryPolicy,” Staff Report 404, Federal Reserve Bank of New York.</x:v>
      </x:c>
    </x:row>
    <x:row r="243" ht="48" customHeight="1">
      <x:c r="A243" s="24" t="str">
        <x:v>P07-R027</x:v>
      </x:c>
      <x:c r="B243" s="24" t="str">
        <x:v>P07</x:v>
      </x:c>
      <x:c r="C243" s="26" t="n">
        <x:v>27</x:v>
      </x:c>
      <x:c r="D243" s="26" t="n">
        <x:v>46</x:v>
      </x:c>
      <x:c r="E243" s="26" t="n">
        <x:v>46</x:v>
      </x:c>
      <x:c r="F243" s="26" t="str">
        <x:v>De Fiore</x:v>
      </x:c>
      <x:c r="G243" s="26" t="n">
        <x:v>2018</x:v>
      </x:c>
      <x:c r="H243" s="25" t="str">
        <x:v>Money Markets, Collateral and Monetary Policy</x:v>
      </x:c>
      <x:c r="I243" s="25" t="str"/>
      <x:c r="J243" s="25" t="str"/>
      <x:c r="K243" s="25" t="str">
        <x:v>automatic_screen_pass</x:v>
      </x:c>
      <x:c r="L243" s="25" t="str">
        <x:v>accepted</x:v>
      </x:c>
      <x:c r="M243" s="25" t="str">
        <x:v>no</x:v>
      </x:c>
      <x:c r="N243" s="25" t="str">
        <x:v>saki_research/published_papers/bianchi_bigio_banks_liquidity_management_monetary_policy.pdf</x:v>
      </x:c>
      <x:c r="O243" s="25" t="str">
        <x:v>De Fiore, F., M. Hoerova, and H. Uhlig (2018): “Money Markets, Collateral and Monetary Policy,” NBER Working Paper 253190.</x:v>
      </x:c>
    </x:row>
    <x:row r="244" ht="48" customHeight="1">
      <x:c r="A244" s="24" t="str">
        <x:v>P07-R028</x:v>
      </x:c>
      <x:c r="B244" s="24" t="str">
        <x:v>P07</x:v>
      </x:c>
      <x:c r="C244" s="26" t="n">
        <x:v>28</x:v>
      </x:c>
      <x:c r="D244" s="26" t="n">
        <x:v>46</x:v>
      </x:c>
      <x:c r="E244" s="26" t="n">
        <x:v>46</x:v>
      </x:c>
      <x:c r="F244" s="26" t="str">
        <x:v>Del Negro</x:v>
      </x:c>
      <x:c r="G244" s="26" t="n">
        <x:v>2017</x:v>
      </x:c>
      <x:c r="H244" s="25" t="str">
        <x:v>The Great Escape? A Quantitative Evaluation of the Fed’s Liquidity Facilities</x:v>
      </x:c>
      <x:c r="I244" s="25" t="str"/>
      <x:c r="J244" s="25" t="str"/>
      <x:c r="K244" s="25" t="str">
        <x:v>prior_manual_sample</x:v>
      </x:c>
      <x:c r="L244" s="25" t="str">
        <x:v>accepted</x:v>
      </x:c>
      <x:c r="M244" s="25" t="str">
        <x:v>no</x:v>
      </x:c>
      <x:c r="N244" s="25" t="str">
        <x:v>saki_research/published_papers/bianchi_bigio_banks_liquidity_management_monetary_policy.pdf</x:v>
      </x:c>
      <x:c r="O244" s="25" t="str">
        <x:v>Del Negro, M., G. Eggertsson, A. Ferrero, and N. Kiyotaki (2017): “The Great Escape? A Quantitative Evaluation of the Fed’s Liquidity Facilities,” American Economic Review, 107, 824–857.</x:v>
      </x:c>
    </x:row>
    <x:row r="245" ht="48" customHeight="1">
      <x:c r="A245" s="24" t="str">
        <x:v>P07-R029</x:v>
      </x:c>
      <x:c r="B245" s="24" t="str">
        <x:v>P07</x:v>
      </x:c>
      <x:c r="C245" s="26" t="n">
        <x:v>29</x:v>
      </x:c>
      <x:c r="D245" s="26" t="n">
        <x:v>46</x:v>
      </x:c>
      <x:c r="E245" s="26" t="n">
        <x:v>46</x:v>
      </x:c>
      <x:c r="F245" s="26" t="str">
        <x:v>Diamond</x:v>
      </x:c>
      <x:c r="G245" s="26" t="n">
        <x:v>1984</x:v>
      </x:c>
      <x:c r="H245" s="25" t="str">
        <x:v>Financial Intermediation and Delegated Monitoring</x:v>
      </x:c>
      <x:c r="I245" s="25" t="str"/>
      <x:c r="J245" s="25" t="str"/>
      <x:c r="K245" s="25" t="str">
        <x:v>automatic_screen_pass</x:v>
      </x:c>
      <x:c r="L245" s="25" t="str">
        <x:v>accepted</x:v>
      </x:c>
      <x:c r="M245" s="25" t="str">
        <x:v>no</x:v>
      </x:c>
      <x:c r="N245" s="25" t="str">
        <x:v>saki_research/published_papers/bianchi_bigio_banks_liquidity_management_monetary_policy.pdf</x:v>
      </x:c>
      <x:c r="O245" s="25" t="str">
        <x:v>Diamond, D. W. (1984): “Financial Intermediation and Delegated Monitoring,” The Review of Economic Studies, 51, 393–414.</x:v>
      </x:c>
    </x:row>
    <x:row r="246" ht="48" customHeight="1">
      <x:c r="A246" s="24" t="str">
        <x:v>P07-R030</x:v>
      </x:c>
      <x:c r="B246" s="24" t="str">
        <x:v>P07</x:v>
      </x:c>
      <x:c r="C246" s="26" t="n">
        <x:v>30</x:v>
      </x:c>
      <x:c r="D246" s="26" t="n">
        <x:v>46</x:v>
      </x:c>
      <x:c r="E246" s="26" t="n">
        <x:v>46</x:v>
      </x:c>
      <x:c r="F246" s="26" t="str">
        <x:v>Diamond</x:v>
      </x:c>
      <x:c r="G246" s="26" t="n">
        <x:v>1983</x:v>
      </x:c>
      <x:c r="H246" s="25" t="str">
        <x:v>Bank Runs, Deposit Insurance, and Liquidity</x:v>
      </x:c>
      <x:c r="I246" s="25" t="str"/>
      <x:c r="J246" s="25" t="str"/>
      <x:c r="K246" s="25" t="str">
        <x:v>automatic_screen_pass</x:v>
      </x:c>
      <x:c r="L246" s="25" t="str">
        <x:v>accepted</x:v>
      </x:c>
      <x:c r="M246" s="25" t="str">
        <x:v>no</x:v>
      </x:c>
      <x:c r="N246" s="25" t="str">
        <x:v>saki_research/published_papers/bianchi_bigio_banks_liquidity_management_monetary_policy.pdf</x:v>
      </x:c>
      <x:c r="O246" s="25" t="str">
        <x:v>Diamond, D. W. and P. H. Dybvig (1983): “Bank Runs, Deposit Insurance, and Liquidity,” Journal of Political Economy, 91, 401–419.</x:v>
      </x:c>
    </x:row>
    <x:row r="247" ht="48" customHeight="1">
      <x:c r="A247" s="24" t="str">
        <x:v>P07-R031</x:v>
      </x:c>
      <x:c r="B247" s="24" t="str">
        <x:v>P07</x:v>
      </x:c>
      <x:c r="C247" s="26" t="n">
        <x:v>31</x:v>
      </x:c>
      <x:c r="D247" s="26" t="n">
        <x:v>46</x:v>
      </x:c>
      <x:c r="E247" s="26" t="n">
        <x:v>46</x:v>
      </x:c>
      <x:c r="F247" s="26" t="str">
        <x:v>Drechsler</x:v>
      </x:c>
      <x:c r="G247" s="26" t="n">
        <x:v>2017</x:v>
      </x:c>
      <x:c r="H247" s="25" t="str">
        <x:v>The Deposits Channel of Monetary Policy</x:v>
      </x:c>
      <x:c r="I247" s="25" t="str"/>
      <x:c r="J247" s="25" t="str"/>
      <x:c r="K247" s="25" t="str">
        <x:v>prior_manual_sample</x:v>
      </x:c>
      <x:c r="L247" s="25" t="str">
        <x:v>accepted</x:v>
      </x:c>
      <x:c r="M247" s="25" t="str">
        <x:v>sí</x:v>
      </x:c>
      <x:c r="N247" s="25" t="str">
        <x:v>saki_research/published_papers/bianchi_bigio_banks_liquidity_management_monetary_policy.pdf</x:v>
      </x:c>
      <x:c r="O247" s="25" t="str">
        <x:v>Drechsler, I., A. Savov, and P. Schnabl (2017): “The Deposits Channel of Monetary Policy,” The Quarterly Journal of Economics, 132, 1819–1876.</x:v>
      </x:c>
    </x:row>
    <x:row r="248" ht="48" customHeight="1">
      <x:c r="A248" s="24" t="str">
        <x:v>P07-R032</x:v>
      </x:c>
      <x:c r="B248" s="24" t="str">
        <x:v>P07</x:v>
      </x:c>
      <x:c r="C248" s="26" t="n">
        <x:v>32</x:v>
      </x:c>
      <x:c r="D248" s="26" t="n">
        <x:v>46</x:v>
      </x:c>
      <x:c r="E248" s="26" t="n">
        <x:v>46</x:v>
      </x:c>
      <x:c r="F248" s="26" t="str">
        <x:v>Eggertsson</x:v>
      </x:c>
      <x:c r="G248" s="26" t="n">
        <x:v>2019</x:v>
      </x:c>
      <x:c r="H248" s="25" t="str">
        <x:v>Negative Nominal Interest Rates and the Bank Lending Channel</x:v>
      </x:c>
      <x:c r="I248" s="25" t="str"/>
      <x:c r="J248" s="25" t="str"/>
      <x:c r="K248" s="25" t="str">
        <x:v>automatic_screen_pass</x:v>
      </x:c>
      <x:c r="L248" s="25" t="str">
        <x:v>accepted</x:v>
      </x:c>
      <x:c r="M248" s="25" t="str">
        <x:v>no</x:v>
      </x:c>
      <x:c r="N248" s="25" t="str">
        <x:v>saki_research/published_papers/bianchi_bigio_banks_liquidity_management_monetary_policy.pdf</x:v>
      </x:c>
      <x:c r="O248" s="25" t="str">
        <x:v>Eggertsson,G.B.,R.E.Juelsrud,L.H.Summers,andE.G.Wold(2019): “Negative Nominal Interest Rates and the Bank Lending Channel,” NBER Working Paper 254160.</x:v>
      </x:c>
    </x:row>
    <x:row r="249" ht="48" customHeight="1">
      <x:c r="A249" s="24" t="str">
        <x:v>P07-R033</x:v>
      </x:c>
      <x:c r="B249" s="24" t="str">
        <x:v>P07</x:v>
      </x:c>
      <x:c r="C249" s="26" t="n">
        <x:v>33</x:v>
      </x:c>
      <x:c r="D249" s="26" t="n">
        <x:v>46</x:v>
      </x:c>
      <x:c r="E249" s="26" t="n">
        <x:v>46</x:v>
      </x:c>
      <x:c r="F249" s="26" t="str">
        <x:v>Ennis</x:v>
      </x:c>
      <x:c r="G249" s="26" t="n">
        <x:v>2018</x:v>
      </x:c>
      <x:c r="H249" s="25" t="str">
        <x:v>A simple general equilibrium model of large excess reserves</x:v>
      </x:c>
      <x:c r="I249" s="25" t="str"/>
      <x:c r="J249" s="25" t="str"/>
      <x:c r="K249" s="25" t="str">
        <x:v>automatic_screen_pass</x:v>
      </x:c>
      <x:c r="L249" s="25" t="str">
        <x:v>accepted</x:v>
      </x:c>
      <x:c r="M249" s="25" t="str">
        <x:v>no</x:v>
      </x:c>
      <x:c r="N249" s="25" t="str">
        <x:v>saki_research/published_papers/bianchi_bigio_banks_liquidity_management_monetary_policy.pdf</x:v>
      </x:c>
      <x:c r="O249" s="25" t="str">
        <x:v>Ennis, H. M. (2018): “A simple general equilibrium model of large excess reserves,” Journal of Monetary Economics, 98, 50–65.</x:v>
      </x:c>
    </x:row>
    <x:row r="250" ht="48" customHeight="1">
      <x:c r="A250" s="24" t="str">
        <x:v>P07-R034</x:v>
      </x:c>
      <x:c r="B250" s="24" t="str">
        <x:v>P07</x:v>
      </x:c>
      <x:c r="C250" s="26" t="n">
        <x:v>34</x:v>
      </x:c>
      <x:c r="D250" s="26" t="n">
        <x:v>47</x:v>
      </x:c>
      <x:c r="E250" s="26" t="n">
        <x:v>47</x:v>
      </x:c>
      <x:c r="F250" s="26" t="str">
        <x:v>Ennis</x:v>
      </x:c>
      <x:c r="G250" s="26" t="n">
        <x:v>2008</x:v>
      </x:c>
      <x:c r="H250" s="25" t="str">
        <x:v>Understanding monetary policy implementation</x:v>
      </x:c>
      <x:c r="I250" s="25" t="str"/>
      <x:c r="J250" s="25" t="str"/>
      <x:c r="K250" s="25" t="str">
        <x:v>prior_manual_sample</x:v>
      </x:c>
      <x:c r="L250" s="25" t="str">
        <x:v>accepted</x:v>
      </x:c>
      <x:c r="M250" s="25" t="str">
        <x:v>no</x:v>
      </x:c>
      <x:c r="N250" s="25" t="str">
        <x:v>saki_research/published_papers/bianchi_bigio_banks_liquidity_management_monetary_policy.pdf</x:v>
      </x:c>
      <x:c r="O250" s="25" t="str">
        <x:v>Ennis, H. M. and T. Keister (2008): “Understanding monetary policy implementation,” Federal Reserve Bank of Richmond Economic Quarterly, 94, 235–263.</x:v>
      </x:c>
    </x:row>
    <x:row r="251" ht="48" customHeight="1">
      <x:c r="A251" s="24" t="str">
        <x:v>P07-R035</x:v>
      </x:c>
      <x:c r="B251" s="24" t="str">
        <x:v>P07</x:v>
      </x:c>
      <x:c r="C251" s="26" t="n">
        <x:v>35</x:v>
      </x:c>
      <x:c r="D251" s="26" t="n">
        <x:v>47</x:v>
      </x:c>
      <x:c r="E251" s="26" t="n">
        <x:v>47</x:v>
      </x:c>
      <x:c r="F251" s="26" t="str">
        <x:v>Ennis</x:v>
      </x:c>
      <x:c r="G251" s="26" t="n">
        <x:v>2007</x:v>
      </x:c>
      <x:c r="H251" s="25" t="str">
        <x:v>Interest on reserves and daylight credit</x:v>
      </x:c>
      <x:c r="I251" s="25" t="str"/>
      <x:c r="J251" s="25" t="str"/>
      <x:c r="K251" s="25" t="str">
        <x:v>automatic_screen_pass</x:v>
      </x:c>
      <x:c r="L251" s="25" t="str">
        <x:v>accepted</x:v>
      </x:c>
      <x:c r="M251" s="25" t="str">
        <x:v>no</x:v>
      </x:c>
      <x:c r="N251" s="25" t="str">
        <x:v>saki_research/published_papers/bianchi_bigio_banks_liquidity_management_monetary_policy.pdf</x:v>
      </x:c>
      <x:c r="O251" s="25" t="str">
        <x:v>Ennis, H. M. and J. A. Weinberg (2007): “Interest on reserves and daylight credit,” FRB Richmond Economic Quarterly, 93, 111–142.</x:v>
      </x:c>
    </x:row>
    <x:row r="252" ht="48" customHeight="1">
      <x:c r="A252" s="24" t="str">
        <x:v>P07-R036</x:v>
      </x:c>
      <x:c r="B252" s="24" t="str">
        <x:v>P07</x:v>
      </x:c>
      <x:c r="C252" s="26" t="n">
        <x:v>36</x:v>
      </x:c>
      <x:c r="D252" s="26" t="n">
        <x:v>47</x:v>
      </x:c>
      <x:c r="E252" s="26" t="n">
        <x:v>47</x:v>
      </x:c>
      <x:c r="F252" s="26" t="str">
        <x:v>Freeman</x:v>
      </x:c>
      <x:c r="G252" s="26" t="n">
        <x:v>1996</x:v>
      </x:c>
      <x:c r="H252" s="25" t="str">
        <x:v>The Payments System, Liquidity, and Rediscounting</x:v>
      </x:c>
      <x:c r="I252" s="25" t="str"/>
      <x:c r="J252" s="25" t="str"/>
      <x:c r="K252" s="25" t="str">
        <x:v>automatic_screen_pass</x:v>
      </x:c>
      <x:c r="L252" s="25" t="str">
        <x:v>accepted</x:v>
      </x:c>
      <x:c r="M252" s="25" t="str">
        <x:v>no</x:v>
      </x:c>
      <x:c r="N252" s="25" t="str">
        <x:v>saki_research/published_papers/bianchi_bigio_banks_liquidity_management_monetary_policy.pdf</x:v>
      </x:c>
      <x:c r="O252" s="25" t="str">
        <x:v>Freeman, S. (1996): “The Payments System, Liquidity, and Rediscounting,” The American Economic Review, 86, 1126–1138.</x:v>
      </x:c>
    </x:row>
    <x:row r="253" ht="48" customHeight="1">
      <x:c r="A253" s="24" t="str">
        <x:v>P07-R037</x:v>
      </x:c>
      <x:c r="B253" s="24" t="str">
        <x:v>P07</x:v>
      </x:c>
      <x:c r="C253" s="26" t="n">
        <x:v>37</x:v>
      </x:c>
      <x:c r="D253" s="26" t="n">
        <x:v>47</x:v>
      </x:c>
      <x:c r="E253" s="26" t="n">
        <x:v>47</x:v>
      </x:c>
      <x:c r="F253" s="26" t="str">
        <x:v>Friedman</x:v>
      </x:c>
      <x:c r="G253" s="26" t="n">
        <x:v>1993</x:v>
      </x:c>
      <x:c r="H253" s="25" t="str">
        <x:v>Why Does the Paper-Bill Spread Predict Real Economic Activity?</x:v>
      </x:c>
      <x:c r="I253" s="25" t="str"/>
      <x:c r="J253" s="25" t="str">
        <x:v>fragment_merge_2026-09-16</x:v>
      </x:c>
      <x:c r="K253" s="25" t="str">
        <x:v>automatic_screen_pass</x:v>
      </x:c>
      <x:c r="L253" s="25" t="str">
        <x:v>accepted</x:v>
      </x:c>
      <x:c r="M253" s="25" t="str">
        <x:v>no</x:v>
      </x:c>
      <x:c r="N253" s="25" t="str">
        <x:v>saki_research/published_papers/bianchi_bigio_banks_liquidity_management_monetary_policy.pdf</x:v>
      </x:c>
      <x:c r="O253" s="25" t="str">
        <x:v>Friedman, B. M. and K. N. Kuttner (1993): “Why Does the Paper-Bill Spread Predict Real Economic Activity?” in Business Cycles, Indicators and Forecasting, ed. by J. H. Stock and M. W. Watson, University of Chicago Press.</x:v>
      </x:c>
    </x:row>
    <x:row r="254" ht="48" customHeight="1">
      <x:c r="A254" s="24" t="str">
        <x:v>P07-R038</x:v>
      </x:c>
      <x:c r="B254" s="24" t="str">
        <x:v>P07</x:v>
      </x:c>
      <x:c r="C254" s="26" t="n">
        <x:v>38</x:v>
      </x:c>
      <x:c r="D254" s="26" t="n">
        <x:v>47</x:v>
      </x:c>
      <x:c r="E254" s="26" t="n">
        <x:v>47</x:v>
      </x:c>
      <x:c r="F254" s="26" t="str">
        <x:v>Friedman</x:v>
      </x:c>
      <x:c r="G254" s="26" t="n">
        <x:v>2008</x:v>
      </x:c>
      <x:c r="H254" s="25" t="str">
        <x:v>A Monetary History of the United States, 1867-1960</x:v>
      </x:c>
      <x:c r="I254" s="25" t="str"/>
      <x:c r="J254" s="25" t="str">
        <x:v>exhaustive_title_boundary_audit_2026-09-17</x:v>
      </x:c>
      <x:c r="K254" s="25" t="str">
        <x:v>exhaustive_visual_correction</x:v>
      </x:c>
      <x:c r="L254" s="25" t="str">
        <x:v>corrected</x:v>
      </x:c>
      <x:c r="M254" s="25" t="str">
        <x:v>sí</x:v>
      </x:c>
      <x:c r="N254" s="25" t="str">
        <x:v>saki_research/published_papers/bianchi_bigio_banks_liquidity_management_monetary_policy.pdf</x:v>
      </x:c>
      <x:c r="O254" s="25" t="str">
        <x:v>Friedman, M. and A. J. Schwartz (2008): A Monetary History of the United States, 1867- 1960, Princeton University Press.</x:v>
      </x:c>
    </x:row>
    <x:row r="255" ht="48" customHeight="1">
      <x:c r="A255" s="24" t="str">
        <x:v>P07-R039</x:v>
      </x:c>
      <x:c r="B255" s="24" t="str">
        <x:v>P07</x:v>
      </x:c>
      <x:c r="C255" s="26" t="n">
        <x:v>39</x:v>
      </x:c>
      <x:c r="D255" s="26" t="n">
        <x:v>47</x:v>
      </x:c>
      <x:c r="E255" s="26" t="n">
        <x:v>47</x:v>
      </x:c>
      <x:c r="F255" s="26" t="str">
        <x:v>Frost</x:v>
      </x:c>
      <x:c r="G255" s="26" t="n">
        <x:v>1971</x:v>
      </x:c>
      <x:c r="H255" s="25" t="str">
        <x:v>Banks’ Demand for Excess Reserves</x:v>
      </x:c>
      <x:c r="I255" s="25" t="str"/>
      <x:c r="J255" s="25" t="str"/>
      <x:c r="K255" s="25" t="str">
        <x:v>automatic_screen_pass</x:v>
      </x:c>
      <x:c r="L255" s="25" t="str">
        <x:v>accepted</x:v>
      </x:c>
      <x:c r="M255" s="25" t="str">
        <x:v>no</x:v>
      </x:c>
      <x:c r="N255" s="25" t="str">
        <x:v>saki_research/published_papers/bianchi_bigio_banks_liquidity_management_monetary_policy.pdf</x:v>
      </x:c>
      <x:c r="O255" s="25" t="str">
        <x:v>Frost, P. A. (1971): “Banks’ Demand for Excess Reserves,” Journal of Political Economy, 79, 805–825.</x:v>
      </x:c>
    </x:row>
    <x:row r="256" ht="48" customHeight="1">
      <x:c r="A256" s="24" t="str">
        <x:v>P07-R040</x:v>
      </x:c>
      <x:c r="B256" s="24" t="str">
        <x:v>P07</x:v>
      </x:c>
      <x:c r="C256" s="26" t="n">
        <x:v>40</x:v>
      </x:c>
      <x:c r="D256" s="26" t="n">
        <x:v>47</x:v>
      </x:c>
      <x:c r="E256" s="26" t="n">
        <x:v>47</x:v>
      </x:c>
      <x:c r="F256" s="26" t="str">
        <x:v>Galí</x:v>
      </x:c>
      <x:c r="G256" s="26" t="n">
        <x:v>2015</x:v>
      </x:c>
      <x:c r="H256" s="25" t="str">
        <x:v>Monetary Policy, Inflation, and the Business Cycle: An Introduction to the New Keynesian Framework and Its Applications</x:v>
      </x:c>
      <x:c r="I256" s="25" t="str"/>
      <x:c r="J256" s="25" t="str">
        <x:v>exhaustive_title_boundary_audit_2026-09-17</x:v>
      </x:c>
      <x:c r="K256" s="25" t="str">
        <x:v>exhaustive_visual_correction</x:v>
      </x:c>
      <x:c r="L256" s="25" t="str">
        <x:v>corrected</x:v>
      </x:c>
      <x:c r="M256" s="25" t="str">
        <x:v>no</x:v>
      </x:c>
      <x:c r="N256" s="25" t="str">
        <x:v>saki_research/published_papers/bianchi_bigio_banks_liquidity_management_monetary_policy.pdf</x:v>
      </x:c>
      <x:c r="O256" s="25" t="str">
        <x:v>Gal ́ı, J. (2015): Monetary Policy, Inflation, and the Business Cycle: An Introduction to the New Keynesian Framework and Its Applications, Princeton University Press.</x:v>
      </x:c>
    </x:row>
    <x:row r="257" ht="48" customHeight="1">
      <x:c r="A257" s="24" t="str">
        <x:v>P07-R041</x:v>
      </x:c>
      <x:c r="B257" s="24" t="str">
        <x:v>P07</x:v>
      </x:c>
      <x:c r="C257" s="26" t="n">
        <x:v>41</x:v>
      </x:c>
      <x:c r="D257" s="26" t="n">
        <x:v>47</x:v>
      </x:c>
      <x:c r="E257" s="26" t="n">
        <x:v>47</x:v>
      </x:c>
      <x:c r="F257" s="26" t="str">
        <x:v>Gertler</x:v>
      </x:c>
      <x:c r="G257" s="26" t="n">
        <x:v>2011</x:v>
      </x:c>
      <x:c r="H257" s="25" t="str">
        <x:v>A Model of Unconventional Monetary Policy</x:v>
      </x:c>
      <x:c r="I257" s="25" t="str"/>
      <x:c r="J257" s="25" t="str"/>
      <x:c r="K257" s="25" t="str">
        <x:v>prior_manual_sample</x:v>
      </x:c>
      <x:c r="L257" s="25" t="str">
        <x:v>accepted</x:v>
      </x:c>
      <x:c r="M257" s="25" t="str">
        <x:v>no</x:v>
      </x:c>
      <x:c r="N257" s="25" t="str">
        <x:v>saki_research/published_papers/bianchi_bigio_banks_liquidity_management_monetary_policy.pdf</x:v>
      </x:c>
      <x:c r="O257" s="25" t="str">
        <x:v>Gertler, M. and P. Karadi (2011): “A Model of Unconventional Monetary Policy,” Journal of Monetary Economics, 58, 17–34.</x:v>
      </x:c>
    </x:row>
    <x:row r="258" ht="48" customHeight="1">
      <x:c r="A258" s="24" t="str">
        <x:v>P07-R042</x:v>
      </x:c>
      <x:c r="B258" s="24" t="str">
        <x:v>P07</x:v>
      </x:c>
      <x:c r="C258" s="26" t="n">
        <x:v>42</x:v>
      </x:c>
      <x:c r="D258" s="26" t="n">
        <x:v>47</x:v>
      </x:c>
      <x:c r="E258" s="26" t="n">
        <x:v>47</x:v>
      </x:c>
      <x:c r="F258" s="26" t="str">
        <x:v>Gertler</x:v>
      </x:c>
      <x:c r="G258" s="26" t="n">
        <x:v>2010</x:v>
      </x:c>
      <x:c r="H258" s="25" t="str">
        <x:v>Financial Intermediation and Credit Policy in Business Cycle Analysis</x:v>
      </x:c>
      <x:c r="I258" s="25" t="str"/>
      <x:c r="J258" s="25" t="str"/>
      <x:c r="K258" s="25" t="str">
        <x:v>automatic_screen_pass</x:v>
      </x:c>
      <x:c r="L258" s="25" t="str">
        <x:v>accepted</x:v>
      </x:c>
      <x:c r="M258" s="25" t="str">
        <x:v>no</x:v>
      </x:c>
      <x:c r="N258" s="25" t="str">
        <x:v>saki_research/published_papers/bianchi_bigio_banks_liquidity_management_monetary_policy.pdf</x:v>
      </x:c>
      <x:c r="O258" s="25" t="str">
        <x:v>Gertler, M. and N. Kiyotaki (2010): “Financial Intermediation and Credit Policy in Business Cycle Analysis,” in Handbook of Monetary Economics, ed. by B. M. Friedman and M. Woodford, North-Holland, vol. 3, 547–599.</x:v>
      </x:c>
    </x:row>
    <x:row r="259" ht="48" customHeight="1">
      <x:c r="A259" s="24" t="str">
        <x:v>P07-R043</x:v>
      </x:c>
      <x:c r="B259" s="24" t="str">
        <x:v>P07</x:v>
      </x:c>
      <x:c r="C259" s="26" t="n">
        <x:v>43</x:v>
      </x:c>
      <x:c r="D259" s="26" t="n">
        <x:v>47</x:v>
      </x:c>
      <x:c r="E259" s="26" t="n">
        <x:v>47</x:v>
      </x:c>
      <x:c r="F259" s="26" t="str">
        <x:v>Gertler</x:v>
      </x:c>
      <x:c r="G259" s="26" t="n">
        <x:v>2016</x:v>
      </x:c>
      <x:c r="H259" s="25" t="str">
        <x:v>Wholesale Banking and Bank Runs in Macroeconomic Modeling of Financial Crises</x:v>
      </x:c>
      <x:c r="I259" s="25" t="str"/>
      <x:c r="J259" s="25" t="str"/>
      <x:c r="K259" s="25" t="str">
        <x:v>automatic_screen_pass</x:v>
      </x:c>
      <x:c r="L259" s="25" t="str">
        <x:v>accepted</x:v>
      </x:c>
      <x:c r="M259" s="25" t="str">
        <x:v>no</x:v>
      </x:c>
      <x:c r="N259" s="25" t="str">
        <x:v>saki_research/published_papers/bianchi_bigio_banks_liquidity_management_monetary_policy.pdf</x:v>
      </x:c>
      <x:c r="O259" s="25" t="str">
        <x:v>Gertler, M., N. Kiyotaki, and A. Prestipino (2016): “Wholesale Banking and Bank Runs in Macroeconomic Modeling of Financial Crises,” in Handbook of Macroeconomics, ed. by J. B. Taylor and H. Uhlig, Elsevier, vol. 2, 1345–1425.</x:v>
      </x:c>
    </x:row>
    <x:row r="260" ht="48" customHeight="1">
      <x:c r="A260" s="24" t="str">
        <x:v>P07-R044</x:v>
      </x:c>
      <x:c r="B260" s="24" t="str">
        <x:v>P07</x:v>
      </x:c>
      <x:c r="C260" s="26" t="n">
        <x:v>44</x:v>
      </x:c>
      <x:c r="D260" s="26" t="n">
        <x:v>47</x:v>
      </x:c>
      <x:c r="E260" s="26" t="n">
        <x:v>47</x:v>
      </x:c>
      <x:c r="F260" s="26" t="str">
        <x:v>Gilchrist</x:v>
      </x:c>
      <x:c r="G260" s="26" t="n">
        <x:v>2009</x:v>
      </x:c>
      <x:c r="H260" s="25" t="str">
        <x:v>CreditMarketShocksandEconomic Fluctuations: Evidence from Corporate Bond and Stock Markets</x:v>
      </x:c>
      <x:c r="I260" s="25" t="str"/>
      <x:c r="J260" s="25" t="str"/>
      <x:c r="K260" s="25" t="str">
        <x:v>prior_manual_sample</x:v>
      </x:c>
      <x:c r="L260" s="25" t="str">
        <x:v>accepted</x:v>
      </x:c>
      <x:c r="M260" s="25" t="str">
        <x:v>no</x:v>
      </x:c>
      <x:c r="N260" s="25" t="str">
        <x:v>saki_research/published_papers/bianchi_bigio_banks_liquidity_management_monetary_policy.pdf</x:v>
      </x:c>
      <x:c r="O260" s="25" t="str">
        <x:v>Gilchrist,S.,V.Yankov,andE.Zakrajsek(2009): “CreditMarketShocksandEconomic Fluctuations: Evidence from Corporate Bond and Stock Markets,” Journal of Monetary Economics, 56, 471 – 493.</x:v>
      </x:c>
    </x:row>
    <x:row r="261" ht="48" customHeight="1">
      <x:c r="A261" s="24" t="str">
        <x:v>P07-R045</x:v>
      </x:c>
      <x:c r="B261" s="24" t="str">
        <x:v>P07</x:v>
      </x:c>
      <x:c r="C261" s="26" t="n">
        <x:v>45</x:v>
      </x:c>
      <x:c r="D261" s="26" t="n">
        <x:v>47</x:v>
      </x:c>
      <x:c r="E261" s="26" t="n">
        <x:v>47</x:v>
      </x:c>
      <x:c r="F261" s="26" t="str">
        <x:v>Gilchrist</x:v>
      </x:c>
      <x:c r="G261" s="26" t="n">
        <x:v>2012</x:v>
      </x:c>
      <x:c r="H261" s="25" t="str">
        <x:v>Credit Spreads and Business Cycle Fluctuations</x:v>
      </x:c>
      <x:c r="I261" s="25" t="str"/>
      <x:c r="J261" s="25" t="str"/>
      <x:c r="K261" s="25" t="str">
        <x:v>automatic_screen_pass</x:v>
      </x:c>
      <x:c r="L261" s="25" t="str">
        <x:v>accepted</x:v>
      </x:c>
      <x:c r="M261" s="25" t="str">
        <x:v>no</x:v>
      </x:c>
      <x:c r="N261" s="25" t="str">
        <x:v>saki_research/published_papers/bianchi_bigio_banks_liquidity_management_monetary_policy.pdf</x:v>
      </x:c>
      <x:c r="O261" s="25" t="str">
        <x:v>Gilchrist, S. and E. Zakrajˇsek (2012): “Credit Spreads and Business Cycle Fluctuations,” American Economic Review, 102, 1692–1720.</x:v>
      </x:c>
    </x:row>
    <x:row r="262" ht="48" customHeight="1">
      <x:c r="A262" s="24" t="str">
        <x:v>P07-R046</x:v>
      </x:c>
      <x:c r="B262" s="24" t="str">
        <x:v>P07</x:v>
      </x:c>
      <x:c r="C262" s="26" t="n">
        <x:v>46</x:v>
      </x:c>
      <x:c r="D262" s="26" t="n">
        <x:v>47</x:v>
      </x:c>
      <x:c r="E262" s="26" t="n">
        <x:v>47</x:v>
      </x:c>
      <x:c r="F262" s="26" t="str">
        <x:v>Gu</x:v>
      </x:c>
      <x:c r="G262" s="26" t="n">
        <x:v>2013</x:v>
      </x:c>
      <x:c r="H262" s="25" t="str">
        <x:v>Banking: A New Monetarist Approach</x:v>
      </x:c>
      <x:c r="I262" s="25" t="str"/>
      <x:c r="J262" s="25" t="str"/>
      <x:c r="K262" s="25" t="str">
        <x:v>automatic_screen_pass</x:v>
      </x:c>
      <x:c r="L262" s="25" t="str">
        <x:v>accepted</x:v>
      </x:c>
      <x:c r="M262" s="25" t="str">
        <x:v>no</x:v>
      </x:c>
      <x:c r="N262" s="25" t="str">
        <x:v>saki_research/published_papers/bianchi_bigio_banks_liquidity_management_monetary_policy.pdf</x:v>
      </x:c>
      <x:c r="O262" s="25" t="str">
        <x:v>Gu, C., F. Mattesini, C. Monnet, and R. Wright (2013): “Banking: A New Monetarist Approach,” The Review of Economic Studies, 80, 636–662.</x:v>
      </x:c>
    </x:row>
    <x:row r="263" ht="48" customHeight="1">
      <x:c r="A263" s="24" t="str">
        <x:v>P07-R047</x:v>
      </x:c>
      <x:c r="B263" s="24" t="str">
        <x:v>P07</x:v>
      </x:c>
      <x:c r="C263" s="26" t="n">
        <x:v>47</x:v>
      </x:c>
      <x:c r="D263" s="26" t="n">
        <x:v>47</x:v>
      </x:c>
      <x:c r="E263" s="26" t="n">
        <x:v>47</x:v>
      </x:c>
      <x:c r="F263" s="26" t="str">
        <x:v>Hamilton</x:v>
      </x:c>
      <x:c r="G263" s="26" t="n">
        <x:v>1996</x:v>
      </x:c>
      <x:c r="H263" s="25" t="str">
        <x:v>The Daily Market for Federal Funds</x:v>
      </x:c>
      <x:c r="I263" s="25" t="str"/>
      <x:c r="J263" s="25" t="str"/>
      <x:c r="K263" s="25" t="str">
        <x:v>automatic_screen_pass</x:v>
      </x:c>
      <x:c r="L263" s="25" t="str">
        <x:v>accepted</x:v>
      </x:c>
      <x:c r="M263" s="25" t="str">
        <x:v>no</x:v>
      </x:c>
      <x:c r="N263" s="25" t="str">
        <x:v>saki_research/published_papers/bianchi_bigio_banks_liquidity_management_monetary_policy.pdf</x:v>
      </x:c>
      <x:c r="O263" s="25" t="str">
        <x:v>Hamilton, J. D. (1996): “The Daily Market for Federal Funds,” Journal of Political Economy, 104, 26–56.</x:v>
      </x:c>
    </x:row>
    <x:row r="264" ht="48" customHeight="1">
      <x:c r="A264" s="24" t="str">
        <x:v>P07-R048</x:v>
      </x:c>
      <x:c r="B264" s="24" t="str">
        <x:v>P07</x:v>
      </x:c>
      <x:c r="C264" s="26" t="n">
        <x:v>48</x:v>
      </x:c>
      <x:c r="D264" s="26" t="n">
        <x:v>47</x:v>
      </x:c>
      <x:c r="E264" s="26" t="n">
        <x:v>47</x:v>
      </x:c>
      <x:c r="F264" s="26" t="str">
        <x:v>Hoerova</x:v>
      </x:c>
      <x:c r="G264" s="26" t="n">
        <x:v>2016</x:v>
      </x:c>
      <x:c r="H264" s="25" t="str">
        <x:v>MoneyMarketDisciplineandCentralBankLending</x:v>
      </x:c>
      <x:c r="I264" s="25" t="str"/>
      <x:c r="J264" s="25" t="str"/>
      <x:c r="K264" s="25" t="str">
        <x:v>automatic_screen_pass</x:v>
      </x:c>
      <x:c r="L264" s="25" t="str">
        <x:v>accepted</x:v>
      </x:c>
      <x:c r="M264" s="25" t="str">
        <x:v>no</x:v>
      </x:c>
      <x:c r="N264" s="25" t="str">
        <x:v>saki_research/published_papers/bianchi_bigio_banks_liquidity_management_monetary_policy.pdf</x:v>
      </x:c>
      <x:c r="O264" s="25" t="str">
        <x:v>Hoerova,M.andC.Monnet(2016): “MoneyMarketDisciplineandCentralBankLending,” Mimeo, ECB.</x:v>
      </x:c>
    </x:row>
    <x:row r="265" ht="48" customHeight="1">
      <x:c r="A265" s="24" t="str">
        <x:v>P07-R049</x:v>
      </x:c>
      <x:c r="B265" s="24" t="str">
        <x:v>P07</x:v>
      </x:c>
      <x:c r="C265" s="26" t="n">
        <x:v>49</x:v>
      </x:c>
      <x:c r="D265" s="26" t="n">
        <x:v>47</x:v>
      </x:c>
      <x:c r="E265" s="26" t="n">
        <x:v>47</x:v>
      </x:c>
      <x:c r="F265" s="26" t="str">
        <x:v>Holmstrom</x:v>
      </x:c>
      <x:c r="G265" s="26" t="n">
        <x:v>1998</x:v>
      </x:c>
      <x:c r="H265" s="25" t="str">
        <x:v>Private and Public Supply of Liquidity</x:v>
      </x:c>
      <x:c r="I265" s="25" t="str"/>
      <x:c r="J265" s="25" t="str"/>
      <x:c r="K265" s="25" t="str">
        <x:v>automatic_screen_pass</x:v>
      </x:c>
      <x:c r="L265" s="25" t="str">
        <x:v>accepted</x:v>
      </x:c>
      <x:c r="M265" s="25" t="str">
        <x:v>no</x:v>
      </x:c>
      <x:c r="N265" s="25" t="str">
        <x:v>saki_research/published_papers/bianchi_bigio_banks_liquidity_management_monetary_policy.pdf</x:v>
      </x:c>
      <x:c r="O265" s="25" t="str">
        <x:v>Holmstrom, B. and J. Tirole (1998): “Private and Public Supply of Liquidity,” Journal of Political Economy, 106, 1–40.</x:v>
      </x:c>
    </x:row>
    <x:row r="266" ht="48" customHeight="1">
      <x:c r="A266" s="24" t="str">
        <x:v>P07-R050</x:v>
      </x:c>
      <x:c r="B266" s="24" t="str">
        <x:v>P07</x:v>
      </x:c>
      <x:c r="C266" s="26" t="n">
        <x:v>50</x:v>
      </x:c>
      <x:c r="D266" s="26" t="n">
        <x:v>48</x:v>
      </x:c>
      <x:c r="E266" s="26" t="n">
        <x:v>48</x:v>
      </x:c>
      <x:c r="F266" s="26" t="str">
        <x:v>Kashyap</x:v>
      </x:c>
      <x:c r="G266" s="26" t="n">
        <x:v>2000</x:v>
      </x:c>
      <x:c r="H266" s="25" t="str">
        <x:v>What Do a Million Observations on Banks Say about the Transmission of Monetary Policy?</x:v>
      </x:c>
      <x:c r="I266" s="25" t="str"/>
      <x:c r="J266" s="25" t="str"/>
      <x:c r="K266" s="25" t="str">
        <x:v>automatic_screen_pass</x:v>
      </x:c>
      <x:c r="L266" s="25" t="str">
        <x:v>accepted</x:v>
      </x:c>
      <x:c r="M266" s="25" t="str">
        <x:v>no</x:v>
      </x:c>
      <x:c r="N266" s="25" t="str">
        <x:v>saki_research/published_papers/bianchi_bigio_banks_liquidity_management_monetary_policy.pdf</x:v>
      </x:c>
      <x:c r="O266" s="25" t="str">
        <x:v>Kashyap, A. K. and J. C. Stein (2000): “What Do a Million Observations on Banks Say about the Transmission of Monetary Policy?” American Economic Review, 90, 407–428.</x:v>
      </x:c>
    </x:row>
    <x:row r="267" ht="48" customHeight="1">
      <x:c r="A267" s="24" t="str">
        <x:v>P07-R051</x:v>
      </x:c>
      <x:c r="B267" s="24" t="str">
        <x:v>P07</x:v>
      </x:c>
      <x:c r="C267" s="26" t="n">
        <x:v>51</x:v>
      </x:c>
      <x:c r="D267" s="26" t="n">
        <x:v>48</x:v>
      </x:c>
      <x:c r="E267" s="26" t="n">
        <x:v>48</x:v>
      </x:c>
      <x:c r="F267" s="26" t="str">
        <x:v>Keister</x:v>
      </x:c>
      <x:c r="G267" s="26" t="n">
        <x:v>2008</x:v>
      </x:c>
      <x:c r="H267" s="25" t="str">
        <x:v>Divorcing Money from Monetary Policy</x:v>
      </x:c>
      <x:c r="I267" s="25" t="str"/>
      <x:c r="J267" s="25" t="str"/>
      <x:c r="K267" s="25" t="str">
        <x:v>automatic_screen_pass</x:v>
      </x:c>
      <x:c r="L267" s="25" t="str">
        <x:v>accepted</x:v>
      </x:c>
      <x:c r="M267" s="25" t="str">
        <x:v>no</x:v>
      </x:c>
      <x:c r="N267" s="25" t="str">
        <x:v>saki_research/published_papers/bianchi_bigio_banks_liquidity_management_monetary_policy.pdf</x:v>
      </x:c>
      <x:c r="O267" s="25" t="str">
        <x:v>Keister, T., A. Martin, and J. McAndrews (2008): “Divorcing Money from Monetary Policy,” Economic Policy Review, 14, 41–56.</x:v>
      </x:c>
    </x:row>
    <x:row r="268" ht="48" customHeight="1">
      <x:c r="A268" s="24" t="str">
        <x:v>P07-R052</x:v>
      </x:c>
      <x:c r="B268" s="24" t="str">
        <x:v>P07</x:v>
      </x:c>
      <x:c r="C268" s="26" t="n">
        <x:v>52</x:v>
      </x:c>
      <x:c r="D268" s="26" t="n">
        <x:v>48</x:v>
      </x:c>
      <x:c r="E268" s="26" t="n">
        <x:v>48</x:v>
      </x:c>
      <x:c r="F268" s="26" t="str">
        <x:v>Keister</x:v>
      </x:c>
      <x:c r="G268" s="26" t="n">
        <x:v>2009</x:v>
      </x:c>
      <x:c r="H268" s="25" t="str">
        <x:v>Why Are Banks Holding So Many Excess Reserves?</x:v>
      </x:c>
      <x:c r="I268" s="25" t="str"/>
      <x:c r="J268" s="25" t="str"/>
      <x:c r="K268" s="25" t="str">
        <x:v>automatic_screen_pass</x:v>
      </x:c>
      <x:c r="L268" s="25" t="str">
        <x:v>accepted</x:v>
      </x:c>
      <x:c r="M268" s="25" t="str">
        <x:v>no</x:v>
      </x:c>
      <x:c r="N268" s="25" t="str">
        <x:v>saki_research/published_papers/bianchi_bigio_banks_liquidity_management_monetary_policy.pdf</x:v>
      </x:c>
      <x:c r="O268" s="25" t="str">
        <x:v>Keister, T. and J. McAndrews (2009): “Why Are Banks Holding So Many Excess Reserves?” Federal Reserve Bank of New York Staff Report no. 380.</x:v>
      </x:c>
    </x:row>
    <x:row r="269" ht="48" customHeight="1">
      <x:c r="A269" s="24" t="str">
        <x:v>P07-R053</x:v>
      </x:c>
      <x:c r="B269" s="24" t="str">
        <x:v>P07</x:v>
      </x:c>
      <x:c r="C269" s="26" t="n">
        <x:v>53</x:v>
      </x:c>
      <x:c r="D269" s="26" t="n">
        <x:v>48</x:v>
      </x:c>
      <x:c r="E269" s="26" t="n">
        <x:v>48</x:v>
      </x:c>
      <x:c r="F269" s="26" t="str">
        <x:v>Kiyotaki</x:v>
      </x:c>
      <x:c r="G269" s="26" t="n">
        <x:v>1997</x:v>
      </x:c>
      <x:c r="H269" s="25" t="str">
        <x:v>Credit Cycles</x:v>
      </x:c>
      <x:c r="I269" s="25" t="str"/>
      <x:c r="J269" s="25" t="str"/>
      <x:c r="K269" s="25" t="str">
        <x:v>prior_manual_sample</x:v>
      </x:c>
      <x:c r="L269" s="25" t="str">
        <x:v>accepted</x:v>
      </x:c>
      <x:c r="M269" s="25" t="str">
        <x:v>no</x:v>
      </x:c>
      <x:c r="N269" s="25" t="str">
        <x:v>saki_research/published_papers/bianchi_bigio_banks_liquidity_management_monetary_policy.pdf</x:v>
      </x:c>
      <x:c r="O269" s="25" t="str">
        <x:v>Kiyotaki, N. and J. Moore (1997): “Credit Cycles,” Journal of Political Economy, 105, 211–248.</x:v>
      </x:c>
    </x:row>
    <x:row r="270" ht="48" customHeight="1">
      <x:c r="A270" s="24" t="str">
        <x:v>P07-R054</x:v>
      </x:c>
      <x:c r="B270" s="24" t="str">
        <x:v>P07</x:v>
      </x:c>
      <x:c r="C270" s="26" t="n">
        <x:v>54</x:v>
      </x:c>
      <x:c r="D270" s="26" t="n">
        <x:v>48</x:v>
      </x:c>
      <x:c r="E270" s="26" t="n">
        <x:v>48</x:v>
      </x:c>
      <x:c r="F270" s="26" t="str">
        <x:v>Kiyotaki</x:v>
      </x:c>
      <x:c r="G270" s="26" t="n">
        <x:v>1989</x:v>
      </x:c>
      <x:c r="H270" s="25" t="str">
        <x:v>On Money as a Medium of Exchange</x:v>
      </x:c>
      <x:c r="I270" s="25" t="str"/>
      <x:c r="J270" s="25" t="str"/>
      <x:c r="K270" s="25" t="str">
        <x:v>prior_manual_sample</x:v>
      </x:c>
      <x:c r="L270" s="25" t="str">
        <x:v>accepted</x:v>
      </x:c>
      <x:c r="M270" s="25" t="str">
        <x:v>no</x:v>
      </x:c>
      <x:c r="N270" s="25" t="str">
        <x:v>saki_research/published_papers/bianchi_bigio_banks_liquidity_management_monetary_policy.pdf</x:v>
      </x:c>
      <x:c r="O270" s="25" t="str">
        <x:v>Kiyotaki, N. and R. Wright (1989): “On Money as a Medium of Exchange,” Journal of Political Economy, 97, 927–954.</x:v>
      </x:c>
    </x:row>
    <x:row r="271" ht="48" customHeight="1">
      <x:c r="A271" s="24" t="str">
        <x:v>P07-R055</x:v>
      </x:c>
      <x:c r="B271" s="24" t="str">
        <x:v>P07</x:v>
      </x:c>
      <x:c r="C271" s="26" t="n">
        <x:v>55</x:v>
      </x:c>
      <x:c r="D271" s="26" t="n">
        <x:v>48</x:v>
      </x:c>
      <x:c r="E271" s="26" t="n">
        <x:v>48</x:v>
      </x:c>
      <x:c r="F271" s="26" t="str">
        <x:v>Krishnamurthy</x:v>
      </x:c>
      <x:c r="G271" s="26" t="n">
        <x:v>2012</x:v>
      </x:c>
      <x:c r="H271" s="25" t="str">
        <x:v>The Aggregate Demand for Treasury Debt</x:v>
      </x:c>
      <x:c r="I271" s="25" t="str"/>
      <x:c r="J271" s="25" t="str"/>
      <x:c r="K271" s="25" t="str">
        <x:v>prior_manual_sample</x:v>
      </x:c>
      <x:c r="L271" s="25" t="str">
        <x:v>accepted</x:v>
      </x:c>
      <x:c r="M271" s="25" t="str">
        <x:v>no</x:v>
      </x:c>
      <x:c r="N271" s="25" t="str">
        <x:v>saki_research/published_papers/bianchi_bigio_banks_liquidity_management_monetary_policy.pdf</x:v>
      </x:c>
      <x:c r="O271" s="25" t="str">
        <x:v>Krishnamurthy, A. and A. Vissing-Jørgensen (2012): “The Aggregate Demand for Treasury Debt,” Journal of Political Economy, 120, 233–267.</x:v>
      </x:c>
    </x:row>
    <x:row r="272" ht="48" customHeight="1">
      <x:c r="A272" s="24" t="str">
        <x:v>P07-R056</x:v>
      </x:c>
      <x:c r="B272" s="24" t="str">
        <x:v>P07</x:v>
      </x:c>
      <x:c r="C272" s="26" t="n">
        <x:v>56</x:v>
      </x:c>
      <x:c r="D272" s="26" t="n">
        <x:v>48</x:v>
      </x:c>
      <x:c r="E272" s="26" t="n">
        <x:v>48</x:v>
      </x:c>
      <x:c r="F272" s="26" t="str">
        <x:v>Lagos</x:v>
      </x:c>
      <x:c r="G272" s="26" t="n">
        <x:v>2017</x:v>
      </x:c>
      <x:c r="H272" s="25" t="str">
        <x:v>Liquidity: A New Monetarist Perspective</x:v>
      </x:c>
      <x:c r="I272" s="25" t="str"/>
      <x:c r="J272" s="25" t="str"/>
      <x:c r="K272" s="25" t="str">
        <x:v>prior_manual_sample</x:v>
      </x:c>
      <x:c r="L272" s="25" t="str">
        <x:v>accepted</x:v>
      </x:c>
      <x:c r="M272" s="25" t="str">
        <x:v>no</x:v>
      </x:c>
      <x:c r="N272" s="25" t="str">
        <x:v>saki_research/published_papers/bianchi_bigio_banks_liquidity_management_monetary_policy.pdf</x:v>
      </x:c>
      <x:c r="O272" s="25" t="str">
        <x:v>Lagos, R., G. Rocheteau, and R. Wright (2017): “Liquidity: A New Monetarist Perspective,” Journal of Economic Literature, 55, 371–440.</x:v>
      </x:c>
    </x:row>
    <x:row r="273" ht="48" customHeight="1">
      <x:c r="A273" s="24" t="str">
        <x:v>P07-R057</x:v>
      </x:c>
      <x:c r="B273" s="24" t="str">
        <x:v>P07</x:v>
      </x:c>
      <x:c r="C273" s="26" t="n">
        <x:v>57</x:v>
      </x:c>
      <x:c r="D273" s="26" t="n">
        <x:v>48</x:v>
      </x:c>
      <x:c r="E273" s="26" t="n">
        <x:v>48</x:v>
      </x:c>
      <x:c r="F273" s="26" t="str">
        <x:v>Lagos</x:v>
      </x:c>
      <x:c r="G273" s="26" t="n">
        <x:v>2005</x:v>
      </x:c>
      <x:c r="H273" s="25" t="str">
        <x:v>Unified Framework for Monetary Theory and Policy Analysis</x:v>
      </x:c>
      <x:c r="I273" s="25" t="str"/>
      <x:c r="J273" s="25" t="str"/>
      <x:c r="K273" s="25" t="str">
        <x:v>prior_manual_sample</x:v>
      </x:c>
      <x:c r="L273" s="25" t="str">
        <x:v>accepted</x:v>
      </x:c>
      <x:c r="M273" s="25" t="str">
        <x:v>no</x:v>
      </x:c>
      <x:c r="N273" s="25" t="str">
        <x:v>saki_research/published_papers/bianchi_bigio_banks_liquidity_management_monetary_policy.pdf</x:v>
      </x:c>
      <x:c r="O273" s="25" t="str">
        <x:v>Lagos, R. and R. Wright (2005): “Unified Framework for Monetary Theory and Policy Analysis,” Journal of Political Economy, 113, 463–484.</x:v>
      </x:c>
    </x:row>
    <x:row r="274" ht="48" customHeight="1">
      <x:c r="A274" s="24" t="str">
        <x:v>P07-R058</x:v>
      </x:c>
      <x:c r="B274" s="24" t="str">
        <x:v>P07</x:v>
      </x:c>
      <x:c r="C274" s="26" t="n">
        <x:v>58</x:v>
      </x:c>
      <x:c r="D274" s="26" t="n">
        <x:v>48</x:v>
      </x:c>
      <x:c r="E274" s="26" t="n">
        <x:v>48</x:v>
      </x:c>
      <x:c r="F274" s="26" t="str">
        <x:v>Lester</x:v>
      </x:c>
      <x:c r="G274" s="26" t="n">
        <x:v>2012</x:v>
      </x:c>
      <x:c r="H274" s="25" t="str">
        <x:v>Information,Liquidity,AssetPrices, and Monetary Policy</x:v>
      </x:c>
      <x:c r="I274" s="25" t="str"/>
      <x:c r="J274" s="25" t="str"/>
      <x:c r="K274" s="25" t="str">
        <x:v>automatic_screen_pass</x:v>
      </x:c>
      <x:c r="L274" s="25" t="str">
        <x:v>accepted</x:v>
      </x:c>
      <x:c r="M274" s="25" t="str">
        <x:v>no</x:v>
      </x:c>
      <x:c r="N274" s="25" t="str">
        <x:v>saki_research/published_papers/bianchi_bigio_banks_liquidity_management_monetary_policy.pdf</x:v>
      </x:c>
      <x:c r="O274" s="25" t="str">
        <x:v>Lester,B.,A.Postlewaite,andR.Wright(2012): “Information,Liquidity,AssetPrices, and Monetary Policy,” The Review of Economic Studies, 79, 1209–1238.</x:v>
      </x:c>
    </x:row>
    <x:row r="275" ht="48" customHeight="1">
      <x:c r="A275" s="24" t="str">
        <x:v>P07-R059</x:v>
      </x:c>
      <x:c r="B275" s="24" t="str">
        <x:v>P07</x:v>
      </x:c>
      <x:c r="C275" s="26" t="n">
        <x:v>59</x:v>
      </x:c>
      <x:c r="D275" s="26" t="n">
        <x:v>48</x:v>
      </x:c>
      <x:c r="E275" s="26" t="n">
        <x:v>48</x:v>
      </x:c>
      <x:c r="F275" s="26" t="str">
        <x:v>Logan</x:v>
      </x:c>
      <x:c r="G275" s="26" t="n">
        <x:v>2019</x:v>
      </x:c>
      <x:c r="H275" s="25" t="str">
        <x:v>Observations on Implementing Monetary Policy in an Ample-Reserves Regime</x:v>
      </x:c>
      <x:c r="I275" s="25" t="str"/>
      <x:c r="J275" s="25" t="str"/>
      <x:c r="K275" s="25" t="str">
        <x:v>prior_manual_sample</x:v>
      </x:c>
      <x:c r="L275" s="25" t="str">
        <x:v>accepted</x:v>
      </x:c>
      <x:c r="M275" s="25" t="str">
        <x:v>no</x:v>
      </x:c>
      <x:c r="N275" s="25" t="str">
        <x:v>saki_research/published_papers/bianchi_bigio_banks_liquidity_management_monetary_policy.pdf</x:v>
      </x:c>
      <x:c r="O275" s="25" t="str">
        <x:v>Logan, L. K. (2019): “Observations on Implementing Monetary Policy in an Ample-Reserves Regime,” Remarks before the Money Marketeers of New York University, New York City.</x:v>
      </x:c>
    </x:row>
    <x:row r="276" ht="48" customHeight="1">
      <x:c r="A276" s="24" t="str">
        <x:v>P07-R060</x:v>
      </x:c>
      <x:c r="B276" s="24" t="str">
        <x:v>P07</x:v>
      </x:c>
      <x:c r="C276" s="26" t="n">
        <x:v>60</x:v>
      </x:c>
      <x:c r="D276" s="26" t="n">
        <x:v>48</x:v>
      </x:c>
      <x:c r="E276" s="26" t="n">
        <x:v>48</x:v>
      </x:c>
      <x:c r="F276" s="26" t="str">
        <x:v>Lucas</x:v>
      </x:c>
      <x:c r="G276" s="26" t="n">
        <x:v>1983</x:v>
      </x:c>
      <x:c r="H276" s="25" t="str">
        <x:v>Optimal fiscal and monetary policy in an economy without capital</x:v>
      </x:c>
      <x:c r="I276" s="25" t="str"/>
      <x:c r="J276" s="25" t="str"/>
      <x:c r="K276" s="25" t="str">
        <x:v>automatic_screen_pass</x:v>
      </x:c>
      <x:c r="L276" s="25" t="str">
        <x:v>accepted</x:v>
      </x:c>
      <x:c r="M276" s="25" t="str">
        <x:v>no</x:v>
      </x:c>
      <x:c r="N276" s="25" t="str">
        <x:v>saki_research/published_papers/bianchi_bigio_banks_liquidity_management_monetary_policy.pdf</x:v>
      </x:c>
      <x:c r="O276" s="25" t="str">
        <x:v>Lucas, R. E. and N. L. Stokey (1983): “Optimal fiscal and monetary policy in an economy without capital,” Journal of monetary Economics, 12, 55–93.</x:v>
      </x:c>
    </x:row>
    <x:row r="277" ht="48" customHeight="1">
      <x:c r="A277" s="24" t="str">
        <x:v>P07-R061</x:v>
      </x:c>
      <x:c r="B277" s="24" t="str">
        <x:v>P07</x:v>
      </x:c>
      <x:c r="C277" s="26" t="n">
        <x:v>61</x:v>
      </x:c>
      <x:c r="D277" s="26" t="n">
        <x:v>48</x:v>
      </x:c>
      <x:c r="E277" s="26" t="n">
        <x:v>48</x:v>
      </x:c>
      <x:c r="F277" s="26" t="str">
        <x:v>Martin</x:v>
      </x:c>
      <x:c r="G277" s="26" t="n">
        <x:v>2013</x:v>
      </x:c>
      <x:c r="H277" s="25" t="str">
        <x:v>Federal Reserve Tools for Managing Rates and Reserves</x:v>
      </x:c>
      <x:c r="I277" s="25" t="str"/>
      <x:c r="J277" s="25" t="str"/>
      <x:c r="K277" s="25" t="str">
        <x:v>automatic_screen_pass</x:v>
      </x:c>
      <x:c r="L277" s="25" t="str">
        <x:v>accepted</x:v>
      </x:c>
      <x:c r="M277" s="25" t="str">
        <x:v>no</x:v>
      </x:c>
      <x:c r="N277" s="25" t="str">
        <x:v>saki_research/published_papers/bianchi_bigio_banks_liquidity_management_monetary_policy.pdf</x:v>
      </x:c>
      <x:c r="O277" s="25" t="str">
        <x:v>Martin, A., J. McAndrews, A. Palida, and D. R. Skeie (2013): “Federal Reserve Tools for Managing Rates and Reserves,” Federal Reserve Bank of New York Staff Report no. 642.</x:v>
      </x:c>
    </x:row>
    <x:row r="278" ht="48" customHeight="1">
      <x:c r="A278" s="24" t="str">
        <x:v>P07-R062</x:v>
      </x:c>
      <x:c r="B278" s="24" t="str">
        <x:v>P07</x:v>
      </x:c>
      <x:c r="C278" s="26" t="n">
        <x:v>62</x:v>
      </x:c>
      <x:c r="D278" s="26" t="n">
        <x:v>48</x:v>
      </x:c>
      <x:c r="E278" s="26" t="n">
        <x:v>48</x:v>
      </x:c>
      <x:c r="F278" s="26" t="str">
        <x:v>Nagel</x:v>
      </x:c>
      <x:c r="G278" s="26" t="n">
        <x:v>2016</x:v>
      </x:c>
      <x:c r="H278" s="25" t="str">
        <x:v>The Liquidity Premium of Near-Money Assets</x:v>
      </x:c>
      <x:c r="I278" s="25" t="str"/>
      <x:c r="J278" s="25" t="str"/>
      <x:c r="K278" s="25" t="str">
        <x:v>prior_manual_sample</x:v>
      </x:c>
      <x:c r="L278" s="25" t="str">
        <x:v>accepted</x:v>
      </x:c>
      <x:c r="M278" s="25" t="str">
        <x:v>sí</x:v>
      </x:c>
      <x:c r="N278" s="25" t="str">
        <x:v>saki_research/published_papers/bianchi_bigio_banks_liquidity_management_monetary_policy.pdf</x:v>
      </x:c>
      <x:c r="O278" s="25" t="str">
        <x:v>Nagel, S. (2016): “The Liquidity Premium of Near-Money Assets,” The Quarterly Journal of Economics, 131, 1927–1971.</x:v>
      </x:c>
    </x:row>
    <x:row r="279" ht="48" customHeight="1">
      <x:c r="A279" s="24" t="str">
        <x:v>P07-R063</x:v>
      </x:c>
      <x:c r="B279" s="24" t="str">
        <x:v>P07</x:v>
      </x:c>
      <x:c r="C279" s="26" t="n">
        <x:v>63</x:v>
      </x:c>
      <x:c r="D279" s="26" t="n">
        <x:v>48</x:v>
      </x:c>
      <x:c r="E279" s="26" t="n">
        <x:v>48</x:v>
      </x:c>
      <x:c r="F279" s="26" t="str">
        <x:v>Piazzesi</x:v>
      </x:c>
      <x:c r="G279" s="26" t="n">
        <x:v>2019</x:v>
      </x:c>
      <x:c r="H279" s="25" t="str">
        <x:v>Money and Banking in a New Keynesian Model</x:v>
      </x:c>
      <x:c r="I279" s="25" t="str"/>
      <x:c r="J279" s="25" t="str"/>
      <x:c r="K279" s="25" t="str">
        <x:v>automatic_screen_pass</x:v>
      </x:c>
      <x:c r="L279" s="25" t="str">
        <x:v>accepted</x:v>
      </x:c>
      <x:c r="M279" s="25" t="str">
        <x:v>no</x:v>
      </x:c>
      <x:c r="N279" s="25" t="str">
        <x:v>saki_research/published_papers/bianchi_bigio_banks_liquidity_management_monetary_policy.pdf</x:v>
      </x:c>
      <x:c r="O279" s="25" t="str">
        <x:v>Piazzesi, M., C. Rogers, and M. Schneider (2019): “Money and Banking in a New Keynesian Model,” Working Paper, Stanford.</x:v>
      </x:c>
    </x:row>
    <x:row r="280" ht="48" customHeight="1">
      <x:c r="A280" s="24" t="str">
        <x:v>P07-R064</x:v>
      </x:c>
      <x:c r="B280" s="24" t="str">
        <x:v>P07</x:v>
      </x:c>
      <x:c r="C280" s="26" t="n">
        <x:v>64</x:v>
      </x:c>
      <x:c r="D280" s="26" t="n">
        <x:v>48</x:v>
      </x:c>
      <x:c r="E280" s="26" t="n">
        <x:v>48</x:v>
      </x:c>
      <x:c r="F280" s="26" t="str">
        <x:v>Piazzesi</x:v>
      </x:c>
      <x:c r="G280" s="26" t="n">
        <x:v>2018</x:v>
      </x:c>
      <x:c r="H280" s="25" t="str">
        <x:v>Payments, Credit and Asset Prices</x:v>
      </x:c>
      <x:c r="I280" s="25" t="str"/>
      <x:c r="J280" s="25" t="str"/>
      <x:c r="K280" s="25" t="str">
        <x:v>prior_manual_sample</x:v>
      </x:c>
      <x:c r="L280" s="25" t="str">
        <x:v>accepted</x:v>
      </x:c>
      <x:c r="M280" s="25" t="str">
        <x:v>no</x:v>
      </x:c>
      <x:c r="N280" s="25" t="str">
        <x:v>saki_research/published_papers/bianchi_bigio_banks_liquidity_management_monetary_policy.pdf</x:v>
      </x:c>
      <x:c r="O280" s="25" t="str">
        <x:v>Piazzesi, M. and M. Schneider (2018): “Payments, Credit and Asset Prices,” Mimeo, Stanford.</x:v>
      </x:c>
    </x:row>
    <x:row r="281" ht="48" customHeight="1">
      <x:c r="A281" s="24" t="str">
        <x:v>P07-R065</x:v>
      </x:c>
      <x:c r="B281" s="24" t="str">
        <x:v>P07</x:v>
      </x:c>
      <x:c r="C281" s="26" t="n">
        <x:v>65</x:v>
      </x:c>
      <x:c r="D281" s="26" t="n">
        <x:v>48</x:v>
      </x:c>
      <x:c r="E281" s="26" t="n">
        <x:v>48</x:v>
      </x:c>
      <x:c r="F281" s="26" t="str">
        <x:v>Poole</x:v>
      </x:c>
      <x:c r="G281" s="26" t="n">
        <x:v>1968</x:v>
      </x:c>
      <x:c r="H281" s="25" t="str">
        <x:v>Commercial Bank Reserve Management in a Stochastic Model: Implications for Monetary Policy</x:v>
      </x:c>
      <x:c r="I281" s="25" t="str"/>
      <x:c r="J281" s="25" t="str"/>
      <x:c r="K281" s="25" t="str">
        <x:v>automatic_screen_pass</x:v>
      </x:c>
      <x:c r="L281" s="25" t="str">
        <x:v>accepted</x:v>
      </x:c>
      <x:c r="M281" s="25" t="str">
        <x:v>no</x:v>
      </x:c>
      <x:c r="N281" s="25" t="str">
        <x:v>saki_research/published_papers/bianchi_bigio_banks_liquidity_management_monetary_policy.pdf</x:v>
      </x:c>
      <x:c r="O281" s="25" t="str">
        <x:v>Poole, W. (1968): “Commercial Bank Reserve Management in a Stochastic Model: Implications for Monetary Policy,” Journal of Finance, 23, 769–791.</x:v>
      </x:c>
    </x:row>
    <x:row r="282" ht="48" customHeight="1">
      <x:c r="A282" s="24" t="str">
        <x:v>P07-R066</x:v>
      </x:c>
      <x:c r="B282" s="24" t="str">
        <x:v>P07</x:v>
      </x:c>
      <x:c r="C282" s="26" t="n">
        <x:v>66</x:v>
      </x:c>
      <x:c r="D282" s="26" t="n">
        <x:v>48</x:v>
      </x:c>
      <x:c r="E282" s="26" t="n">
        <x:v>48</x:v>
      </x:c>
      <x:c r="F282" s="26" t="str">
        <x:v>Potter</x:v>
      </x:c>
      <x:c r="G282" s="26" t="n">
        <x:v>2017</x:v>
      </x:c>
      <x:c r="H282" s="25" t="str">
        <x:v>Money Markets at a Crossroads: Policy Implementation at a Time of Structural Change</x:v>
      </x:c>
      <x:c r="I282" s="25" t="str"/>
      <x:c r="J282" s="25" t="str"/>
      <x:c r="K282" s="25" t="str">
        <x:v>prior_manual_sample</x:v>
      </x:c>
      <x:c r="L282" s="25" t="str">
        <x:v>accepted</x:v>
      </x:c>
      <x:c r="M282" s="25" t="str">
        <x:v>no</x:v>
      </x:c>
      <x:c r="N282" s="25" t="str">
        <x:v>saki_research/published_papers/bianchi_bigio_banks_liquidity_management_monetary_policy.pdf</x:v>
      </x:c>
      <x:c r="O282" s="25" t="str">
        <x:v>Potter, S. (2017): “Money Markets at a Crossroads: Policy Implementation at a Time of Structural Change,” Remarks at the Master of Applied Economics’ Distinguished Speaker Series, University of California, Los Angeles, April 05, 2017.</x:v>
      </x:c>
    </x:row>
    <x:row r="283" ht="48" customHeight="1">
      <x:c r="A283" s="24" t="str">
        <x:v>P07-R067</x:v>
      </x:c>
      <x:c r="B283" s="24" t="str">
        <x:v>P07</x:v>
      </x:c>
      <x:c r="C283" s="26" t="n">
        <x:v>67</x:v>
      </x:c>
      <x:c r="D283" s="26" t="n">
        <x:v>49</x:v>
      </x:c>
      <x:c r="E283" s="26" t="n">
        <x:v>49</x:v>
      </x:c>
      <x:c r="F283" s="26" t="str">
        <x:v>Rocheteau</x:v>
      </x:c>
      <x:c r="G283" s="26" t="n">
        <x:v>2017</x:v>
      </x:c>
      <x:c r="H283" s="25" t="str">
        <x:v>Money, Payments, and Liquidity</x:v>
      </x:c>
      <x:c r="I283" s="25" t="str"/>
      <x:c r="J283" s="25" t="str">
        <x:v>C-039</x:v>
      </x:c>
      <x:c r="K283" s="25" t="str">
        <x:v>prior_manual_sample</x:v>
      </x:c>
      <x:c r="L283" s="25" t="str">
        <x:v>accepted</x:v>
      </x:c>
      <x:c r="M283" s="25" t="str">
        <x:v>no</x:v>
      </x:c>
      <x:c r="N283" s="25" t="str">
        <x:v>saki_research/published_papers/bianchi_bigio_banks_liquidity_management_monetary_policy.pdf</x:v>
      </x:c>
      <x:c r="O283" s="25" t="str">
        <x:v>Rocheteau, G. and E. Nosal (2017): Money, Payments, and Liquidity, MIT Press, second edition ed.</x:v>
      </x:c>
    </x:row>
    <x:row r="284" ht="48" customHeight="1">
      <x:c r="A284" s="24" t="str">
        <x:v>P07-R068</x:v>
      </x:c>
      <x:c r="B284" s="24" t="str">
        <x:v>P07</x:v>
      </x:c>
      <x:c r="C284" s="26" t="n">
        <x:v>68</x:v>
      </x:c>
      <x:c r="D284" s="26" t="n">
        <x:v>49</x:v>
      </x:c>
      <x:c r="E284" s="26" t="n">
        <x:v>49</x:v>
      </x:c>
      <x:c r="F284" s="26" t="str">
        <x:v>Smith</x:v>
      </x:c>
      <x:c r="G284" s="26" t="n">
        <x:v>2002</x:v>
      </x:c>
      <x:c r="H284" s="25" t="str">
        <x:v>Monetary policy, banking crises, and the Friedman rule</x:v>
      </x:c>
      <x:c r="I284" s="25" t="str"/>
      <x:c r="J284" s="25" t="str"/>
      <x:c r="K284" s="25" t="str">
        <x:v>prior_manual_sample</x:v>
      </x:c>
      <x:c r="L284" s="25" t="str">
        <x:v>accepted</x:v>
      </x:c>
      <x:c r="M284" s="25" t="str">
        <x:v>no</x:v>
      </x:c>
      <x:c r="N284" s="25" t="str">
        <x:v>saki_research/published_papers/bianchi_bigio_banks_liquidity_management_monetary_policy.pdf</x:v>
      </x:c>
      <x:c r="O284" s="25" t="str">
        <x:v>Smith, B. D. (2002): “Monetary policy, banking crises, and the Friedman rule,” American Economic Review, 92, 128–134.</x:v>
      </x:c>
    </x:row>
    <x:row r="285" ht="48" customHeight="1">
      <x:c r="A285" s="24" t="str">
        <x:v>P07-R069</x:v>
      </x:c>
      <x:c r="B285" s="24" t="str">
        <x:v>P07</x:v>
      </x:c>
      <x:c r="C285" s="26" t="n">
        <x:v>69</x:v>
      </x:c>
      <x:c r="D285" s="26" t="n">
        <x:v>49</x:v>
      </x:c>
      <x:c r="E285" s="26" t="n">
        <x:v>49</x:v>
      </x:c>
      <x:c r="F285" s="26" t="str">
        <x:v>Stein</x:v>
      </x:c>
      <x:c r="G285" s="26" t="n">
        <x:v>2012</x:v>
      </x:c>
      <x:c r="H285" s="25" t="str">
        <x:v>Monetary Policy as Financial Stability Regulation</x:v>
      </x:c>
      <x:c r="I285" s="25" t="str"/>
      <x:c r="J285" s="25" t="str"/>
      <x:c r="K285" s="25" t="str">
        <x:v>automatic_screen_pass</x:v>
      </x:c>
      <x:c r="L285" s="25" t="str">
        <x:v>accepted</x:v>
      </x:c>
      <x:c r="M285" s="25" t="str">
        <x:v>no</x:v>
      </x:c>
      <x:c r="N285" s="25" t="str">
        <x:v>saki_research/published_papers/bianchi_bigio_banks_liquidity_management_monetary_policy.pdf</x:v>
      </x:c>
      <x:c r="O285" s="25" t="str">
        <x:v>Stein, J. C. (2012): “Monetary Policy as Financial Stability Regulation,” Quarterly Journal of Economics, 127, 57–95.</x:v>
      </x:c>
    </x:row>
    <x:row r="286" ht="48" customHeight="1">
      <x:c r="A286" s="24" t="str">
        <x:v>P07-R070</x:v>
      </x:c>
      <x:c r="B286" s="24" t="str">
        <x:v>P07</x:v>
      </x:c>
      <x:c r="C286" s="26" t="n">
        <x:v>70</x:v>
      </x:c>
      <x:c r="D286" s="26" t="n">
        <x:v>49</x:v>
      </x:c>
      <x:c r="E286" s="26" t="n">
        <x:v>49</x:v>
      </x:c>
      <x:c r="F286" s="26" t="str">
        <x:v>Stigum</x:v>
      </x:c>
      <x:c r="G286" s="26" t="n">
        <x:v>2007</x:v>
      </x:c>
      <x:c r="H286" s="25" t="str">
        <x:v>Stigum’s Money Market, McGraw-Hill Education, fourth ed</x:v>
      </x:c>
      <x:c r="I286" s="25" t="str"/>
      <x:c r="J286" s="25" t="str"/>
      <x:c r="K286" s="25" t="str">
        <x:v>automatic_screen_pass</x:v>
      </x:c>
      <x:c r="L286" s="25" t="str">
        <x:v>accepted</x:v>
      </x:c>
      <x:c r="M286" s="25" t="str">
        <x:v>no</x:v>
      </x:c>
      <x:c r="N286" s="25" t="str">
        <x:v>saki_research/published_papers/bianchi_bigio_banks_liquidity_management_monetary_policy.pdf</x:v>
      </x:c>
      <x:c r="O286" s="25" t="str">
        <x:v>Stigum, M. and A. Crescenzi (2007): Stigum’s Money Market, McGraw-Hill Education, fourth ed.</x:v>
      </x:c>
    </x:row>
    <x:row r="287" ht="48" customHeight="1">
      <x:c r="A287" s="24" t="str">
        <x:v>P07-R071</x:v>
      </x:c>
      <x:c r="B287" s="24" t="str">
        <x:v>P07</x:v>
      </x:c>
      <x:c r="C287" s="26" t="n">
        <x:v>71</x:v>
      </x:c>
      <x:c r="D287" s="26" t="n">
        <x:v>49</x:v>
      </x:c>
      <x:c r="E287" s="26" t="n">
        <x:v>49</x:v>
      </x:c>
      <x:c r="F287" s="26" t="str">
        <x:v>Stock</x:v>
      </x:c>
      <x:c r="G287" s="26" t="n">
        <x:v>1989</x:v>
      </x:c>
      <x:c r="H287" s="25" t="str">
        <x:v>New Indices of Coincident and Leading Economic Indicators</x:v>
      </x:c>
      <x:c r="I287" s="25" t="str"/>
      <x:c r="J287" s="25" t="str"/>
      <x:c r="K287" s="25" t="str">
        <x:v>automatic_screen_pass</x:v>
      </x:c>
      <x:c r="L287" s="25" t="str">
        <x:v>accepted</x:v>
      </x:c>
      <x:c r="M287" s="25" t="str">
        <x:v>no</x:v>
      </x:c>
      <x:c r="N287" s="25" t="str">
        <x:v>saki_research/published_papers/bianchi_bigio_banks_liquidity_management_monetary_policy.pdf</x:v>
      </x:c>
      <x:c r="O287" s="25" t="str">
        <x:v>Stock, J. H. and M. W. Watson (1989): “New Indices of Coincident and Leading Economic Indicators,” NBER Macroeconomics Annual, 4.</x:v>
      </x:c>
    </x:row>
    <x:row r="288" ht="48" customHeight="1">
      <x:c r="A288" s="24" t="str">
        <x:v>P07-R072</x:v>
      </x:c>
      <x:c r="B288" s="24" t="str">
        <x:v>P07</x:v>
      </x:c>
      <x:c r="C288" s="26" t="n">
        <x:v>72</x:v>
      </x:c>
      <x:c r="D288" s="26" t="n">
        <x:v>49</x:v>
      </x:c>
      <x:c r="E288" s="26" t="n">
        <x:v>49</x:v>
      </x:c>
      <x:c r="F288" s="26" t="str">
        <x:v>Townsend</x:v>
      </x:c>
      <x:c r="G288" s="26" t="n">
        <x:v>1979</x:v>
      </x:c>
      <x:c r="H288" s="25" t="str">
        <x:v>Optimal Contracts and Competitive Markets with Costly State Verification</x:v>
      </x:c>
      <x:c r="I288" s="25" t="str"/>
      <x:c r="J288" s="25" t="str"/>
      <x:c r="K288" s="25" t="str">
        <x:v>automatic_screen_pass</x:v>
      </x:c>
      <x:c r="L288" s="25" t="str">
        <x:v>accepted</x:v>
      </x:c>
      <x:c r="M288" s="25" t="str">
        <x:v>no</x:v>
      </x:c>
      <x:c r="N288" s="25" t="str">
        <x:v>saki_research/published_papers/bianchi_bigio_banks_liquidity_management_monetary_policy.pdf</x:v>
      </x:c>
      <x:c r="O288" s="25" t="str">
        <x:v>Townsend, R. (1979): “Optimal Contracts and Competitive Markets with Costly State Verification,” Journal of Economic Theory, 21(2), 265–293.</x:v>
      </x:c>
    </x:row>
    <x:row r="289" ht="48" customHeight="1">
      <x:c r="A289" s="24" t="str">
        <x:v>P07-R073</x:v>
      </x:c>
      <x:c r="B289" s="24" t="str">
        <x:v>P07</x:v>
      </x:c>
      <x:c r="C289" s="26" t="n">
        <x:v>73</x:v>
      </x:c>
      <x:c r="D289" s="26" t="n">
        <x:v>49</x:v>
      </x:c>
      <x:c r="E289" s="26" t="n">
        <x:v>49</x:v>
      </x:c>
      <x:c r="F289" s="26" t="str">
        <x:v>Wallace</x:v>
      </x:c>
      <x:c r="G289" s="26" t="n">
        <x:v>1981</x:v>
      </x:c>
      <x:c r="H289" s="25" t="str">
        <x:v>A Modigliani-Miller Theorem for Open-Market Operations</x:v>
      </x:c>
      <x:c r="I289" s="25" t="str"/>
      <x:c r="J289" s="25" t="str"/>
      <x:c r="K289" s="25" t="str">
        <x:v>automatic_screen_pass</x:v>
      </x:c>
      <x:c r="L289" s="25" t="str">
        <x:v>accepted</x:v>
      </x:c>
      <x:c r="M289" s="25" t="str">
        <x:v>no</x:v>
      </x:c>
      <x:c r="N289" s="25" t="str">
        <x:v>saki_research/published_papers/bianchi_bigio_banks_liquidity_management_monetary_policy.pdf</x:v>
      </x:c>
      <x:c r="O289" s="25" t="str">
        <x:v>Wallace, N. (1981): “A Modigliani-Miller Theorem for Open-Market Operations,” The American Economic Review, 71, 267–274.</x:v>
      </x:c>
    </x:row>
    <x:row r="290" ht="48" customHeight="1">
      <x:c r="A290" s="24" t="str">
        <x:v>P07-R074</x:v>
      </x:c>
      <x:c r="B290" s="24" t="str">
        <x:v>P07</x:v>
      </x:c>
      <x:c r="C290" s="26" t="n">
        <x:v>74</x:v>
      </x:c>
      <x:c r="D290" s="26" t="n">
        <x:v>49</x:v>
      </x:c>
      <x:c r="E290" s="26" t="n">
        <x:v>49</x:v>
      </x:c>
      <x:c r="F290" s="26" t="str">
        <x:v>Wang</x:v>
      </x:c>
      <x:c r="G290" s="26" t="n">
        <x:v>2019</x:v>
      </x:c>
      <x:c r="H290" s="25" t="str">
        <x:v>Banks, Low Interest Rates, and Monetary Policy Transmission</x:v>
      </x:c>
      <x:c r="I290" s="25" t="str"/>
      <x:c r="J290" s="25" t="str"/>
      <x:c r="K290" s="25" t="str">
        <x:v>automatic_screen_pass</x:v>
      </x:c>
      <x:c r="L290" s="25" t="str">
        <x:v>accepted</x:v>
      </x:c>
      <x:c r="M290" s="25" t="str">
        <x:v>no</x:v>
      </x:c>
      <x:c r="N290" s="25" t="str">
        <x:v>saki_research/published_papers/bianchi_bigio_banks_liquidity_management_monetary_policy.pdf</x:v>
      </x:c>
      <x:c r="O290" s="25" t="str">
        <x:v>Wang, O. (2019): “Banks, Low Interest Rates, and Monetary Policy Transmission,” Mimeo, MIT.</x:v>
      </x:c>
    </x:row>
    <x:row r="291" ht="48" customHeight="1">
      <x:c r="A291" s="24" t="str">
        <x:v>P07-R075</x:v>
      </x:c>
      <x:c r="B291" s="24" t="str">
        <x:v>P07</x:v>
      </x:c>
      <x:c r="C291" s="26" t="n">
        <x:v>75</x:v>
      </x:c>
      <x:c r="D291" s="26" t="n">
        <x:v>49</x:v>
      </x:c>
      <x:c r="E291" s="26" t="n">
        <x:v>49</x:v>
      </x:c>
      <x:c r="F291" s="26" t="str">
        <x:v>Weill</x:v>
      </x:c>
      <x:c r="G291" s="26" t="n">
        <x:v>2020</x:v>
      </x:c>
      <x:c r="H291" s="25" t="str">
        <x:v>The Search Theory of Over-the-Counter Markets</x:v>
      </x:c>
      <x:c r="I291" s="25" t="str"/>
      <x:c r="J291" s="25" t="str"/>
      <x:c r="K291" s="25" t="str">
        <x:v>automatic_screen_pass</x:v>
      </x:c>
      <x:c r="L291" s="25" t="str">
        <x:v>accepted</x:v>
      </x:c>
      <x:c r="M291" s="25" t="str">
        <x:v>no</x:v>
      </x:c>
      <x:c r="N291" s="25" t="str">
        <x:v>saki_research/published_papers/bianchi_bigio_banks_liquidity_management_monetary_policy.pdf</x:v>
      </x:c>
      <x:c r="O291" s="25" t="str">
        <x:v>Weill, P.-O. (2020): “The Search Theory of Over-the-Counter Markets,” Annual Review of Economics, 12.</x:v>
      </x:c>
    </x:row>
    <x:row r="292" ht="48" customHeight="1">
      <x:c r="A292" s="24" t="str">
        <x:v>P07-R076</x:v>
      </x:c>
      <x:c r="B292" s="24" t="str">
        <x:v>P07</x:v>
      </x:c>
      <x:c r="C292" s="26" t="n">
        <x:v>76</x:v>
      </x:c>
      <x:c r="D292" s="26" t="n">
        <x:v>49</x:v>
      </x:c>
      <x:c r="E292" s="26" t="n">
        <x:v>49</x:v>
      </x:c>
      <x:c r="F292" s="26" t="str">
        <x:v>Williamson</x:v>
      </x:c>
      <x:c r="G292" s="26" t="n">
        <x:v>1987</x:v>
      </x:c>
      <x:c r="H292" s="25" t="str">
        <x:v>Costly Monitoring, Loan Contracts, and Equilibrium Credit Rationing</x:v>
      </x:c>
      <x:c r="I292" s="25" t="str"/>
      <x:c r="J292" s="25" t="str"/>
      <x:c r="K292" s="25" t="str">
        <x:v>automatic_screen_pass</x:v>
      </x:c>
      <x:c r="L292" s="25" t="str">
        <x:v>accepted</x:v>
      </x:c>
      <x:c r="M292" s="25" t="str">
        <x:v>no</x:v>
      </x:c>
      <x:c r="N292" s="25" t="str">
        <x:v>saki_research/published_papers/bianchi_bigio_banks_liquidity_management_monetary_policy.pdf</x:v>
      </x:c>
      <x:c r="O292" s="25" t="str">
        <x:v>Williamson, S. (1987): “Costly Monitoring, Loan Contracts, and Equilibrium Credit Rationing,” The Quarterly Journal of Economics, 102, 135–146.</x:v>
      </x:c>
    </x:row>
    <x:row r="293" ht="48" customHeight="1">
      <x:c r="A293" s="24" t="str">
        <x:v>P07-R077</x:v>
      </x:c>
      <x:c r="B293" s="24" t="str">
        <x:v>P07</x:v>
      </x:c>
      <x:c r="C293" s="26" t="n">
        <x:v>77</x:v>
      </x:c>
      <x:c r="D293" s="26" t="n">
        <x:v>49</x:v>
      </x:c>
      <x:c r="E293" s="26" t="n">
        <x:v>49</x:v>
      </x:c>
      <x:c r="F293" s="26" t="str">
        <x:v>Williamson</x:v>
      </x:c>
      <x:c r="G293" s="26" t="n">
        <x:v>2012</x:v>
      </x:c>
      <x:c r="H293" s="25" t="str">
        <x:v>Liquidity, Monetary Policy, and the Financial Crisis: A New Monetarist Approach</x:v>
      </x:c>
      <x:c r="I293" s="25" t="str">
        <x:v>inherited_author_notation</x:v>
      </x:c>
      <x:c r="J293" s="25" t="str"/>
      <x:c r="K293" s="25" t="str">
        <x:v>prior_manual_sample</x:v>
      </x:c>
      <x:c r="L293" s="25" t="str">
        <x:v>accepted</x:v>
      </x:c>
      <x:c r="M293" s="25" t="str">
        <x:v>no</x:v>
      </x:c>
      <x:c r="N293" s="25" t="str">
        <x:v>saki_research/published_papers/bianchi_bigio_banks_liquidity_management_monetary_policy.pdf</x:v>
      </x:c>
      <x:c r="O293" s="25" t="str">
        <x:v>——— (2012): “Liquidity, Monetary Policy, and the Financial Crisis: A New Monetarist Approach,” American Economic Review, 102, 2570–2605.</x:v>
      </x:c>
    </x:row>
    <x:row r="294" ht="48" customHeight="1">
      <x:c r="A294" s="24" t="str">
        <x:v>P07-R078</x:v>
      </x:c>
      <x:c r="B294" s="24" t="str">
        <x:v>P07</x:v>
      </x:c>
      <x:c r="C294" s="26" t="n">
        <x:v>78</x:v>
      </x:c>
      <x:c r="D294" s="26" t="n">
        <x:v>49</x:v>
      </x:c>
      <x:c r="E294" s="26" t="n">
        <x:v>49</x:v>
      </x:c>
      <x:c r="F294" s="26" t="str">
        <x:v>Williamson</x:v>
      </x:c>
      <x:c r="G294" s="26" t="n">
        <x:v>2019</x:v>
      </x:c>
      <x:c r="H294" s="25" t="str">
        <x:v>Interest on reserves, interbank lending, and monetary policy</x:v>
      </x:c>
      <x:c r="I294" s="25" t="str">
        <x:v>inherited_author_notation</x:v>
      </x:c>
      <x:c r="J294" s="25" t="str"/>
      <x:c r="K294" s="25" t="str">
        <x:v>automatic_screen_pass</x:v>
      </x:c>
      <x:c r="L294" s="25" t="str">
        <x:v>accepted</x:v>
      </x:c>
      <x:c r="M294" s="25" t="str">
        <x:v>no</x:v>
      </x:c>
      <x:c r="N294" s="25" t="str">
        <x:v>saki_research/published_papers/bianchi_bigio_banks_liquidity_management_monetary_policy.pdf</x:v>
      </x:c>
      <x:c r="O294" s="25" t="str">
        <x:v>——— (2019): “Interest on reserves, interbank lending, and monetary policy,” Journal of Monetary Economics, 101, 14–30.</x:v>
      </x:c>
    </x:row>
    <x:row r="295" ht="48" customHeight="1">
      <x:c r="A295" s="24" t="str">
        <x:v>P07-R079</x:v>
      </x:c>
      <x:c r="B295" s="24" t="str">
        <x:v>P07</x:v>
      </x:c>
      <x:c r="C295" s="26" t="n">
        <x:v>79</x:v>
      </x:c>
      <x:c r="D295" s="26" t="n">
        <x:v>49</x:v>
      </x:c>
      <x:c r="E295" s="26" t="n">
        <x:v>49</x:v>
      </x:c>
      <x:c r="F295" s="26" t="str">
        <x:v>Williamson</x:v>
      </x:c>
      <x:c r="G295" s="26" t="n">
        <x:v>2010</x:v>
      </x:c>
      <x:c r="H295" s="25" t="str">
        <x:v>New Monetarist Economics: Models</x:v>
      </x:c>
      <x:c r="I295" s="25" t="str"/>
      <x:c r="J295" s="25" t="str"/>
      <x:c r="K295" s="25" t="str">
        <x:v>automatic_screen_pass</x:v>
      </x:c>
      <x:c r="L295" s="25" t="str">
        <x:v>accepted</x:v>
      </x:c>
      <x:c r="M295" s="25" t="str">
        <x:v>no</x:v>
      </x:c>
      <x:c r="N295" s="25" t="str">
        <x:v>saki_research/published_papers/bianchi_bigio_banks_liquidity_management_monetary_policy.pdf</x:v>
      </x:c>
      <x:c r="O295" s="25" t="str">
        <x:v>Williamson, S. and R. Wright (2010): “New Monetarist Economics: Models,” in Handbook of Monetary Economics, ed. by B. M. Friedman and M. Woodford, Elsevier, vol. 3, 25–96.</x:v>
      </x:c>
    </x:row>
    <x:row r="296" ht="48" customHeight="1">
      <x:c r="A296" s="24" t="str">
        <x:v>P07-R080</x:v>
      </x:c>
      <x:c r="B296" s="24" t="str">
        <x:v>P07</x:v>
      </x:c>
      <x:c r="C296" s="26" t="n">
        <x:v>80</x:v>
      </x:c>
      <x:c r="D296" s="26" t="n">
        <x:v>49</x:v>
      </x:c>
      <x:c r="E296" s="26" t="n">
        <x:v>49</x:v>
      </x:c>
      <x:c r="F296" s="26" t="str">
        <x:v>Woodford</x:v>
      </x:c>
      <x:c r="G296" s="26" t="n">
        <x:v>2004</x:v>
      </x:c>
      <x:c r="H296" s="25" t="str">
        <x:v>Interest and Prices: Foundations of a Theory of Monetary Policy</x:v>
      </x:c>
      <x:c r="I296" s="25" t="str"/>
      <x:c r="J296" s="25" t="str">
        <x:v>exhaustive_title_boundary_audit_2026-09-17</x:v>
      </x:c>
      <x:c r="K296" s="25" t="str">
        <x:v>exhaustive_visual_correction</x:v>
      </x:c>
      <x:c r="L296" s="25" t="str">
        <x:v>corrected</x:v>
      </x:c>
      <x:c r="M296" s="25" t="str">
        <x:v>no</x:v>
      </x:c>
      <x:c r="N296" s="25" t="str">
        <x:v>saki_research/published_papers/bianchi_bigio_banks_liquidity_management_monetary_policy.pdf</x:v>
      </x:c>
      <x:c r="O296" s="25" t="str">
        <x:v>Woodford, M. (2004): Interest and Prices: Foundations of a Theory of Monetary Policy, Princeton University Press.</x:v>
      </x:c>
    </x:row>
    <x:row r="297" ht="48" customHeight="1">
      <x:c r="A297" s="24" t="str">
        <x:v>P12-R001</x:v>
      </x:c>
      <x:c r="B297" s="24" t="str">
        <x:v>P12</x:v>
      </x:c>
      <x:c r="C297" s="26" t="n">
        <x:v>1</x:v>
      </x:c>
      <x:c r="D297" s="26" t="n">
        <x:v>42</x:v>
      </x:c>
      <x:c r="E297" s="26" t="n">
        <x:v>42</x:v>
      </x:c>
      <x:c r="F297" s="26" t="str">
        <x:v>Acharya</x:v>
      </x:c>
      <x:c r="G297" s="26" t="n">
        <x:v>2005</x:v>
      </x:c>
      <x:c r="H297" s="25" t="str">
        <x:v>Assetpricingwithliquidityrisk</x:v>
      </x:c>
      <x:c r="I297" s="25" t="str"/>
      <x:c r="J297" s="25" t="str"/>
      <x:c r="K297" s="25" t="str">
        <x:v>automatic_screen_pass</x:v>
      </x:c>
      <x:c r="L297" s="25" t="str">
        <x:v>accepted</x:v>
      </x:c>
      <x:c r="M297" s="25" t="str">
        <x:v>no</x:v>
      </x:c>
      <x:c r="N297" s="25" t="str">
        <x:v>saki_research/published_papers/bianchi_bigio_portfolio_choice_settlement_frictions_theory_endogenous_convenience_yields.pdf</x:v>
      </x:c>
      <x:c r="O297" s="25" t="str">
        <x:v>Acharya,ViralVandLasseHejePedersen,“Assetpricingwithliquidityrisk,”JournalofFinancial Economics,2005,77(2),375–410.</x:v>
      </x:c>
    </x:row>
    <x:row r="298" ht="48" customHeight="1">
      <x:c r="A298" s="24" t="str">
        <x:v>P12-R002</x:v>
      </x:c>
      <x:c r="B298" s="24" t="str">
        <x:v>P12</x:v>
      </x:c>
      <x:c r="C298" s="26" t="n">
        <x:v>2</x:v>
      </x:c>
      <x:c r="D298" s="26" t="n">
        <x:v>42</x:v>
      </x:c>
      <x:c r="E298" s="26" t="n">
        <x:v>42</x:v>
      </x:c>
      <x:c r="F298" s="26" t="str">
        <x:v>Aczél</x:v>
      </x:c>
      <x:c r="G298" s="26" t="n">
        <x:v>1989</x:v>
      </x:c>
      <x:c r="H298" s="25" t="str">
        <x:v>FunctionalEquationsinSeveralVariables,Vol.31ofEncyclopediaofMathematicsandits Applications</x:v>
      </x:c>
      <x:c r="I298" s="25" t="str"/>
      <x:c r="J298" s="25" t="str">
        <x:v>local_citation_grammar_v3</x:v>
      </x:c>
      <x:c r="K298" s="25" t="str">
        <x:v>automatic_screen_pass</x:v>
      </x:c>
      <x:c r="L298" s="25" t="str">
        <x:v>accepted</x:v>
      </x:c>
      <x:c r="M298" s="25" t="str">
        <x:v>no</x:v>
      </x:c>
      <x:c r="N298" s="25" t="str">
        <x:v>saki_research/published_papers/bianchi_bigio_portfolio_choice_settlement_frictions_theory_endogenous_convenience_yields.pdf</x:v>
      </x:c>
      <x:c r="O298" s="25" t="str">
        <x:v>Aczél,János,FunctionalEquationsinSeveralVariables,Vol.31ofEncyclopediaofMathematicsandits Applications,Cambridge: CambridgeUniversityPress,1989.</x:v>
      </x:c>
    </x:row>
    <x:row r="299" ht="48" customHeight="1">
      <x:c r="A299" s="24" t="str">
        <x:v>P12-R003</x:v>
      </x:c>
      <x:c r="B299" s="24" t="str">
        <x:v>P12</x:v>
      </x:c>
      <x:c r="C299" s="26" t="n">
        <x:v>3</x:v>
      </x:c>
      <x:c r="D299" s="26" t="n">
        <x:v>42</x:v>
      </x:c>
      <x:c r="E299" s="26" t="n">
        <x:v>42</x:v>
      </x:c>
      <x:c r="F299" s="26" t="str">
        <x:v>Afonso</x:v>
      </x:c>
      <x:c r="G299" s="26" t="n">
        <x:v>2015</x:v>
      </x:c>
      <x:c r="H299" s="25" t="str">
        <x:v>The Over-the-Counter Theory of the Fed Funds Market: A Primer</x:v>
      </x:c>
      <x:c r="I299" s="25" t="str"/>
      <x:c r="J299" s="25" t="str"/>
      <x:c r="K299" s="25" t="str">
        <x:v>prior_manual_sample</x:v>
      </x:c>
      <x:c r="L299" s="25" t="str">
        <x:v>accepted</x:v>
      </x:c>
      <x:c r="M299" s="25" t="str">
        <x:v>no</x:v>
      </x:c>
      <x:c r="N299" s="25" t="str">
        <x:v>saki_research/published_papers/bianchi_bigio_portfolio_choice_settlement_frictions_theory_endogenous_convenience_yields.pdf</x:v>
      </x:c>
      <x:c r="O299" s="25" t="str">
        <x:v>Afonso, Gara and Ricardo Lagos, “The Over-the-Counter Theory of the Fed Funds Market: A Primer,”JournalofMoney,CreditandBanking,June2015,47(2),127–154.</x:v>
      </x:c>
    </x:row>
    <x:row r="300" ht="48" customHeight="1">
      <x:c r="A300" s="24" t="str">
        <x:v>P12-R004</x:v>
      </x:c>
      <x:c r="B300" s="24" t="str">
        <x:v>P12</x:v>
      </x:c>
      <x:c r="C300" s="26" t="n">
        <x:v>4</x:v>
      </x:c>
      <x:c r="D300" s="26" t="n">
        <x:v>42</x:v>
      </x:c>
      <x:c r="E300" s="26" t="n">
        <x:v>42</x:v>
      </x:c>
      <x:c r="F300" s="26" t="str">
        <x:v>Afonso</x:v>
      </x:c>
      <x:c r="G300" s="26" t="n">
        <x:v>2015</x:v>
      </x:c>
      <x:c r="H300" s="25" t="str">
        <x:v>TradeDynamicsintheMarketforFederalFunds</x:v>
      </x:c>
      <x:c r="I300" s="25" t="str">
        <x:v>inherited_author_notation</x:v>
      </x:c>
      <x:c r="J300" s="25" t="str"/>
      <x:c r="K300" s="25" t="str">
        <x:v>automatic_screen_pass</x:v>
      </x:c>
      <x:c r="L300" s="25" t="str">
        <x:v>accepted</x:v>
      </x:c>
      <x:c r="M300" s="25" t="str">
        <x:v>no</x:v>
      </x:c>
      <x:c r="N300" s="25" t="str">
        <x:v>saki_research/published_papers/bianchi_bigio_portfolio_choice_settlement_frictions_theory_endogenous_convenience_yields.pdf</x:v>
      </x:c>
      <x:c r="O300" s="25" t="str">
        <x:v>and ,“TradeDynamicsintheMarketforFederalFunds,”Econometrica,2015,83(1),263–313.</x:v>
      </x:c>
    </x:row>
    <x:row r="301" ht="48" customHeight="1">
      <x:c r="A301" s="24" t="str">
        <x:v>P12-R005</x:v>
      </x:c>
      <x:c r="B301" s="24" t="str">
        <x:v>P12</x:v>
      </x:c>
      <x:c r="C301" s="26" t="n">
        <x:v>5</x:v>
      </x:c>
      <x:c r="D301" s="26" t="n">
        <x:v>42</x:v>
      </x:c>
      <x:c r="E301" s="26" t="n">
        <x:v>42</x:v>
      </x:c>
      <x:c r="F301" s="26" t="str">
        <x:v>Afonso</x:v>
      </x:c>
      <x:c r="G301" s="26" t="n">
        <x:v>2026</x:v>
      </x:c>
      <x:c r="H301" s="25" t="str">
        <x:v>The Optimal Supply of CentralBankReservesunderUncertainty</x:v>
      </x:c>
      <x:c r="I301" s="25" t="str">
        <x:v>inherited_author_notation</x:v>
      </x:c>
      <x:c r="J301" s="25" t="str"/>
      <x:c r="K301" s="25" t="str">
        <x:v>automatic_screen_pass</x:v>
      </x:c>
      <x:c r="L301" s="25" t="str">
        <x:v>accepted</x:v>
      </x:c>
      <x:c r="M301" s="25" t="str">
        <x:v>no</x:v>
      </x:c>
      <x:c r="N301" s="25" t="str">
        <x:v>saki_research/published_papers/bianchi_bigio_portfolio_choice_settlement_frictions_theory_endogenous_convenience_yields.pdf</x:v>
      </x:c>
      <x:c r="O301" s="25" t="str">
        <x:v>Gabriele La Spada, Thomas M. Mertens, and John C. Williams, “The Optimal Supply of CentralBankReservesunderUncertainty,”2026.</x:v>
      </x:c>
    </x:row>
    <x:row r="302" ht="48" customHeight="1">
      <x:c r="A302" s="24" t="str">
        <x:v>P12-R006</x:v>
      </x:c>
      <x:c r="B302" s="24" t="str">
        <x:v>P12</x:v>
      </x:c>
      <x:c r="C302" s="26" t="n">
        <x:v>6</x:v>
      </x:c>
      <x:c r="D302" s="26" t="n">
        <x:v>42</x:v>
      </x:c>
      <x:c r="E302" s="26" t="n">
        <x:v>42</x:v>
      </x:c>
      <x:c r="F302" s="26" t="str">
        <x:v>Amador</x:v>
      </x:c>
      <x:c r="G302" s="26" t="n">
        <x:v>2024</x:v>
      </x:c>
      <x:c r="H302" s="25" t="str">
        <x:v>Bankruns,fragility,andregulation</x:v>
      </x:c>
      <x:c r="I302" s="25" t="str"/>
      <x:c r="J302" s="25" t="str"/>
      <x:c r="K302" s="25" t="str">
        <x:v>prior_manual_sample</x:v>
      </x:c>
      <x:c r="L302" s="25" t="str">
        <x:v>accepted</x:v>
      </x:c>
      <x:c r="M302" s="25" t="str">
        <x:v>no</x:v>
      </x:c>
      <x:c r="N302" s="25" t="str">
        <x:v>saki_research/published_papers/bianchi_bigio_portfolio_choice_settlement_frictions_theory_endogenous_convenience_yields.pdf</x:v>
      </x:c>
      <x:c r="O302" s="25" t="str">
        <x:v>Amador,ManuelandJavierBianchi,“Bankruns,fragility,andregulation,”2024. NBERWorking PaperNo.32341.</x:v>
      </x:c>
    </x:row>
    <x:row r="303" ht="48" customHeight="1">
      <x:c r="A303" s="24" t="str">
        <x:v>P12-R007</x:v>
      </x:c>
      <x:c r="B303" s="24" t="str">
        <x:v>P12</x:v>
      </x:c>
      <x:c r="C303" s="26" t="n">
        <x:v>7</x:v>
      </x:c>
      <x:c r="D303" s="26" t="n">
        <x:v>42</x:v>
      </x:c>
      <x:c r="E303" s="26" t="n">
        <x:v>42</x:v>
      </x:c>
      <x:c r="F303" s="26" t="str">
        <x:v>Arce</x:v>
      </x:c>
      <x:c r="G303" s="26" t="n">
        <x:v>2019</x:v>
      </x:c>
      <x:c r="H303" s="25" t="str">
        <x:v>ALargeCentralBankBalance Sheet? Floor vs Corridor Systems in a New Keynesian Environment</x:v>
      </x:c>
      <x:c r="I303" s="25" t="str"/>
      <x:c r="J303" s="25" t="str"/>
      <x:c r="K303" s="25" t="str">
        <x:v>automatic_screen_pass</x:v>
      </x:c>
      <x:c r="L303" s="25" t="str">
        <x:v>accepted</x:v>
      </x:c>
      <x:c r="M303" s="25" t="str">
        <x:v>no</x:v>
      </x:c>
      <x:c r="N303" s="25" t="str">
        <x:v>saki_research/published_papers/bianchi_bigio_portfolio_choice_settlement_frictions_theory_endogenous_convenience_yields.pdf</x:v>
      </x:c>
      <x:c r="O303" s="25" t="str">
        <x:v>Arce,Óscar,GaloNuño,DominikThaler,andCarlosThomas,“ALargeCentralBankBalance Sheet? Floor vs Corridor Systems in a New Keynesian Environment,” Journal of Monetary Economics,2019.</x:v>
      </x:c>
    </x:row>
    <x:row r="304" ht="48" customHeight="1">
      <x:c r="A304" s="24" t="str">
        <x:v>P12-R008</x:v>
      </x:c>
      <x:c r="B304" s="24" t="str">
        <x:v>P12</x:v>
      </x:c>
      <x:c r="C304" s="26" t="n">
        <x:v>8</x:v>
      </x:c>
      <x:c r="D304" s="26" t="n">
        <x:v>42</x:v>
      </x:c>
      <x:c r="E304" s="26" t="n">
        <x:v>42</x:v>
      </x:c>
      <x:c r="F304" s="26" t="str">
        <x:v>Arseneau</x:v>
      </x:c>
      <x:c r="G304" s="26" t="n">
        <x:v>2020</x:v>
      </x:c>
      <x:c r="H304" s="25" t="str">
        <x:v>Privateandpublicliquidity provisioninover-the-countermarkets</x:v>
      </x:c>
      <x:c r="I304" s="25" t="str"/>
      <x:c r="J304" s="25" t="str"/>
      <x:c r="K304" s="25" t="str">
        <x:v>automatic_screen_pass</x:v>
      </x:c>
      <x:c r="L304" s="25" t="str">
        <x:v>accepted</x:v>
      </x:c>
      <x:c r="M304" s="25" t="str">
        <x:v>no</x:v>
      </x:c>
      <x:c r="N304" s="25" t="str">
        <x:v>saki_research/published_papers/bianchi_bigio_portfolio_choice_settlement_frictions_theory_endogenous_convenience_yields.pdf</x:v>
      </x:c>
      <x:c r="O304" s="25" t="str">
        <x:v>Arseneau,David,DavidRappoport,andAlexandrosVardoulakis,“Privateandpublicliquidity provisioninover-the-countermarkets,”TheoreticalEconomics,2020,15(4),1669–1712.</x:v>
      </x:c>
    </x:row>
    <x:row r="305" ht="48" customHeight="1">
      <x:c r="A305" s="24" t="str">
        <x:v>P12-R009</x:v>
      </x:c>
      <x:c r="B305" s="24" t="str">
        <x:v>P12</x:v>
      </x:c>
      <x:c r="C305" s="26" t="n">
        <x:v>9</x:v>
      </x:c>
      <x:c r="D305" s="26" t="n">
        <x:v>42</x:v>
      </x:c>
      <x:c r="E305" s="26" t="n">
        <x:v>42</x:v>
      </x:c>
      <x:c r="F305" s="26" t="str">
        <x:v>Atkeson</x:v>
      </x:c>
      <x:c r="G305" s="26" t="n">
        <x:v>2015</x:v>
      </x:c>
      <x:c r="H305" s="25" t="str">
        <x:v>Entry and Exit in OTC DerivativesMarkets</x:v>
      </x:c>
      <x:c r="I305" s="25" t="str"/>
      <x:c r="J305" s="25" t="str"/>
      <x:c r="K305" s="25" t="str">
        <x:v>automatic_screen_pass</x:v>
      </x:c>
      <x:c r="L305" s="25" t="str">
        <x:v>accepted</x:v>
      </x:c>
      <x:c r="M305" s="25" t="str">
        <x:v>no</x:v>
      </x:c>
      <x:c r="N305" s="25" t="str">
        <x:v>saki_research/published_papers/bianchi_bigio_portfolio_choice_settlement_frictions_theory_endogenous_convenience_yields.pdf</x:v>
      </x:c>
      <x:c r="O305" s="25" t="str">
        <x:v>Atkeson, Andrew G., Andrea L. Eisfeldt, and Pierre-Olivier Weill, “Entry and Exit in OTC DerivativesMarkets,”Econometrica,2015,83(6),2231–2292.</x:v>
      </x:c>
    </x:row>
    <x:row r="306" ht="48" customHeight="1">
      <x:c r="A306" s="24" t="str">
        <x:v>P12-R010</x:v>
      </x:c>
      <x:c r="B306" s="24" t="str">
        <x:v>P12</x:v>
      </x:c>
      <x:c r="C306" s="26" t="n">
        <x:v>10</x:v>
      </x:c>
      <x:c r="D306" s="26" t="n">
        <x:v>43</x:v>
      </x:c>
      <x:c r="E306" s="26" t="n">
        <x:v>43</x:v>
      </x:c>
      <x:c r="F306" s="26" t="str">
        <x:v>Basak</x:v>
      </x:c>
      <x:c r="G306" s="26" t="n">
        <x:v>1998</x:v>
      </x:c>
      <x:c r="H306" s="25" t="str">
        <x:v>An Equilibrium Model with Restricted Stock Market Participation</x:v>
      </x:c>
      <x:c r="I306" s="25" t="str"/>
      <x:c r="J306" s="25" t="str"/>
      <x:c r="K306" s="25" t="str">
        <x:v>automatic_screen_pass</x:v>
      </x:c>
      <x:c r="L306" s="25" t="str">
        <x:v>accepted</x:v>
      </x:c>
      <x:c r="M306" s="25" t="str">
        <x:v>no</x:v>
      </x:c>
      <x:c r="N306" s="25" t="str">
        <x:v>saki_research/published_papers/bianchi_bigio_portfolio_choice_settlement_frictions_theory_endogenous_convenience_yields.pdf</x:v>
      </x:c>
      <x:c r="O306" s="25" t="str">
        <x:v>Basak, Suleyman and Domenico Cuoco, “An Equilibrium Model with Restricted Stock Market Participation,”ReviewofFinancialStudies,1998,11(2),309–341.</x:v>
      </x:c>
    </x:row>
    <x:row r="307" ht="48" customHeight="1">
      <x:c r="A307" s="24" t="str">
        <x:v>P12-R011</x:v>
      </x:c>
      <x:c r="B307" s="24" t="str">
        <x:v>P12</x:v>
      </x:c>
      <x:c r="C307" s="26" t="n">
        <x:v>11</x:v>
      </x:c>
      <x:c r="D307" s="26" t="n">
        <x:v>43</x:v>
      </x:c>
      <x:c r="E307" s="26" t="n">
        <x:v>43</x:v>
      </x:c>
      <x:c r="F307" s="26" t="str">
        <x:v>Bech</x:v>
      </x:c>
      <x:c r="G307" s="26" t="n">
        <x:v>2010</x:v>
      </x:c>
      <x:c r="H307" s="25" t="str">
        <x:v>Thetopologyofthefederalfundsmarket</x:v>
      </x:c>
      <x:c r="I307" s="25" t="str"/>
      <x:c r="J307" s="25" t="str"/>
      <x:c r="K307" s="25" t="str">
        <x:v>automatic_screen_pass</x:v>
      </x:c>
      <x:c r="L307" s="25" t="str">
        <x:v>accepted</x:v>
      </x:c>
      <x:c r="M307" s="25" t="str">
        <x:v>no</x:v>
      </x:c>
      <x:c r="N307" s="25" t="str">
        <x:v>saki_research/published_papers/bianchi_bigio_portfolio_choice_settlement_frictions_theory_endogenous_convenience_yields.pdf</x:v>
      </x:c>
      <x:c r="O307" s="25" t="str">
        <x:v>Bech,MortenL.andEnghinAtalay,“Thetopologyofthefederalfundsmarket,”PhysicaA:StatisticalMechanicsanditsApplications,2010,389(22),5223–5246.</x:v>
      </x:c>
    </x:row>
    <x:row r="308" ht="48" customHeight="1">
      <x:c r="A308" s="24" t="str">
        <x:v>P12-R012</x:v>
      </x:c>
      <x:c r="B308" s="24" t="str">
        <x:v>P12</x:v>
      </x:c>
      <x:c r="C308" s="26" t="n">
        <x:v>12</x:v>
      </x:c>
      <x:c r="D308" s="26" t="n">
        <x:v>43</x:v>
      </x:c>
      <x:c r="E308" s="26" t="n">
        <x:v>43</x:v>
      </x:c>
      <x:c r="F308" s="26" t="str">
        <x:v>Bhattacharya</x:v>
      </x:c>
      <x:c r="G308" s="26" t="n">
        <x:v>1987</x:v>
      </x:c>
      <x:c r="H308" s="25" t="str">
        <x:v>PreferenceShocks, Liquidity, andCentralBankPolicy</x:v>
      </x:c>
      <x:c r="I308" s="25" t="str"/>
      <x:c r="J308" s="25" t="str"/>
      <x:c r="K308" s="25" t="str">
        <x:v>automatic_screen_pass</x:v>
      </x:c>
      <x:c r="L308" s="25" t="str">
        <x:v>accepted</x:v>
      </x:c>
      <x:c r="M308" s="25" t="str">
        <x:v>no</x:v>
      </x:c>
      <x:c r="N308" s="25" t="str">
        <x:v>saki_research/published_papers/bianchi_bigio_portfolio_choice_settlement_frictions_theory_endogenous_convenience_yields.pdf</x:v>
      </x:c>
      <x:c r="O308" s="25" t="str">
        <x:v>Bhattacharya, SudiptoandDouglasGale, “PreferenceShocks, Liquidity, andCentralBankPolicy,”inWilliamA.BarnettandKennethJ.Singleton,eds.,NewApproachestoMonetaryEconomics, Cambridge: CambridgeUniversityPress,1987,pp.69–88.</x:v>
      </x:c>
    </x:row>
    <x:row r="309" ht="48" customHeight="1">
      <x:c r="A309" s="24" t="str">
        <x:v>P12-R013</x:v>
      </x:c>
      <x:c r="B309" s="24" t="str">
        <x:v>P12</x:v>
      </x:c>
      <x:c r="C309" s="26" t="n">
        <x:v>13</x:v>
      </x:c>
      <x:c r="D309" s="26" t="n">
        <x:v>43</x:v>
      </x:c>
      <x:c r="E309" s="26" t="n">
        <x:v>43</x:v>
      </x:c>
      <x:c r="F309" s="26" t="str">
        <x:v>Bianchi</x:v>
      </x:c>
      <x:c r="G309" s="26" t="n">
        <x:v>2011</x:v>
      </x:c>
      <x:c r="H309" s="25" t="str">
        <x:v>Overborrowing and systemic externalities in the business cycle</x:v>
      </x:c>
      <x:c r="I309" s="25" t="str"/>
      <x:c r="J309" s="25" t="str"/>
      <x:c r="K309" s="25" t="str">
        <x:v>automatic_screen_pass</x:v>
      </x:c>
      <x:c r="L309" s="25" t="str">
        <x:v>accepted</x:v>
      </x:c>
      <x:c r="M309" s="25" t="str">
        <x:v>no</x:v>
      </x:c>
      <x:c r="N309" s="25" t="str">
        <x:v>saki_research/published_papers/bianchi_bigio_portfolio_choice_settlement_frictions_theory_endogenous_convenience_yields.pdf</x:v>
      </x:c>
      <x:c r="O309" s="25" t="str">
        <x:v>Bianchi, Javier, “Overborrowing and systemic externalities in the business cycle,” American EconomicReview,2011,101(7),3400–3426.</x:v>
      </x:c>
    </x:row>
    <x:row r="310" ht="48" customHeight="1">
      <x:c r="A310" s="24" t="str">
        <x:v>P12-R014</x:v>
      </x:c>
      <x:c r="B310" s="24" t="str">
        <x:v>P12</x:v>
      </x:c>
      <x:c r="C310" s="26" t="n">
        <x:v>14</x:v>
      </x:c>
      <x:c r="D310" s="26" t="n">
        <x:v>43</x:v>
      </x:c>
      <x:c r="E310" s="26" t="n">
        <x:v>43</x:v>
      </x:c>
      <x:c r="F310" s="26" t="str">
        <x:v>Bianchi</x:v>
      </x:c>
      <x:c r="G310" s="26" t="n">
        <x:v>2022</x:v>
      </x:c>
      <x:c r="H310" s="25" t="str">
        <x:v>Banks,liquiditymanagement,andmonetarypolicy</x:v>
      </x:c>
      <x:c r="I310" s="25" t="str"/>
      <x:c r="J310" s="25" t="str"/>
      <x:c r="K310" s="25" t="str">
        <x:v>prior_manual_sample</x:v>
      </x:c>
      <x:c r="L310" s="25" t="str">
        <x:v>accepted</x:v>
      </x:c>
      <x:c r="M310" s="25" t="str">
        <x:v>no</x:v>
      </x:c>
      <x:c r="N310" s="25" t="str">
        <x:v>saki_research/published_papers/bianchi_bigio_portfolio_choice_settlement_frictions_theory_endogenous_convenience_yields.pdf</x:v>
      </x:c>
      <x:c r="O310" s="25" t="str">
        <x:v>andSakiBigio,“Banks,liquiditymanagement,andmonetarypolicy,”Econometrica,2022,90(1), 391–454.</x:v>
      </x:c>
    </x:row>
    <x:row r="311" ht="48" customHeight="1">
      <x:c r="A311" s="24" t="str">
        <x:v>P12-R015</x:v>
      </x:c>
      <x:c r="B311" s="24" t="str">
        <x:v>P12</x:v>
      </x:c>
      <x:c r="C311" s="26" t="n">
        <x:v>15</x:v>
      </x:c>
      <x:c r="D311" s="26" t="n">
        <x:v>43</x:v>
      </x:c>
      <x:c r="E311" s="26" t="n">
        <x:v>43</x:v>
      </x:c>
      <x:c r="F311" s="26" t="str">
        <x:v>Bianchi</x:v>
      </x:c>
      <x:c r="G311" s="26" t="n">
        <x:v>2023</x:v>
      </x:c>
      <x:c r="H311" s="25" t="str">
        <x:v>ScramblingforDollars: InternationalLiquidity, BanksandExchange Rates</x:v>
      </x:c>
      <x:c r="I311" s="25" t="str">
        <x:v>inherited_author_notation</x:v>
      </x:c>
      <x:c r="J311" s="25" t="str">
        <x:v>exhaustive_ai_audit_2026-09-17</x:v>
      </x:c>
      <x:c r="K311" s="25" t="str">
        <x:v>exhaustive_visual_correction</x:v>
      </x:c>
      <x:c r="L311" s="25" t="str">
        <x:v>corrected</x:v>
      </x:c>
      <x:c r="M311" s="25" t="str">
        <x:v>no</x:v>
      </x:c>
      <x:c r="N311" s="25" t="str">
        <x:v>saki_research/published_papers/bianchi_bigio_portfolio_choice_settlement_frictions_theory_endogenous_convenience_yields.pdf</x:v>
      </x:c>
      <x:c r="O311" s="25" t="str">
        <x:v>, , andCharlesEngel, “ScramblingforDollars: InternationalLiquidity, BanksandExchange Rates,”2023. Mimeo,MinneapolisFed.</x:v>
      </x:c>
    </x:row>
    <x:row r="312" ht="48" customHeight="1">
      <x:c r="A312" s="24" t="str">
        <x:v>P12-R016</x:v>
      </x:c>
      <x:c r="B312" s="24" t="str">
        <x:v>P12</x:v>
      </x:c>
      <x:c r="C312" s="26" t="n">
        <x:v>16</x:v>
      </x:c>
      <x:c r="D312" s="26" t="n">
        <x:v>43</x:v>
      </x:c>
      <x:c r="E312" s="26" t="n">
        <x:v>43</x:v>
      </x:c>
      <x:c r="F312" s="26" t="str">
        <x:v>Bigio</x:v>
      </x:c>
      <x:c r="G312" s="26" t="n">
        <x:v>2019</x:v>
      </x:c>
      <x:c r="H312" s="25" t="str">
        <x:v>AModelofIntermediation, Money, Interest, andPrices</x:v>
      </x:c>
      <x:c r="I312" s="25" t="str"/>
      <x:c r="J312" s="25" t="str"/>
      <x:c r="K312" s="25" t="str">
        <x:v>automatic_screen_pass</x:v>
      </x:c>
      <x:c r="L312" s="25" t="str">
        <x:v>accepted</x:v>
      </x:c>
      <x:c r="M312" s="25" t="str">
        <x:v>no</x:v>
      </x:c>
      <x:c r="N312" s="25" t="str">
        <x:v>saki_research/published_papers/bianchi_bigio_portfolio_choice_settlement_frictions_theory_endogenous_convenience_yields.pdf</x:v>
      </x:c>
      <x:c r="O312" s="25" t="str">
        <x:v>Bigio, SakiandYuliySannikov, “AModelofIntermediation, Money, Interest, andPrices,” 2019. UnpublishedManuscript.</x:v>
      </x:c>
    </x:row>
    <x:row r="313" ht="48" customHeight="1">
      <x:c r="A313" s="24" t="str">
        <x:v>P12-R017</x:v>
      </x:c>
      <x:c r="B313" s="24" t="str">
        <x:v>P12</x:v>
      </x:c>
      <x:c r="C313" s="26" t="n">
        <x:v>17</x:v>
      </x:c>
      <x:c r="D313" s="26" t="n">
        <x:v>43</x:v>
      </x:c>
      <x:c r="E313" s="26" t="n">
        <x:v>43</x:v>
      </x:c>
      <x:c r="F313" s="26" t="str">
        <x:v>Bittner</x:v>
      </x:c>
      <x:c r="G313" s="26" t="n">
        <x:v>2025</x:v>
      </x:c>
      <x:c r="H313" s="25" t="str">
        <x:v>Assortativematching,interbankmarkets, andmonetarypolicy</x:v>
      </x:c>
      <x:c r="I313" s="25" t="str"/>
      <x:c r="J313" s="25" t="str"/>
      <x:c r="K313" s="25" t="str">
        <x:v>automatic_screen_pass</x:v>
      </x:c>
      <x:c r="L313" s="25" t="str">
        <x:v>accepted</x:v>
      </x:c>
      <x:c r="M313" s="25" t="str">
        <x:v>no</x:v>
      </x:c>
      <x:c r="N313" s="25" t="str">
        <x:v>saki_research/published_papers/bianchi_bigio_portfolio_choice_settlement_frictions_theory_endogenous_convenience_yields.pdf</x:v>
      </x:c>
      <x:c r="O313" s="25" t="str">
        <x:v>Bittner,Christian,RustamJamilov,andFarzadSaidi,“Assortativematching,interbankmarkets, andmonetarypolicy,”TechnicalReport,ECONtributeDiscussionPaper2025.</x:v>
      </x:c>
    </x:row>
    <x:row r="314" ht="48" customHeight="1">
      <x:c r="A314" s="24" t="str">
        <x:v>P12-R018</x:v>
      </x:c>
      <x:c r="B314" s="24" t="str">
        <x:v>P12</x:v>
      </x:c>
      <x:c r="C314" s="26" t="n">
        <x:v>18</x:v>
      </x:c>
      <x:c r="D314" s="26" t="n">
        <x:v>43</x:v>
      </x:c>
      <x:c r="E314" s="26" t="n">
        <x:v>43</x:v>
      </x:c>
      <x:c r="F314" s="26" t="str">
        <x:v>Burai</x:v>
      </x:c>
      <x:c r="G314" s="26" t="n">
        <x:v>2021</x:v>
      </x:c>
      <x:c r="H314" s="25" t="str">
        <x:v>Characterizationofquasi-arithmeticmeanswithoutregularitycondition</x:v>
      </x:c>
      <x:c r="I314" s="25" t="str"/>
      <x:c r="J314" s="25" t="str"/>
      <x:c r="K314" s="25" t="str">
        <x:v>automatic_screen_pass</x:v>
      </x:c>
      <x:c r="L314" s="25" t="str">
        <x:v>accepted</x:v>
      </x:c>
      <x:c r="M314" s="25" t="str">
        <x:v>no</x:v>
      </x:c>
      <x:c r="N314" s="25" t="str">
        <x:v>saki_research/published_papers/bianchi_bigio_portfolio_choice_settlement_frictions_theory_endogenous_convenience_yields.pdf</x:v>
      </x:c>
      <x:c r="O314" s="25" t="str">
        <x:v>Burai,Pál,GergelyKiss,andPatriciaSzokol,“Characterizationofquasi-arithmeticmeanswithoutregularitycondition,”ActaMathematicaHungarica,2021,165,474–485.</x:v>
      </x:c>
    </x:row>
    <x:row r="315" ht="48" customHeight="1">
      <x:c r="A315" s="24" t="str">
        <x:v>P12-R019</x:v>
      </x:c>
      <x:c r="B315" s="24" t="str">
        <x:v>P12</x:v>
      </x:c>
      <x:c r="C315" s="26" t="n">
        <x:v>19</x:v>
      </x:c>
      <x:c r="D315" s="26" t="n">
        <x:v>43</x:v>
      </x:c>
      <x:c r="E315" s="26" t="n">
        <x:v>43</x:v>
      </x:c>
      <x:c r="F315" s="26" t="str">
        <x:v>Caballero</x:v>
      </x:c>
      <x:c r="G315" s="26" t="n">
        <x:v>2001</x:v>
      </x:c>
      <x:c r="H315" s="25" t="str">
        <x:v>International and domestic collateral constraints in a model of emerging market crises</x:v>
      </x:c>
      <x:c r="I315" s="25" t="str"/>
      <x:c r="J315" s="25" t="str"/>
      <x:c r="K315" s="25" t="str">
        <x:v>automatic_screen_pass</x:v>
      </x:c>
      <x:c r="L315" s="25" t="str">
        <x:v>accepted</x:v>
      </x:c>
      <x:c r="M315" s="25" t="str">
        <x:v>no</x:v>
      </x:c>
      <x:c r="N315" s="25" t="str">
        <x:v>saki_research/published_papers/bianchi_bigio_portfolio_choice_settlement_frictions_theory_endogenous_convenience_yields.pdf</x:v>
      </x:c>
      <x:c r="O315" s="25" t="str">
        <x:v>Caballero, Ricardo J and Arvind Krishnamurthy, “International and domestic collateral constraints in a model of emerging market crises,” Journal of monetary Economics, 2001, 48 (3), 513– 548.</x:v>
      </x:c>
    </x:row>
    <x:row r="316" ht="48" customHeight="1">
      <x:c r="A316" s="24" t="str">
        <x:v>P12-R020</x:v>
      </x:c>
      <x:c r="B316" s="24" t="str">
        <x:v>P12</x:v>
      </x:c>
      <x:c r="C316" s="26" t="n">
        <x:v>20</x:v>
      </x:c>
      <x:c r="D316" s="26" t="n">
        <x:v>43</x:v>
      </x:c>
      <x:c r="E316" s="26" t="n">
        <x:v>43</x:v>
      </x:c>
      <x:c r="F316" s="26" t="str">
        <x:v>Constantinides</x:v>
      </x:c>
      <x:c r="G316" s="26" t="n">
        <x:v>1986</x:v>
      </x:c>
      <x:c r="H316" s="25" t="str">
        <x:v>CapitalMarketEquilibriumwithTransactionCosts</x:v>
      </x:c>
      <x:c r="I316" s="25" t="str"/>
      <x:c r="J316" s="25" t="str"/>
      <x:c r="K316" s="25" t="str">
        <x:v>prior_manual_sample</x:v>
      </x:c>
      <x:c r="L316" s="25" t="str">
        <x:v>accepted</x:v>
      </x:c>
      <x:c r="M316" s="25" t="str">
        <x:v>no</x:v>
      </x:c>
      <x:c r="N316" s="25" t="str">
        <x:v>saki_research/published_papers/bianchi_bigio_portfolio_choice_settlement_frictions_theory_endogenous_convenience_yields.pdf</x:v>
      </x:c>
      <x:c r="O316" s="25" t="str">
        <x:v>Constantinides,GeorgeM.,“CapitalMarketEquilibriumwithTransactionCosts,”JournalofPoliticalEconomy,1986,94,842–862.</x:v>
      </x:c>
    </x:row>
    <x:row r="317" ht="48" customHeight="1">
      <x:c r="A317" s="24" t="str">
        <x:v>P12-R021</x:v>
      </x:c>
      <x:c r="B317" s="24" t="str">
        <x:v>P12</x:v>
      </x:c>
      <x:c r="C317" s="26" t="n">
        <x:v>21</x:v>
      </x:c>
      <x:c r="D317" s="26" t="n">
        <x:v>43</x:v>
      </x:c>
      <x:c r="E317" s="26" t="n">
        <x:v>43</x:v>
      </x:c>
      <x:c r="F317" s="26" t="str">
        <x:v>Constantinides</x:v>
      </x:c>
      <x:c r="G317" s="26" t="n">
        <x:v>1996</x:v>
      </x:c>
      <x:c r="H317" s="25" t="str">
        <x:v>AssetPricingwithHeterogeneousConsumers</x:v>
      </x:c>
      <x:c r="I317" s="25" t="str">
        <x:v>inherited_author_notation</x:v>
      </x:c>
      <x:c r="J317" s="25" t="str">
        <x:v>exhaustive_ai_audit_2026-09-17</x:v>
      </x:c>
      <x:c r="K317" s="25" t="str">
        <x:v>exhaustive_visual_correction</x:v>
      </x:c>
      <x:c r="L317" s="25" t="str">
        <x:v>corrected</x:v>
      </x:c>
      <x:c r="M317" s="25" t="str">
        <x:v>no</x:v>
      </x:c>
      <x:c r="N317" s="25" t="str">
        <x:v>saki_research/published_papers/bianchi_bigio_portfolio_choice_settlement_frictions_theory_endogenous_convenience_yields.pdf</x:v>
      </x:c>
      <x:c r="O317" s="25" t="str">
        <x:v>andDarrellDuffie,“AssetPricingwithHeterogeneousConsumers,”JournalofPoliticalEconomy, 1996,104(2),219–240.</x:v>
      </x:c>
    </x:row>
    <x:row r="318" ht="48" customHeight="1">
      <x:c r="A318" s="24" t="str">
        <x:v>P12-R022</x:v>
      </x:c>
      <x:c r="B318" s="24" t="str">
        <x:v>P12</x:v>
      </x:c>
      <x:c r="C318" s="26" t="n">
        <x:v>22</x:v>
      </x:c>
      <x:c r="D318" s="26" t="n">
        <x:v>43</x:v>
      </x:c>
      <x:c r="E318" s="26" t="n">
        <x:v>43</x:v>
      </x:c>
      <x:c r="F318" s="26" t="str">
        <x:v>Dávila</x:v>
      </x:c>
      <x:c r="G318" s="26" t="n">
        <x:v>2018</x:v>
      </x:c>
      <x:c r="H318" s="25" t="str">
        <x:v>Pecuniary externalities in economies with financial frictions</x:v>
      </x:c>
      <x:c r="I318" s="25" t="str"/>
      <x:c r="J318" s="25" t="str"/>
      <x:c r="K318" s="25" t="str">
        <x:v>automatic_screen_pass</x:v>
      </x:c>
      <x:c r="L318" s="25" t="str">
        <x:v>accepted</x:v>
      </x:c>
      <x:c r="M318" s="25" t="str">
        <x:v>no</x:v>
      </x:c>
      <x:c r="N318" s="25" t="str">
        <x:v>saki_research/published_papers/bianchi_bigio_portfolio_choice_settlement_frictions_theory_endogenous_convenience_yields.pdf</x:v>
      </x:c>
      <x:c r="O318" s="25" t="str">
        <x:v>Dávila, Eduardo and Anton Korinek, “Pecuniary externalities in economies with financial frictions,”ReviewofEconomicStudies,2018,85(1),352–395.</x:v>
      </x:c>
    </x:row>
    <x:row r="319" ht="48" customHeight="1">
      <x:c r="A319" s="24" t="str">
        <x:v>P12-R023</x:v>
      </x:c>
      <x:c r="B319" s="24" t="str">
        <x:v>P12</x:v>
      </x:c>
      <x:c r="C319" s="26" t="n">
        <x:v>23</x:v>
      </x:c>
      <x:c r="D319" s="26" t="n">
        <x:v>43</x:v>
      </x:c>
      <x:c r="E319" s="26" t="n">
        <x:v>43</x:v>
      </x:c>
      <x:c r="F319" s="26" t="str">
        <x:v>DeFiore</x:v>
      </x:c>
      <x:c r="G319" s="26" t="n">
        <x:v>2018</x:v>
      </x:c>
      <x:c r="H319" s="25" t="str">
        <x:v>MoneyMarkets,CollateralandMonetary Policy</x:v>
      </x:c>
      <x:c r="I319" s="25" t="str"/>
      <x:c r="J319" s="25" t="str"/>
      <x:c r="K319" s="25" t="str">
        <x:v>automatic_screen_pass</x:v>
      </x:c>
      <x:c r="L319" s="25" t="str">
        <x:v>accepted</x:v>
      </x:c>
      <x:c r="M319" s="25" t="str">
        <x:v>no</x:v>
      </x:c>
      <x:c r="N319" s="25" t="str">
        <x:v>saki_research/published_papers/bianchi_bigio_portfolio_choice_settlement_frictions_theory_endogenous_convenience_yields.pdf</x:v>
      </x:c>
      <x:c r="O319" s="25" t="str">
        <x:v>DeFiore,Fiorella,MarieHoerova,andHaraldUhlig,“MoneyMarkets,CollateralandMonetary Policy,”2018. NBERWorkingPaper25319.</x:v>
      </x:c>
    </x:row>
    <x:row r="320" ht="48" customHeight="1">
      <x:c r="A320" s="24" t="str">
        <x:v>P12-R024</x:v>
      </x:c>
      <x:c r="B320" s="24" t="str">
        <x:v>P12</x:v>
      </x:c>
      <x:c r="C320" s="26" t="n">
        <x:v>24</x:v>
      </x:c>
      <x:c r="D320" s="26" t="n">
        <x:v>43</x:v>
      </x:c>
      <x:c r="E320" s="26" t="n">
        <x:v>43</x:v>
      </x:c>
      <x:c r="F320" s="26" t="str">
        <x:v>Duffie</x:v>
      </x:c>
      <x:c r="G320" s="26" t="n">
        <x:v>2005</x:v>
      </x:c>
      <x:c r="H320" s="25" t="str">
        <x:v>Over-the-Counter Markets</x:v>
      </x:c>
      <x:c r="I320" s="25" t="str"/>
      <x:c r="J320" s="25" t="str"/>
      <x:c r="K320" s="25" t="str">
        <x:v>exhaustive_visual_multiwork_pattern_accepted</x:v>
      </x:c>
      <x:c r="L320" s="25" t="str">
        <x:v>accepted</x:v>
      </x:c>
      <x:c r="M320" s="25" t="str">
        <x:v>sí</x:v>
      </x:c>
      <x:c r="N320" s="25" t="str">
        <x:v>saki_research/published_papers/bianchi_bigio_portfolio_choice_settlement_frictions_theory_endogenous_convenience_yields.pdf</x:v>
      </x:c>
      <x:c r="O320" s="25" t="str">
        <x:v>Duffie, Darrell, Nicolae Garleanu, and Lasse Heje Pedersen, “Over-the-Counter Markets,” Econometrica,2005,73(6),1815–1847.</x:v>
      </x:c>
    </x:row>
    <x:row r="321" ht="48" customHeight="1">
      <x:c r="A321" s="24" t="str">
        <x:v>P12-R025</x:v>
      </x:c>
      <x:c r="B321" s="24" t="str">
        <x:v>P12</x:v>
      </x:c>
      <x:c r="C321" s="26" t="n">
        <x:v>25</x:v>
      </x:c>
      <x:c r="D321" s="26" t="n">
        <x:v>43</x:v>
      </x:c>
      <x:c r="E321" s="26" t="n">
        <x:v>43</x:v>
      </x:c>
      <x:c r="F321" s="26" t="str">
        <x:v>Farhi</x:v>
      </x:c>
      <x:c r="G321" s="26" t="n">
        <x:v>2009</x:v>
      </x:c>
      <x:c r="H321" s="25" t="str">
        <x:v>ATheoryofLiquidityandRegulation ofFinancialIntermediation</x:v>
      </x:c>
      <x:c r="I321" s="25" t="str"/>
      <x:c r="J321" s="25" t="str"/>
      <x:c r="K321" s="25" t="str">
        <x:v>prior_manual_sample</x:v>
      </x:c>
      <x:c r="L321" s="25" t="str">
        <x:v>accepted</x:v>
      </x:c>
      <x:c r="M321" s="25" t="str">
        <x:v>no</x:v>
      </x:c>
      <x:c r="N321" s="25" t="str">
        <x:v>saki_research/published_papers/bianchi_bigio_portfolio_choice_settlement_frictions_theory_endogenous_convenience_yields.pdf</x:v>
      </x:c>
      <x:c r="O321" s="25" t="str">
        <x:v>Farhi,Emmanuel,MikhailGolosov,andAlehTsyvinski,“ATheoryofLiquidityandRegulation ofFinancialIntermediation,”ReviewofEconomicStudies,2009,76(3),973–992.</x:v>
      </x:c>
    </x:row>
    <x:row r="322" ht="48" customHeight="1">
      <x:c r="A322" s="24" t="str">
        <x:v>P12-R026</x:v>
      </x:c>
      <x:c r="B322" s="24" t="str">
        <x:v>P12</x:v>
      </x:c>
      <x:c r="C322" s="26" t="n">
        <x:v>26</x:v>
      </x:c>
      <x:c r="D322" s="26" t="n">
        <x:v>44</x:v>
      </x:c>
      <x:c r="E322" s="26" t="n">
        <x:v>44</x:v>
      </x:c>
      <x:c r="F322" s="26" t="str">
        <x:v>Geanakoplos</x:v>
      </x:c>
      <x:c r="G322" s="26" t="n">
        <x:v>2017</x:v>
      </x:c>
      <x:c r="H322" s="25" t="str">
        <x:v>InefficientLiquidityProvision</x:v>
      </x:c>
      <x:c r="I322" s="25" t="str"/>
      <x:c r="J322" s="25" t="str"/>
      <x:c r="K322" s="25" t="str">
        <x:v>automatic_screen_pass</x:v>
      </x:c>
      <x:c r="L322" s="25" t="str">
        <x:v>accepted</x:v>
      </x:c>
      <x:c r="M322" s="25" t="str">
        <x:v>no</x:v>
      </x:c>
      <x:c r="N322" s="25" t="str">
        <x:v>saki_research/published_papers/bianchi_bigio_portfolio_choice_settlement_frictions_theory_endogenous_convenience_yields.pdf</x:v>
      </x:c>
      <x:c r="O322" s="25" t="str">
        <x:v>Geanakoplos,JohnandKieranJamesWalsh,“InefficientLiquidityProvision,”Economic Theory, 2017. Advanceonlinepublication.</x:v>
      </x:c>
    </x:row>
    <x:row r="323" ht="48" customHeight="1">
      <x:c r="A323" s="24" t="str">
        <x:v>P12-R027</x:v>
      </x:c>
      <x:c r="B323" s="24" t="str">
        <x:v>P12</x:v>
      </x:c>
      <x:c r="C323" s="26" t="n">
        <x:v>27</x:v>
      </x:c>
      <x:c r="D323" s="26" t="n">
        <x:v>44</x:v>
      </x:c>
      <x:c r="E323" s="26" t="n">
        <x:v>44</x:v>
      </x:c>
      <x:c r="F323" s="26" t="str">
        <x:v>He</x:v>
      </x:c>
      <x:c r="G323" s="26" t="n">
        <x:v>2014</x:v>
      </x:c>
      <x:c r="H323" s="25" t="str">
        <x:v>Endogenous liquidity and defaultable bonds</x:v>
      </x:c>
      <x:c r="I323" s="25" t="str"/>
      <x:c r="J323" s="25" t="str"/>
      <x:c r="K323" s="25" t="str">
        <x:v>prior_manual_sample</x:v>
      </x:c>
      <x:c r="L323" s="25" t="str">
        <x:v>accepted</x:v>
      </x:c>
      <x:c r="M323" s="25" t="str">
        <x:v>no</x:v>
      </x:c>
      <x:c r="N323" s="25" t="str">
        <x:v>saki_research/published_papers/bianchi_bigio_portfolio_choice_settlement_frictions_theory_endogenous_convenience_yields.pdf</x:v>
      </x:c>
      <x:c r="O323" s="25" t="str">
        <x:v>He, Zhiguo and Konstantin Milbradt, “Endogenous liquidity and defaultable bonds,” Econometrica,2014,82(4),1443–1508.</x:v>
      </x:c>
    </x:row>
    <x:row r="324" ht="48" customHeight="1">
      <x:c r="A324" s="24" t="str">
        <x:v>P12-R028</x:v>
      </x:c>
      <x:c r="B324" s="24" t="str">
        <x:v>P12</x:v>
      </x:c>
      <x:c r="C324" s="26" t="n">
        <x:v>28</x:v>
      </x:c>
      <x:c r="D324" s="26" t="n">
        <x:v>44</x:v>
      </x:c>
      <x:c r="E324" s="26" t="n">
        <x:v>44</x:v>
      </x:c>
      <x:c r="F324" s="26" t="str">
        <x:v>Holmstrom</x:v>
      </x:c>
      <x:c r="G324" s="26" t="n">
        <x:v>2001</x:v>
      </x:c>
      <x:c r="H324" s="25" t="str">
        <x:v>LAPM: A Liquidity Based Asset Pricing Model</x:v>
      </x:c>
      <x:c r="I324" s="25" t="str"/>
      <x:c r="J324" s="25" t="str"/>
      <x:c r="K324" s="25" t="str">
        <x:v>exhaustive_visual_multiwork_pattern_accepted</x:v>
      </x:c>
      <x:c r="L324" s="25" t="str">
        <x:v>accepted</x:v>
      </x:c>
      <x:c r="M324" s="25" t="str">
        <x:v>sí</x:v>
      </x:c>
      <x:c r="N324" s="25" t="str">
        <x:v>saki_research/published_papers/bianchi_bigio_portfolio_choice_settlement_frictions_theory_endogenous_convenience_yields.pdf</x:v>
      </x:c>
      <x:c r="O324" s="25" t="str">
        <x:v>Holmstrom, Bengt and Jean Tirole, “LAPM: A Liquidity Based Asset Pricing Model,” Journal of Finance,October2001,56(5),1837–1867.</x:v>
      </x:c>
    </x:row>
    <x:row r="325" ht="48" customHeight="1">
      <x:c r="A325" s="24" t="str">
        <x:v>P12-R029</x:v>
      </x:c>
      <x:c r="B325" s="24" t="str">
        <x:v>P12</x:v>
      </x:c>
      <x:c r="C325" s="26" t="n">
        <x:v>29</x:v>
      </x:c>
      <x:c r="D325" s="26" t="n">
        <x:v>44</x:v>
      </x:c>
      <x:c r="E325" s="26" t="n">
        <x:v>44</x:v>
      </x:c>
      <x:c r="F325" s="26" t="str">
        <x:v>Hosios</x:v>
      </x:c>
      <x:c r="G325" s="26" t="n">
        <x:v>1990</x:v>
      </x:c>
      <x:c r="H325" s="25" t="str">
        <x:v>Ontheefficiencyofmatchingandrelatedmodelsofsearchandunemployment</x:v>
      </x:c>
      <x:c r="I325" s="25" t="str"/>
      <x:c r="J325" s="25" t="str"/>
      <x:c r="K325" s="25" t="str">
        <x:v>prior_manual_sample</x:v>
      </x:c>
      <x:c r="L325" s="25" t="str">
        <x:v>accepted</x:v>
      </x:c>
      <x:c r="M325" s="25" t="str">
        <x:v>no</x:v>
      </x:c>
      <x:c r="N325" s="25" t="str">
        <x:v>saki_research/published_papers/bianchi_bigio_portfolio_choice_settlement_frictions_theory_endogenous_convenience_yields.pdf</x:v>
      </x:c>
      <x:c r="O325" s="25" t="str">
        <x:v>Hosios,ArthurJ,“Ontheefficiencyofmatchingandrelatedmodelsofsearchandunemployment,” TheReviewofEconomicStudies,1990,57(2),279–298.</x:v>
      </x:c>
    </x:row>
    <x:row r="326" ht="48" customHeight="1">
      <x:c r="A326" s="24" t="str">
        <x:v>P12-R030</x:v>
      </x:c>
      <x:c r="B326" s="24" t="str">
        <x:v>P12</x:v>
      </x:c>
      <x:c r="C326" s="26" t="n">
        <x:v>30</x:v>
      </x:c>
      <x:c r="D326" s="26" t="n">
        <x:v>44</x:v>
      </x:c>
      <x:c r="E326" s="26" t="n">
        <x:v>44</x:v>
      </x:c>
      <x:c r="F326" s="26" t="str">
        <x:v>Hugonnier</x:v>
      </x:c>
      <x:c r="G326" s="26" t="n">
        <x:v>2022</x:v>
      </x:c>
      <x:c r="H326" s="25" t="str">
        <x:v>Heterogeneityindecentralized assetmarkets</x:v>
      </x:c>
      <x:c r="I326" s="25" t="str"/>
      <x:c r="J326" s="25" t="str"/>
      <x:c r="K326" s="25" t="str">
        <x:v>automatic_screen_pass</x:v>
      </x:c>
      <x:c r="L326" s="25" t="str">
        <x:v>accepted</x:v>
      </x:c>
      <x:c r="M326" s="25" t="str">
        <x:v>no</x:v>
      </x:c>
      <x:c r="N326" s="25" t="str">
        <x:v>saki_research/published_papers/bianchi_bigio_portfolio_choice_settlement_frictions_theory_endogenous_convenience_yields.pdf</x:v>
      </x:c>
      <x:c r="O326" s="25" t="str">
        <x:v>Hugonnier,Julien,BenjaminLester,andPierre-OlivierWeill,“Heterogeneityindecentralized assetmarkets,”TheoreticalEconomics,2022,17(3),1313–1356.</x:v>
      </x:c>
    </x:row>
    <x:row r="327" ht="48" customHeight="1">
      <x:c r="A327" s="24" t="str">
        <x:v>P12-R031</x:v>
      </x:c>
      <x:c r="B327" s="24" t="str">
        <x:v>P12</x:v>
      </x:c>
      <x:c r="C327" s="26" t="n">
        <x:v>31</x:v>
      </x:c>
      <x:c r="D327" s="26" t="n">
        <x:v>44</x:v>
      </x:c>
      <x:c r="E327" s="26" t="n">
        <x:v>44</x:v>
      </x:c>
      <x:c r="F327" s="26" t="str">
        <x:v>Hugonnier</x:v>
      </x:c>
      <x:c r="G327" s="26" t="n">
        <x:v>2025</x:v>
      </x:c>
      <x:c r="H327" s="25" t="str">
        <x:v>TheEconomicsofOver-the-CounterMarkets: AToolkitfortheAnalysisofDecentralized Exchange</x:v>
      </x:c>
      <x:c r="I327" s="25" t="str">
        <x:v>inherited_author_notation</x:v>
      </x:c>
      <x:c r="J327" s="25" t="str">
        <x:v>local_citation_grammar_v3; exhaustive_ai_audit_2026-09-17</x:v>
      </x:c>
      <x:c r="K327" s="25" t="str">
        <x:v>exhaustive_visual_correction</x:v>
      </x:c>
      <x:c r="L327" s="25" t="str">
        <x:v>corrected</x:v>
      </x:c>
      <x:c r="M327" s="25" t="str">
        <x:v>no</x:v>
      </x:c>
      <x:c r="N327" s="25" t="str">
        <x:v>saki_research/published_papers/bianchi_bigio_portfolio_choice_settlement_frictions_theory_endogenous_convenience_yields.pdf</x:v>
      </x:c>
      <x:c r="O327" s="25" t="str">
        <x:v>, ,and ,TheEconomicsofOver-the-CounterMarkets: AToolkitfortheAnalysisofDecentralized Exchange,PrincetonUniversityPress,2025.</x:v>
      </x:c>
    </x:row>
    <x:row r="328" ht="48" customHeight="1">
      <x:c r="A328" s="24" t="str">
        <x:v>P12-R032</x:v>
      </x:c>
      <x:c r="B328" s="24" t="str">
        <x:v>P12</x:v>
      </x:c>
      <x:c r="C328" s="26" t="n">
        <x:v>32</x:v>
      </x:c>
      <x:c r="D328" s="26" t="n">
        <x:v>44</x:v>
      </x:c>
      <x:c r="E328" s="26" t="n">
        <x:v>44</x:v>
      </x:c>
      <x:c r="F328" s="26" t="str">
        <x:v>Ismail</x:v>
      </x:c>
      <x:c r="G328" s="26" t="n">
        <x:v>2025</x:v>
      </x:c>
      <x:c r="H328" s="25" t="str">
        <x:v>WelfareCostofConvenienceYield</x:v>
      </x:c>
      <x:c r="I328" s="25" t="str"/>
      <x:c r="J328" s="25" t="str"/>
      <x:c r="K328" s="25" t="str">
        <x:v>prior_manual_sample</x:v>
      </x:c>
      <x:c r="L328" s="25" t="str">
        <x:v>accepted</x:v>
      </x:c>
      <x:c r="M328" s="25" t="str">
        <x:v>no</x:v>
      </x:c>
      <x:c r="N328" s="25" t="str">
        <x:v>saki_research/published_papers/bianchi_bigio_portfolio_choice_settlement_frictions_theory_endogenous_convenience_yields.pdf</x:v>
      </x:c>
      <x:c r="O328" s="25" t="str">
        <x:v>Ismail,AliHaiderandDiegoZuniga,“WelfareCostofConvenienceYield,”2025. WorkingPaper.</x:v>
      </x:c>
    </x:row>
    <x:row r="329" ht="48" customHeight="1">
      <x:c r="A329" s="24" t="str">
        <x:v>P12-R033</x:v>
      </x:c>
      <x:c r="B329" s="24" t="str">
        <x:v>P12</x:v>
      </x:c>
      <x:c r="C329" s="26" t="n">
        <x:v>33</x:v>
      </x:c>
      <x:c r="D329" s="26" t="n">
        <x:v>44</x:v>
      </x:c>
      <x:c r="E329" s="26" t="n">
        <x:v>44</x:v>
      </x:c>
      <x:c r="F329" s="26" t="str">
        <x:v>Jacklin</x:v>
      </x:c>
      <x:c r="G329" s="26" t="n">
        <x:v>1987</x:v>
      </x:c>
      <x:c r="H329" s="25" t="str">
        <x:v>Demand Deposits, Trading Restrictions, and Risk Sharing</x:v>
      </x:c>
      <x:c r="I329" s="25" t="str"/>
      <x:c r="J329" s="25" t="str"/>
      <x:c r="K329" s="25" t="str">
        <x:v>prior_manual_sample</x:v>
      </x:c>
      <x:c r="L329" s="25" t="str">
        <x:v>accepted</x:v>
      </x:c>
      <x:c r="M329" s="25" t="str">
        <x:v>no</x:v>
      </x:c>
      <x:c r="N329" s="25" t="str">
        <x:v>saki_research/published_papers/bianchi_bigio_portfolio_choice_settlement_frictions_theory_endogenous_convenience_yields.pdf</x:v>
      </x:c>
      <x:c r="O329" s="25" t="str">
        <x:v>Jacklin, Charles J., “Demand Deposits, Trading Restrictions, and Risk Sharing,” in Edward C. Prescott and Neil Wallace, eds., Contractual Arrangements for Intertemporal Trade, Minneapolis: UniversityofMinnesotaPress,1987,pp.26–47.</x:v>
      </x:c>
    </x:row>
    <x:row r="330" ht="48" customHeight="1">
      <x:c r="A330" s="24" t="str">
        <x:v>P12-R034</x:v>
      </x:c>
      <x:c r="B330" s="24" t="str">
        <x:v>P12</x:v>
      </x:c>
      <x:c r="C330" s="26" t="n">
        <x:v>34</x:v>
      </x:c>
      <x:c r="D330" s="26" t="n">
        <x:v>44</x:v>
      </x:c>
      <x:c r="E330" s="26" t="n">
        <x:v>44</x:v>
      </x:c>
      <x:c r="F330" s="26" t="str">
        <x:v>Kiyotaki</x:v>
      </x:c>
      <x:c r="G330" s="26" t="n">
        <x:v>1993</x:v>
      </x:c>
      <x:c r="H330" s="25" t="str">
        <x:v>Asearch-theoreticapproachtomonetaryeconomics</x:v>
      </x:c>
      <x:c r="I330" s="25" t="str"/>
      <x:c r="J330" s="25" t="str"/>
      <x:c r="K330" s="25" t="str">
        <x:v>prior_manual_sample</x:v>
      </x:c>
      <x:c r="L330" s="25" t="str">
        <x:v>accepted</x:v>
      </x:c>
      <x:c r="M330" s="25" t="str">
        <x:v>no</x:v>
      </x:c>
      <x:c r="N330" s="25" t="str">
        <x:v>saki_research/published_papers/bianchi_bigio_portfolio_choice_settlement_frictions_theory_endogenous_convenience_yields.pdf</x:v>
      </x:c>
      <x:c r="O330" s="25" t="str">
        <x:v>Kiyotaki,NobuhiroandRandallWright,“Asearch-theoreticapproachtomonetaryeconomics,” TheAmericanEconomicReview,1993,pp.63–77.</x:v>
      </x:c>
    </x:row>
    <x:row r="331" ht="48" customHeight="1">
      <x:c r="A331" s="24" t="str">
        <x:v>P12-R035</x:v>
      </x:c>
      <x:c r="B331" s="24" t="str">
        <x:v>P12</x:v>
      </x:c>
      <x:c r="C331" s="26" t="n">
        <x:v>35</x:v>
      </x:c>
      <x:c r="D331" s="26" t="n">
        <x:v>44</x:v>
      </x:c>
      <x:c r="E331" s="26" t="n">
        <x:v>44</x:v>
      </x:c>
      <x:c r="F331" s="26" t="str">
        <x:v>Krishnamurthy</x:v>
      </x:c>
      <x:c r="G331" s="26" t="n">
        <x:v>2012</x:v>
      </x:c>
      <x:c r="H331" s="25" t="str">
        <x:v>TheAggregateDemandforTreasury Debt</x:v>
      </x:c>
      <x:c r="I331" s="25" t="str"/>
      <x:c r="J331" s="25" t="str"/>
      <x:c r="K331" s="25" t="str">
        <x:v>automatic_screen_pass</x:v>
      </x:c>
      <x:c r="L331" s="25" t="str">
        <x:v>accepted</x:v>
      </x:c>
      <x:c r="M331" s="25" t="str">
        <x:v>no</x:v>
      </x:c>
      <x:c r="N331" s="25" t="str">
        <x:v>saki_research/published_papers/bianchi_bigio_portfolio_choice_settlement_frictions_theory_endogenous_convenience_yields.pdf</x:v>
      </x:c>
      <x:c r="O331" s="25" t="str">
        <x:v>Krishnamurthy,ArvindandAnnetteVissing-Jørgensen,“TheAggregateDemandforTreasury Debt,”JournalofPoliticalEconomy,2012,120(2),233–267.</x:v>
      </x:c>
    </x:row>
    <x:row r="332" ht="48" customHeight="1">
      <x:c r="A332" s="24" t="str">
        <x:v>P12-R036</x:v>
      </x:c>
      <x:c r="B332" s="24" t="str">
        <x:v>P12</x:v>
      </x:c>
      <x:c r="C332" s="26" t="n">
        <x:v>36</x:v>
      </x:c>
      <x:c r="D332" s="26" t="n">
        <x:v>44</x:v>
      </x:c>
      <x:c r="E332" s="26" t="n">
        <x:v>44</x:v>
      </x:c>
      <x:c r="F332" s="26" t="str">
        <x:v>Krueger</x:v>
      </x:c>
      <x:c r="G332" s="26" t="n">
        <x:v>2010</x:v>
      </x:c>
      <x:c r="H332" s="25" t="str">
        <x:v>Whenismarketincompletenessirrelevantforthepriceofaggregaterisk(andwhenisitnot)?</x:v>
      </x:c>
      <x:c r="I332" s="25" t="str"/>
      <x:c r="J332" s="25" t="str"/>
      <x:c r="K332" s="25" t="str">
        <x:v>automatic_screen_pass</x:v>
      </x:c>
      <x:c r="L332" s="25" t="str">
        <x:v>accepted</x:v>
      </x:c>
      <x:c r="M332" s="25" t="str">
        <x:v>no</x:v>
      </x:c>
      <x:c r="N332" s="25" t="str">
        <x:v>saki_research/published_papers/bianchi_bigio_portfolio_choice_settlement_frictions_theory_endogenous_convenience_yields.pdf</x:v>
      </x:c>
      <x:c r="O332" s="25" t="str">
        <x:v>Krueger,DirkandHannoLustig,“Whenismarketincompletenessirrelevantforthepriceofaggregaterisk(andwhenisitnot)?,”JournalofEconomicTheory,2010,145(1),1–41.</x:v>
      </x:c>
    </x:row>
    <x:row r="333" ht="48" customHeight="1">
      <x:c r="A333" s="24" t="str">
        <x:v>P12-R037</x:v>
      </x:c>
      <x:c r="B333" s="24" t="str">
        <x:v>P12</x:v>
      </x:c>
      <x:c r="C333" s="26" t="n">
        <x:v>37</x:v>
      </x:c>
      <x:c r="D333" s="26" t="n">
        <x:v>44</x:v>
      </x:c>
      <x:c r="E333" s="26" t="n">
        <x:v>44</x:v>
      </x:c>
      <x:c r="F333" s="26" t="str">
        <x:v>Lagos</x:v>
      </x:c>
      <x:c r="G333" s="26" t="n">
        <x:v>2010</x:v>
      </x:c>
      <x:c r="H333" s="25" t="str">
        <x:v>Assetpricesandliquidityinanexchangeeconomy</x:v>
      </x:c>
      <x:c r="I333" s="25" t="str"/>
      <x:c r="J333" s="25" t="str"/>
      <x:c r="K333" s="25" t="str">
        <x:v>automatic_screen_pass</x:v>
      </x:c>
      <x:c r="L333" s="25" t="str">
        <x:v>accepted</x:v>
      </x:c>
      <x:c r="M333" s="25" t="str">
        <x:v>no</x:v>
      </x:c>
      <x:c r="N333" s="25" t="str">
        <x:v>saki_research/published_papers/bianchi_bigio_portfolio_choice_settlement_frictions_theory_endogenous_convenience_yields.pdf</x:v>
      </x:c>
      <x:c r="O333" s="25" t="str">
        <x:v>Lagos,Ricardo,“Assetpricesandliquidityinanexchangeeconomy,”JournalofMonetaryEconomics, 2010,57(8),913–930.</x:v>
      </x:c>
    </x:row>
    <x:row r="334" ht="48" customHeight="1">
      <x:c r="A334" s="24" t="str">
        <x:v>P12-R038</x:v>
      </x:c>
      <x:c r="B334" s="24" t="str">
        <x:v>P12</x:v>
      </x:c>
      <x:c r="C334" s="26" t="n">
        <x:v>38</x:v>
      </x:c>
      <x:c r="D334" s="26" t="n">
        <x:v>44</x:v>
      </x:c>
      <x:c r="E334" s="26" t="n">
        <x:v>44</x:v>
      </x:c>
      <x:c r="F334" s="26" t="str">
        <x:v>Lagos</x:v>
      </x:c>
      <x:c r="G334" s="26" t="n">
        <x:v>2009</x:v>
      </x:c>
      <x:c r="H334" s="25" t="str">
        <x:v>Liquidity in Asset Markets with Search Frictions</x:v>
      </x:c>
      <x:c r="I334" s="25" t="str">
        <x:v>inherited_author_notation</x:v>
      </x:c>
      <x:c r="J334" s="25" t="str"/>
      <x:c r="K334" s="25" t="str">
        <x:v>automatic_screen_pass</x:v>
      </x:c>
      <x:c r="L334" s="25" t="str">
        <x:v>accepted</x:v>
      </x:c>
      <x:c r="M334" s="25" t="str">
        <x:v>no</x:v>
      </x:c>
      <x:c r="N334" s="25" t="str">
        <x:v>saki_research/published_papers/bianchi_bigio_portfolio_choice_settlement_frictions_theory_endogenous_convenience_yields.pdf</x:v>
      </x:c>
      <x:c r="O334" s="25" t="str">
        <x:v>and Guillaume Rocheteau, “Liquidity in Asset Markets with Search Frictions,” Econometrica, 2009,77,403–426.</x:v>
      </x:c>
    </x:row>
    <x:row r="335" ht="48" customHeight="1">
      <x:c r="A335" s="24" t="str">
        <x:v>P12-R039</x:v>
      </x:c>
      <x:c r="B335" s="24" t="str">
        <x:v>P12</x:v>
      </x:c>
      <x:c r="C335" s="26" t="n">
        <x:v>39</x:v>
      </x:c>
      <x:c r="D335" s="26" t="n">
        <x:v>44</x:v>
      </x:c>
      <x:c r="E335" s="26" t="n">
        <x:v>44</x:v>
      </x:c>
      <x:c r="F335" s="26" t="str">
        <x:v>Lagos</x:v>
      </x:c>
      <x:c r="G335" s="26" t="n">
        <x:v>2005</x:v>
      </x:c>
      <x:c r="H335" s="25" t="str">
        <x:v>AUnifiedFrameworkforMonetaryTheoryandPolicyAnalysis</x:v>
      </x:c>
      <x:c r="I335" s="25" t="str">
        <x:v>inherited_author_notation</x:v>
      </x:c>
      <x:c r="J335" s="25" t="str">
        <x:v>exhaustive_ai_audit_2026-09-17</x:v>
      </x:c>
      <x:c r="K335" s="25" t="str">
        <x:v>exhaustive_visual_correction</x:v>
      </x:c>
      <x:c r="L335" s="25" t="str">
        <x:v>corrected</x:v>
      </x:c>
      <x:c r="M335" s="25" t="str">
        <x:v>no</x:v>
      </x:c>
      <x:c r="N335" s="25" t="str">
        <x:v>saki_research/published_papers/bianchi_bigio_portfolio_choice_settlement_frictions_theory_endogenous_convenience_yields.pdf</x:v>
      </x:c>
      <x:c r="O335" s="25" t="str">
        <x:v>andRandallWright,“AUnifiedFrameworkforMonetaryTheoryandPolicyAnalysis,”Journal ofPoliticalEconomy,2005.</x:v>
      </x:c>
    </x:row>
    <x:row r="336" ht="48" customHeight="1">
      <x:c r="A336" s="24" t="str">
        <x:v>P12-R040</x:v>
      </x:c>
      <x:c r="B336" s="24" t="str">
        <x:v>P12</x:v>
      </x:c>
      <x:c r="C336" s="26" t="n">
        <x:v>40</x:v>
      </x:c>
      <x:c r="D336" s="26" t="n">
        <x:v>44</x:v>
      </x:c>
      <x:c r="E336" s="26" t="n">
        <x:v>44</x:v>
      </x:c>
      <x:c r="F336" s="26" t="str">
        <x:v>Lagos</x:v>
      </x:c>
      <x:c r="G336" s="26" t="n">
        <x:v>2017</x:v>
      </x:c>
      <x:c r="H336" s="25" t="str">
        <x:v>Liquidity: ANewMonetaristPerspective</x:v>
      </x:c>
      <x:c r="I336" s="25" t="str">
        <x:v>inherited_author_notation</x:v>
      </x:c>
      <x:c r="J336" s="25" t="str"/>
      <x:c r="K336" s="25" t="str">
        <x:v>prior_manual_sample</x:v>
      </x:c>
      <x:c r="L336" s="25" t="str">
        <x:v>accepted</x:v>
      </x:c>
      <x:c r="M336" s="25" t="str">
        <x:v>no</x:v>
      </x:c>
      <x:c r="N336" s="25" t="str">
        <x:v>saki_research/published_papers/bianchi_bigio_portfolio_choice_settlement_frictions_theory_endogenous_convenience_yields.pdf</x:v>
      </x:c>
      <x:c r="O336" s="25" t="str">
        <x:v>GuillaumeRocheteau,andRandallWright,“Liquidity: ANewMonetaristPerspective,”JournalofEconomicLiterature,2017,55(2),371–440.</x:v>
      </x:c>
    </x:row>
    <x:row r="337" ht="48" customHeight="1">
      <x:c r="A337" s="24" t="str">
        <x:v>P12-R041</x:v>
      </x:c>
      <x:c r="B337" s="24" t="str">
        <x:v>P12</x:v>
      </x:c>
      <x:c r="C337" s="26" t="n">
        <x:v>41</x:v>
      </x:c>
      <x:c r="D337" s="26" t="n">
        <x:v>44</x:v>
      </x:c>
      <x:c r="E337" s="26" t="n">
        <x:v>44</x:v>
      </x:c>
      <x:c r="F337" s="26" t="str">
        <x:v>Lenel</x:v>
      </x:c>
      <x:c r="G337" s="26" t="n">
        <x:v>2019</x:v>
      </x:c>
      <x:c r="H337" s="25" t="str">
        <x:v>Theshortratedisconnectinamonetary economy</x:v>
      </x:c>
      <x:c r="I337" s="25" t="str"/>
      <x:c r="J337" s="25" t="str"/>
      <x:c r="K337" s="25" t="str">
        <x:v>prior_manual_sample</x:v>
      </x:c>
      <x:c r="L337" s="25" t="str">
        <x:v>accepted</x:v>
      </x:c>
      <x:c r="M337" s="25" t="str">
        <x:v>no</x:v>
      </x:c>
      <x:c r="N337" s="25" t="str">
        <x:v>saki_research/published_papers/bianchi_bigio_portfolio_choice_settlement_frictions_theory_endogenous_convenience_yields.pdf</x:v>
      </x:c>
      <x:c r="O337" s="25" t="str">
        <x:v>Lenel,Moritz,MonikaPiazzesi,andMartinSchneider,“Theshortratedisconnectinamonetary economy,”JournalofMonetaryEconomics,2019,106,59–77.</x:v>
      </x:c>
    </x:row>
    <x:row r="338" ht="48" customHeight="1">
      <x:c r="A338" s="24" t="str">
        <x:v>P12-R042</x:v>
      </x:c>
      <x:c r="B338" s="24" t="str">
        <x:v>P12</x:v>
      </x:c>
      <x:c r="C338" s="26" t="n">
        <x:v>42</x:v>
      </x:c>
      <x:c r="D338" s="26" t="n">
        <x:v>44</x:v>
      </x:c>
      <x:c r="E338" s="26" t="n">
        <x:v>44</x:v>
      </x:c>
      <x:c r="F338" s="26" t="str">
        <x:v>Lester</x:v>
      </x:c>
      <x:c r="G338" s="26" t="n">
        <x:v>2012</x:v>
      </x:c>
      <x:c r="H338" s="25" t="str">
        <x:v>Information, Liquidity, Asset Prices,andMonetaryPolicy</x:v>
      </x:c>
      <x:c r="I338" s="25" t="str"/>
      <x:c r="J338" s="25" t="str"/>
      <x:c r="K338" s="25" t="str">
        <x:v>automatic_screen_pass</x:v>
      </x:c>
      <x:c r="L338" s="25" t="str">
        <x:v>accepted</x:v>
      </x:c>
      <x:c r="M338" s="25" t="str">
        <x:v>no</x:v>
      </x:c>
      <x:c r="N338" s="25" t="str">
        <x:v>saki_research/published_papers/bianchi_bigio_portfolio_choice_settlement_frictions_theory_endogenous_convenience_yields.pdf</x:v>
      </x:c>
      <x:c r="O338" s="25" t="str">
        <x:v>Lester, Benjamin, Andrew Postlewaite, and Randall Wright, “Information, Liquidity, Asset Prices,andMonetaryPolicy,”ReviewofEconomicStudies,2012,79(3),1209–1238.</x:v>
      </x:c>
    </x:row>
    <x:row r="339" ht="48" customHeight="1">
      <x:c r="A339" s="24" t="str">
        <x:v>P12-R043</x:v>
      </x:c>
      <x:c r="B339" s="24" t="str">
        <x:v>P12</x:v>
      </x:c>
      <x:c r="C339" s="26" t="n">
        <x:v>43</x:v>
      </x:c>
      <x:c r="D339" s="26" t="n">
        <x:v>45</x:v>
      </x:c>
      <x:c r="E339" s="26" t="n">
        <x:v>45</x:v>
      </x:c>
      <x:c r="F339" s="26" t="str">
        <x:v>Lopez-Salido</x:v>
      </x:c>
      <x:c r="G339" s="26" t="n">
        <x:v>2023</x:v>
      </x:c>
      <x:c r="H339" s="25" t="str">
        <x:v>ReserveDemand,InterestRateControl, andQuantitativeTightening</x:v>
      </x:c>
      <x:c r="I339" s="25" t="str"/>
      <x:c r="J339" s="25" t="str"/>
      <x:c r="K339" s="25" t="str">
        <x:v>automatic_screen_pass</x:v>
      </x:c>
      <x:c r="L339" s="25" t="str">
        <x:v>accepted</x:v>
      </x:c>
      <x:c r="M339" s="25" t="str">
        <x:v>no</x:v>
      </x:c>
      <x:c r="N339" s="25" t="str">
        <x:v>saki_research/published_papers/bianchi_bigio_portfolio_choice_settlement_frictions_theory_endogenous_convenience_yields.pdf</x:v>
      </x:c>
      <x:c r="O339" s="25" t="str">
        <x:v>Lopez-Salido,DavidandAnnetteVissing-Jorgensen,“ReserveDemand,InterestRateControl, andQuantitativeTightening,”2023. WorkingPaper.</x:v>
      </x:c>
    </x:row>
    <x:row r="340" ht="48" customHeight="1">
      <x:c r="A340" s="24" t="str">
        <x:v>P12-R044</x:v>
      </x:c>
      <x:c r="B340" s="24" t="str">
        <x:v>P12</x:v>
      </x:c>
      <x:c r="C340" s="26" t="n">
        <x:v>44</x:v>
      </x:c>
      <x:c r="D340" s="26" t="n">
        <x:v>45</x:v>
      </x:c>
      <x:c r="E340" s="26" t="n">
        <x:v>45</x:v>
      </x:c>
      <x:c r="F340" s="26" t="str">
        <x:v>Lorenzoni</x:v>
      </x:c>
      <x:c r="G340" s="26" t="n">
        <x:v>2008</x:v>
      </x:c>
      <x:c r="H340" s="25" t="str">
        <x:v>Inefficient Credit Booms</x:v>
      </x:c>
      <x:c r="I340" s="25" t="str"/>
      <x:c r="J340" s="25" t="str"/>
      <x:c r="K340" s="25" t="str">
        <x:v>automatic_screen_pass</x:v>
      </x:c>
      <x:c r="L340" s="25" t="str">
        <x:v>accepted</x:v>
      </x:c>
      <x:c r="M340" s="25" t="str">
        <x:v>no</x:v>
      </x:c>
      <x:c r="N340" s="25" t="str">
        <x:v>saki_research/published_papers/bianchi_bigio_portfolio_choice_settlement_frictions_theory_endogenous_convenience_yields.pdf</x:v>
      </x:c>
      <x:c r="O340" s="25" t="str">
        <x:v>Lorenzoni, Guido, “Inefficient Credit Booms,”Review of Economic Studies, July 2008, 75 (2), 809– 833.</x:v>
      </x:c>
    </x:row>
    <x:row r="341" ht="48" customHeight="1">
      <x:c r="A341" s="24" t="str">
        <x:v>P12-R045</x:v>
      </x:c>
      <x:c r="B341" s="24" t="str">
        <x:v>P12</x:v>
      </x:c>
      <x:c r="C341" s="26" t="n">
        <x:v>45</x:v>
      </x:c>
      <x:c r="D341" s="26" t="n">
        <x:v>45</x:v>
      </x:c>
      <x:c r="E341" s="26" t="n">
        <x:v>45</x:v>
      </x:c>
      <x:c r="F341" s="26" t="str">
        <x:v>Nagel</x:v>
      </x:c>
      <x:c r="G341" s="26" t="n">
        <x:v>2016</x:v>
      </x:c>
      <x:c r="H341" s="25" t="str">
        <x:v>TheLiquidityPremiumofNear-MoneyAssets</x:v>
      </x:c>
      <x:c r="I341" s="25" t="str"/>
      <x:c r="J341" s="25" t="str"/>
      <x:c r="K341" s="25" t="str">
        <x:v>exhaustive_visual_multiwork_pattern_accepted</x:v>
      </x:c>
      <x:c r="L341" s="25" t="str">
        <x:v>accepted</x:v>
      </x:c>
      <x:c r="M341" s="25" t="str">
        <x:v>sí</x:v>
      </x:c>
      <x:c r="N341" s="25" t="str">
        <x:v>saki_research/published_papers/bianchi_bigio_portfolio_choice_settlement_frictions_theory_endogenous_convenience_yields.pdf</x:v>
      </x:c>
      <x:c r="O341" s="25" t="str">
        <x:v>Nagel,Stefan,“TheLiquidityPremiumofNear-MoneyAssets,”TheQuarterlyJournalofEconomics, 2016,131(4),1927–1971.</x:v>
      </x:c>
    </x:row>
    <x:row r="342" ht="48" customHeight="1">
      <x:c r="A342" s="24" t="str">
        <x:v>P12-R046</x:v>
      </x:c>
      <x:c r="B342" s="24" t="str">
        <x:v>P12</x:v>
      </x:c>
      <x:c r="C342" s="26" t="n">
        <x:v>46</x:v>
      </x:c>
      <x:c r="D342" s="26" t="n">
        <x:v>45</x:v>
      </x:c>
      <x:c r="E342" s="26" t="n">
        <x:v>45</x:v>
      </x:c>
      <x:c r="F342" s="26" t="str">
        <x:v>Piazzesi</x:v>
      </x:c>
      <x:c r="G342" s="26" t="n">
        <x:v>2019</x:v>
      </x:c>
      <x:c r="H342" s="25" t="str">
        <x:v>MoneyandBankinginaNewKeynesianModel</x:v>
      </x:c>
      <x:c r="I342" s="25" t="str"/>
      <x:c r="J342" s="25" t="str"/>
      <x:c r="K342" s="25" t="str">
        <x:v>prior_manual_sample</x:v>
      </x:c>
      <x:c r="L342" s="25" t="str">
        <x:v>accepted</x:v>
      </x:c>
      <x:c r="M342" s="25" t="str">
        <x:v>no</x:v>
      </x:c>
      <x:c r="N342" s="25" t="str">
        <x:v>saki_research/published_papers/bianchi_bigio_portfolio_choice_settlement_frictions_theory_endogenous_convenience_yields.pdf</x:v>
      </x:c>
      <x:c r="O342" s="25" t="str">
        <x:v>Piazzesi, Monika, CiaranRogers, andMartinSchneider, “MoneyandBankinginaNewKeynesianModel,”2019. WorkingPaper,Stanford.</x:v>
      </x:c>
    </x:row>
    <x:row r="343" ht="48" customHeight="1">
      <x:c r="A343" s="24" t="str">
        <x:v>P12-R047</x:v>
      </x:c>
      <x:c r="B343" s="24" t="str">
        <x:v>P12</x:v>
      </x:c>
      <x:c r="C343" s="26" t="n">
        <x:v>47</x:v>
      </x:c>
      <x:c r="D343" s="26" t="n">
        <x:v>45</x:v>
      </x:c>
      <x:c r="E343" s="26" t="n">
        <x:v>45</x:v>
      </x:c>
      <x:c r="F343" s="26" t="str">
        <x:v>Poole</x:v>
      </x:c>
      <x:c r="G343" s="26" t="n">
        <x:v>1968</x:v>
      </x:c>
      <x:c r="H343" s="25" t="str">
        <x:v>Commercial bank reserve management in a stochastic model: implications for monetarypolicy</x:v>
      </x:c>
      <x:c r="I343" s="25" t="str"/>
      <x:c r="J343" s="25" t="str"/>
      <x:c r="K343" s="25" t="str">
        <x:v>automatic_screen_pass</x:v>
      </x:c>
      <x:c r="L343" s="25" t="str">
        <x:v>accepted</x:v>
      </x:c>
      <x:c r="M343" s="25" t="str">
        <x:v>no</x:v>
      </x:c>
      <x:c r="N343" s="25" t="str">
        <x:v>saki_research/published_papers/bianchi_bigio_portfolio_choice_settlement_frictions_theory_endogenous_convenience_yields.pdf</x:v>
      </x:c>
      <x:c r="O343" s="25" t="str">
        <x:v>Poole, William, “Commercial bank reserve management in a stochastic model: implications for monetarypolicy,”TheJournalofFinance,1968,23(5),769–791.</x:v>
      </x:c>
    </x:row>
    <x:row r="344" ht="48" customHeight="1">
      <x:c r="A344" s="24" t="str">
        <x:v>P12-R048</x:v>
      </x:c>
      <x:c r="B344" s="24" t="str">
        <x:v>P12</x:v>
      </x:c>
      <x:c r="C344" s="26" t="n">
        <x:v>48</x:v>
      </x:c>
      <x:c r="D344" s="26" t="n">
        <x:v>45</x:v>
      </x:c>
      <x:c r="E344" s="26" t="n">
        <x:v>45</x:v>
      </x:c>
      <x:c r="F344" s="26" t="str">
        <x:v>Ríos-Rull</x:v>
      </x:c>
      <x:c r="G344" s="26" t="n">
        <x:v>2024</x:v>
      </x:c>
      <x:c r="H344" s="25" t="str">
        <x:v>RealMonetaryPolicy</x:v>
      </x:c>
      <x:c r="I344" s="25" t="str"/>
      <x:c r="J344" s="25" t="str"/>
      <x:c r="K344" s="25" t="str">
        <x:v>automatic_screen_pass</x:v>
      </x:c>
      <x:c r="L344" s="25" t="str">
        <x:v>accepted</x:v>
      </x:c>
      <x:c r="M344" s="25" t="str">
        <x:v>no</x:v>
      </x:c>
      <x:c r="N344" s="25" t="str">
        <x:v>saki_research/published_papers/bianchi_bigio_portfolio_choice_settlement_frictions_theory_endogenous_convenience_yields.pdf</x:v>
      </x:c>
      <x:c r="O344" s="25" t="str">
        <x:v>Ríos-Rull, José-Víctor, JoaoRitto, TamonTakamura, andYazTerajima, “RealMonetaryPolicy,”October2024. Mimeo,UniversityofPennsylvania.</x:v>
      </x:c>
    </x:row>
    <x:row r="345" ht="48" customHeight="1">
      <x:c r="A345" s="24" t="str">
        <x:v>P12-R049</x:v>
      </x:c>
      <x:c r="B345" s="24" t="str">
        <x:v>P12</x:v>
      </x:c>
      <x:c r="C345" s="26" t="n">
        <x:v>49</x:v>
      </x:c>
      <x:c r="D345" s="26" t="n">
        <x:v>45</x:v>
      </x:c>
      <x:c r="E345" s="26" t="n">
        <x:v>45</x:v>
      </x:c>
      <x:c r="F345" s="26" t="str">
        <x:v>Shi</x:v>
      </x:c>
      <x:c r="G345" s="26" t="n">
        <x:v>1997</x:v>
      </x:c>
      <x:c r="H345" s="25" t="str">
        <x:v>ADivisibleSearchModelofFiatMoney</x:v>
      </x:c>
      <x:c r="I345" s="25" t="str"/>
      <x:c r="J345" s="25" t="str"/>
      <x:c r="K345" s="25" t="str">
        <x:v>automatic_screen_pass</x:v>
      </x:c>
      <x:c r="L345" s="25" t="str">
        <x:v>accepted</x:v>
      </x:c>
      <x:c r="M345" s="25" t="str">
        <x:v>no</x:v>
      </x:c>
      <x:c r="N345" s="25" t="str">
        <x:v>saki_research/published_papers/bianchi_bigio_portfolio_choice_settlement_frictions_theory_endogenous_convenience_yields.pdf</x:v>
      </x:c>
      <x:c r="O345" s="25" t="str">
        <x:v>Shi,Shouyong,“ADivisibleSearchModelofFiatMoney,”Econometrica,1997,65,75–102.</x:v>
      </x:c>
    </x:row>
    <x:row r="346" ht="48" customHeight="1">
      <x:c r="A346" s="24" t="str">
        <x:v>P12-R050</x:v>
      </x:c>
      <x:c r="B346" s="24" t="str">
        <x:v>P12</x:v>
      </x:c>
      <x:c r="C346" s="26" t="n">
        <x:v>50</x:v>
      </x:c>
      <x:c r="D346" s="26" t="n">
        <x:v>45</x:v>
      </x:c>
      <x:c r="E346" s="26" t="n">
        <x:v>45</x:v>
      </x:c>
      <x:c r="F346" s="26" t="str">
        <x:v>Silva</x:v>
      </x:c>
      <x:c r="G346" s="26" t="n">
        <x:v>2023</x:v>
      </x:c>
      <x:c r="H346" s="25" t="str">
        <x:v>Liquidity and Risk in OTC Markets: A TheoryofAssetPricingandPortfolioFlows</x:v>
      </x:c>
      <x:c r="I346" s="25" t="str"/>
      <x:c r="J346" s="25" t="str"/>
      <x:c r="K346" s="25" t="str">
        <x:v>automatic_screen_pass</x:v>
      </x:c>
      <x:c r="L346" s="25" t="str">
        <x:v>accepted</x:v>
      </x:c>
      <x:c r="M346" s="25" t="str">
        <x:v>no</x:v>
      </x:c>
      <x:c r="N346" s="25" t="str">
        <x:v>saki_research/published_papers/bianchi_bigio_portfolio_choice_settlement_frictions_theory_endogenous_convenience_yields.pdf</x:v>
      </x:c>
      <x:c r="O346" s="25" t="str">
        <x:v>Silva, Dejanir, Juan Passadore, and Mahyar Kargar, “Liquidity and Risk in OTC Markets: A TheoryofAssetPricingandPortfolioFlows,”2023. WorkingPaper.</x:v>
      </x:c>
    </x:row>
    <x:row r="347" ht="48" customHeight="1">
      <x:c r="A347" s="24" t="str">
        <x:v>P12-R051</x:v>
      </x:c>
      <x:c r="B347" s="24" t="str">
        <x:v>P12</x:v>
      </x:c>
      <x:c r="C347" s="26" t="n">
        <x:v>51</x:v>
      </x:c>
      <x:c r="D347" s="26" t="n">
        <x:v>45</x:v>
      </x:c>
      <x:c r="E347" s="26" t="n">
        <x:v>45</x:v>
      </x:c>
      <x:c r="F347" s="26" t="str">
        <x:v>Uslu</x:v>
      </x:c>
      <x:c r="G347" s="26" t="n">
        <x:v>2019</x:v>
      </x:c>
      <x:c r="H347" s="25" t="str">
        <x:v>Pricing and Liquidity in Decentralized Asset Markets</x:v>
      </x:c>
      <x:c r="I347" s="25" t="str"/>
      <x:c r="J347" s="25" t="str"/>
      <x:c r="K347" s="25" t="str">
        <x:v>automatic_screen_pass</x:v>
      </x:c>
      <x:c r="L347" s="25" t="str">
        <x:v>accepted</x:v>
      </x:c>
      <x:c r="M347" s="25" t="str">
        <x:v>no</x:v>
      </x:c>
      <x:c r="N347" s="25" t="str">
        <x:v>saki_research/published_papers/bianchi_bigio_portfolio_choice_settlement_frictions_theory_endogenous_convenience_yields.pdf</x:v>
      </x:c>
      <x:c r="O347" s="25" t="str">
        <x:v>Uslu, Semih, “Pricing and Liquidity in Decentralized Asset Markets,” Econometrica, 2019, 87 (6), 2079–2140.</x:v>
      </x:c>
    </x:row>
    <x:row r="348" ht="48" customHeight="1">
      <x:c r="A348" s="24" t="str">
        <x:v>P12-R052</x:v>
      </x:c>
      <x:c r="B348" s="24" t="str">
        <x:v>P12</x:v>
      </x:c>
      <x:c r="C348" s="26" t="n">
        <x:v>52</x:v>
      </x:c>
      <x:c r="D348" s="26" t="n">
        <x:v>45</x:v>
      </x:c>
      <x:c r="E348" s="26" t="n">
        <x:v>45</x:v>
      </x:c>
      <x:c r="F348" s="26" t="str">
        <x:v>Vayanos</x:v>
      </x:c>
      <x:c r="G348" s="26" t="n">
        <x:v>1999</x:v>
      </x:c>
      <x:c r="H348" s="25" t="str">
        <x:v>Equilibrium Interest Rate and Liquidity Premium with TransactionCosts</x:v>
      </x:c>
      <x:c r="I348" s="25" t="str"/>
      <x:c r="J348" s="25" t="str"/>
      <x:c r="K348" s="25" t="str">
        <x:v>automatic_screen_pass</x:v>
      </x:c>
      <x:c r="L348" s="25" t="str">
        <x:v>accepted</x:v>
      </x:c>
      <x:c r="M348" s="25" t="str">
        <x:v>no</x:v>
      </x:c>
      <x:c r="N348" s="25" t="str">
        <x:v>saki_research/published_papers/bianchi_bigio_portfolio_choice_settlement_frictions_theory_endogenous_convenience_yields.pdf</x:v>
      </x:c>
      <x:c r="O348" s="25" t="str">
        <x:v>Vayanos, Dimitri and Jean-Luc Vila, “Equilibrium Interest Rate and Liquidity Premium with TransactionCosts,”EconomicTheory,1999,13,509–539.</x:v>
      </x:c>
    </x:row>
    <x:row r="349" ht="48" customHeight="1">
      <x:c r="A349" s="24" t="str">
        <x:v>P12-R053</x:v>
      </x:c>
      <x:c r="B349" s="24" t="str">
        <x:v>P12</x:v>
      </x:c>
      <x:c r="C349" s="26" t="n">
        <x:v>53</x:v>
      </x:c>
      <x:c r="D349" s="26" t="n">
        <x:v>45</x:v>
      </x:c>
      <x:c r="E349" s="26" t="n">
        <x:v>45</x:v>
      </x:c>
      <x:c r="F349" s="26" t="str">
        <x:v>Williamson</x:v>
      </x:c>
      <x:c r="G349" s="26" t="n">
        <x:v>2010</x:v>
      </x:c>
      <x:c r="H349" s="25" t="str">
        <x:v>New Monetarist Economics: Models</x:v>
      </x:c>
      <x:c r="I349" s="25" t="str"/>
      <x:c r="J349" s="25" t="str"/>
      <x:c r="K349" s="25" t="str">
        <x:v>automatic_screen_pass</x:v>
      </x:c>
      <x:c r="L349" s="25" t="str">
        <x:v>accepted</x:v>
      </x:c>
      <x:c r="M349" s="25" t="str">
        <x:v>no</x:v>
      </x:c>
      <x:c r="N349" s="25" t="str">
        <x:v>saki_research/published_papers/bianchi_bigio_portfolio_choice_settlement_frictions_theory_endogenous_convenience_yields.pdf</x:v>
      </x:c>
      <x:c r="O349" s="25" t="str">
        <x:v>Williamson, Stephen D. and Randall Wright, “New Monetarist Economics: Models,” in BenjaminM.FriedmanandMichaelWoodford,eds.,HandbookofMonetaryEconomics,Vol.3,Elsevier, 2010,chapter2,p.25–96.</x:v>
      </x:c>
    </x:row>
    <x:row r="350" ht="48" customHeight="1">
      <x:c r="A350" s="24" t="str">
        <x:v>P12-R054</x:v>
      </x:c>
      <x:c r="B350" s="24" t="str">
        <x:v>P12</x:v>
      </x:c>
      <x:c r="C350" s="26" t="n">
        <x:v>54</x:v>
      </x:c>
      <x:c r="D350" s="26" t="n">
        <x:v>45</x:v>
      </x:c>
      <x:c r="E350" s="26" t="n">
        <x:v>45</x:v>
      </x:c>
      <x:c r="F350" s="26" t="str">
        <x:v>Wong</x:v>
      </x:c>
      <x:c r="G350" s="26" t="n">
        <x:v>2023</x:v>
      </x:c>
      <x:c r="H350" s="25" t="str">
        <x:v>DisintermediatingtheFederalFundsMarket</x:v>
      </x:c>
      <x:c r="I350" s="25" t="str"/>
      <x:c r="J350" s="25" t="str"/>
      <x:c r="K350" s="25" t="str">
        <x:v>automatic_screen_pass</x:v>
      </x:c>
      <x:c r="L350" s="25" t="str">
        <x:v>accepted</x:v>
      </x:c>
      <x:c r="M350" s="25" t="str">
        <x:v>no</x:v>
      </x:c>
      <x:c r="N350" s="25" t="str">
        <x:v>saki_research/published_papers/bianchi_bigio_portfolio_choice_settlement_frictions_theory_endogenous_convenience_yields.pdf</x:v>
      </x:c>
      <x:c r="O350" s="25" t="str">
        <x:v>Wong,RussellandMengboZhang,“DisintermediatingtheFederalFundsMarket,”2023.Working Paper.</x:v>
      </x:c>
    </x:row>
    <x:row r="351" ht="48" customHeight="1">
      <x:c r="A351" s="24" t="str">
        <x:v>P12-R055</x:v>
      </x:c>
      <x:c r="B351" s="24" t="str">
        <x:v>P12</x:v>
      </x:c>
      <x:c r="C351" s="26" t="n">
        <x:v>55</x:v>
      </x:c>
      <x:c r="D351" s="26" t="n">
        <x:v>45</x:v>
      </x:c>
      <x:c r="E351" s="26" t="n">
        <x:v>45</x:v>
      </x:c>
      <x:c r="F351" s="26" t="str">
        <x:v>Yared</x:v>
      </x:c>
      <x:c r="G351" s="26" t="n">
        <x:v>2013</x:v>
      </x:c>
      <x:c r="H351" s="25" t="str">
        <x:v>PublicDebtUnderLimitedPrivateCredit</x:v>
      </x:c>
      <x:c r="I351" s="25" t="str"/>
      <x:c r="J351" s="25" t="str"/>
      <x:c r="K351" s="25" t="str">
        <x:v>automatic_screen_pass</x:v>
      </x:c>
      <x:c r="L351" s="25" t="str">
        <x:v>accepted</x:v>
      </x:c>
      <x:c r="M351" s="25" t="str">
        <x:v>no</x:v>
      </x:c>
      <x:c r="N351" s="25" t="str">
        <x:v>saki_research/published_papers/bianchi_bigio_portfolio_choice_settlement_frictions_theory_endogenous_convenience_yields.pdf</x:v>
      </x:c>
      <x:c r="O351" s="25" t="str">
        <x:v>Yared,Pierre,“PublicDebtUnderLimitedPrivateCredit,”JournaloftheEuropeanEconomicAssociation,2013,11(2),229–245.</x:v>
      </x:c>
    </x:row>
    <x:row r="352" ht="48" customHeight="1">
      <x:c r="A352" s="24" t="str">
        <x:v>P06-R001</x:v>
      </x:c>
      <x:c r="B352" s="24" t="str">
        <x:v>P06</x:v>
      </x:c>
      <x:c r="C352" s="26" t="n">
        <x:v>1</x:v>
      </x:c>
      <x:c r="D352" s="26" t="n">
        <x:v>39</x:v>
      </x:c>
      <x:c r="E352" s="26" t="n">
        <x:v>39</x:v>
      </x:c>
      <x:c r="F352" s="26" t="str">
        <x:v>Ajello</x:v>
      </x:c>
      <x:c r="G352" s="26" t="n">
        <x:v>2016</x:v>
      </x:c>
      <x:c r="H352" s="25" t="str">
        <x:v>Financial intermediation, investment dynamics, and business cycle fluctuations</x:v>
      </x:c>
      <x:c r="I352" s="25" t="str"/>
      <x:c r="J352" s="25" t="str">
        <x:v>local_citation_grammar_v3</x:v>
      </x:c>
      <x:c r="K352" s="25" t="str">
        <x:v>automatic_screen_pass</x:v>
      </x:c>
      <x:c r="L352" s="25" t="str">
        <x:v>accepted</x:v>
      </x:c>
      <x:c r="M352" s="25" t="str">
        <x:v>no</x:v>
      </x:c>
      <x:c r="N352" s="25" t="str">
        <x:v>saki_research/published_papers/bigio_d_anvernas_financial_risk_capacity.pdf</x:v>
      </x:c>
      <x:c r="O352" s="25" t="str">
        <x:v>Ajello, Andrea. Financial intermediation, investment dynamics, and business cycle fluctuations. American Economic Review, 106(8):2256–2303, 2016.</x:v>
      </x:c>
    </x:row>
    <x:row r="353" ht="48" customHeight="1">
      <x:c r="A353" s="24" t="str">
        <x:v>P06-R002</x:v>
      </x:c>
      <x:c r="B353" s="24" t="str">
        <x:v>P06</x:v>
      </x:c>
      <x:c r="C353" s="26" t="n">
        <x:v>2</x:v>
      </x:c>
      <x:c r="D353" s="26" t="n">
        <x:v>39</x:v>
      </x:c>
      <x:c r="E353" s="26" t="n">
        <x:v>39</x:v>
      </x:c>
      <x:c r="F353" s="26" t="str">
        <x:v>Akerlof</x:v>
      </x:c>
      <x:c r="G353" s="26" t="n">
        <x:v>1978</x:v>
      </x:c>
      <x:c r="H353" s="25" t="str">
        <x:v>The market for “lemons”: Quality uncertainty and the market mechanism</x:v>
      </x:c>
      <x:c r="I353" s="25" t="str"/>
      <x:c r="J353" s="25" t="str">
        <x:v>local_citation_grammar_v3</x:v>
      </x:c>
      <x:c r="K353" s="25" t="str">
        <x:v>automatic_screen_pass</x:v>
      </x:c>
      <x:c r="L353" s="25" t="str">
        <x:v>accepted</x:v>
      </x:c>
      <x:c r="M353" s="25" t="str">
        <x:v>no</x:v>
      </x:c>
      <x:c r="N353" s="25" t="str">
        <x:v>saki_research/published_papers/bigio_d_anvernas_financial_risk_capacity.pdf</x:v>
      </x:c>
      <x:c r="O353" s="25" t="str">
        <x:v>Akerlof, George A. The market for “lemons”: Quality uncertainty and the market mechanism. In Uncertainty in economics, pages 235–251. Elsevier, 1978.</x:v>
      </x:c>
    </x:row>
    <x:row r="354" ht="48" customHeight="1">
      <x:c r="A354" s="24" t="str">
        <x:v>P06-R003</x:v>
      </x:c>
      <x:c r="B354" s="24" t="str">
        <x:v>P06</x:v>
      </x:c>
      <x:c r="C354" s="26" t="n">
        <x:v>3</x:v>
      </x:c>
      <x:c r="D354" s="26" t="n">
        <x:v>39</x:v>
      </x:c>
      <x:c r="E354" s="26" t="n">
        <x:v>39</x:v>
      </x:c>
      <x:c r="F354" s="26" t="str">
        <x:v>Bagehot</x:v>
      </x:c>
      <x:c r="G354" s="26" t="n">
        <x:v>1873</x:v>
      </x:c>
      <x:c r="H354" s="25" t="str">
        <x:v>Lombard Street: A description of the money market</x:v>
      </x:c>
      <x:c r="I354" s="25" t="str"/>
      <x:c r="J354" s="25" t="str">
        <x:v>local_citation_grammar_v3</x:v>
      </x:c>
      <x:c r="K354" s="25" t="str">
        <x:v>automatic_screen_pass</x:v>
      </x:c>
      <x:c r="L354" s="25" t="str">
        <x:v>accepted</x:v>
      </x:c>
      <x:c r="M354" s="25" t="str">
        <x:v>no</x:v>
      </x:c>
      <x:c r="N354" s="25" t="str">
        <x:v>saki_research/published_papers/bigio_d_anvernas_financial_risk_capacity.pdf</x:v>
      </x:c>
      <x:c r="O354" s="25" t="str">
        <x:v>Bagehot, Walter. Lombard Street: A description of the money market. London: HS King, 1873.</x:v>
      </x:c>
    </x:row>
    <x:row r="355" ht="48" customHeight="1">
      <x:c r="A355" s="24" t="str">
        <x:v>P06-R004</x:v>
      </x:c>
      <x:c r="B355" s="24" t="str">
        <x:v>P06</x:v>
      </x:c>
      <x:c r="C355" s="26" t="n">
        <x:v>4</x:v>
      </x:c>
      <x:c r="D355" s="26" t="n">
        <x:v>39</x:v>
      </x:c>
      <x:c r="E355" s="26" t="n">
        <x:v>39</x:v>
      </x:c>
      <x:c r="F355" s="26" t="str">
        <x:v>Begenau</x:v>
      </x:c>
      <x:c r="G355" s="26" t="n">
        <x:v>2019</x:v>
      </x:c>
      <x:c r="H355" s="25" t="str">
        <x:v>Capital requirements, risk choice, and liquidity provision in a business-cycle model</x:v>
      </x:c>
      <x:c r="I355" s="25" t="str"/>
      <x:c r="J355" s="25" t="str">
        <x:v>local_citation_grammar_v3</x:v>
      </x:c>
      <x:c r="K355" s="25" t="str">
        <x:v>automatic_screen_pass</x:v>
      </x:c>
      <x:c r="L355" s="25" t="str">
        <x:v>accepted</x:v>
      </x:c>
      <x:c r="M355" s="25" t="str">
        <x:v>no</x:v>
      </x:c>
      <x:c r="N355" s="25" t="str">
        <x:v>saki_research/published_papers/bigio_d_anvernas_financial_risk_capacity.pdf</x:v>
      </x:c>
      <x:c r="O355" s="25" t="str">
        <x:v>Begenau, Juliane. Capital requirements, risk choice, and liquidity provision in a business-cycle model. Journal of Financial Economics, 2019.</x:v>
      </x:c>
    </x:row>
    <x:row r="356" ht="48" customHeight="1">
      <x:c r="A356" s="24" t="str">
        <x:v>P06-R005</x:v>
      </x:c>
      <x:c r="B356" s="24" t="str">
        <x:v>P06</x:v>
      </x:c>
      <x:c r="C356" s="26" t="n">
        <x:v>5</x:v>
      </x:c>
      <x:c r="D356" s="26" t="n">
        <x:v>39</x:v>
      </x:c>
      <x:c r="E356" s="26" t="n">
        <x:v>39</x:v>
      </x:c>
      <x:c r="F356" s="26" t="str">
        <x:v>Bernanke</x:v>
      </x:c>
      <x:c r="G356" s="26" t="n">
        <x:v>1989</x:v>
      </x:c>
      <x:c r="H356" s="25" t="str">
        <x:v>Agency costs, net worth and business fluctuations</x:v>
      </x:c>
      <x:c r="I356" s="25" t="str"/>
      <x:c r="J356" s="25" t="str">
        <x:v>local_citation_grammar_v3; exhaustive_title_boundary_audit_2026-09-17</x:v>
      </x:c>
      <x:c r="K356" s="25" t="str">
        <x:v>prior_manual_sample</x:v>
      </x:c>
      <x:c r="L356" s="25" t="str">
        <x:v>corrected</x:v>
      </x:c>
      <x:c r="M356" s="25" t="str">
        <x:v>no</x:v>
      </x:c>
      <x:c r="N356" s="25" t="str">
        <x:v>saki_research/published_papers/bigio_d_anvernas_financial_risk_capacity.pdf</x:v>
      </x:c>
      <x:c r="O356" s="25" t="str">
        <x:v>Bernanke,BenandGertler,Mark. Agencycosts,networthandbusinessfluctuations. The American Economic Review, 79(1):14–31, March 1989.</x:v>
      </x:c>
    </x:row>
    <x:row r="357" ht="48" customHeight="1">
      <x:c r="A357" s="24" t="str">
        <x:v>P06-R006</x:v>
      </x:c>
      <x:c r="B357" s="24" t="str">
        <x:v>P06</x:v>
      </x:c>
      <x:c r="C357" s="26" t="n">
        <x:v>6</x:v>
      </x:c>
      <x:c r="D357" s="26" t="n">
        <x:v>39</x:v>
      </x:c>
      <x:c r="E357" s="26" t="n">
        <x:v>39</x:v>
      </x:c>
      <x:c r="F357" s="26" t="str">
        <x:v>Bernanke</x:v>
      </x:c>
      <x:c r="G357" s="26" t="n">
        <x:v>1994</x:v>
      </x:c>
      <x:c r="H357" s="25" t="str">
        <x:v>The financial accelerator and the flight to quality</x:v>
      </x:c>
      <x:c r="I357" s="25" t="str"/>
      <x:c r="J357" s="25" t="str">
        <x:v>local_citation_grammar_v3</x:v>
      </x:c>
      <x:c r="K357" s="25" t="str">
        <x:v>automatic_screen_pass</x:v>
      </x:c>
      <x:c r="L357" s="25" t="str">
        <x:v>accepted</x:v>
      </x:c>
      <x:c r="M357" s="25" t="str">
        <x:v>no</x:v>
      </x:c>
      <x:c r="N357" s="25" t="str">
        <x:v>saki_research/published_papers/bigio_d_anvernas_financial_risk_capacity.pdf</x:v>
      </x:c>
      <x:c r="O357" s="25" t="str">
        <x:v>Bernanke, Ben, Gertler, Mark, and Gilchrist, Simon. The financial accelerator and the flight to quality. Technical report, National Bureau of Economic Research, 1994.</x:v>
      </x:c>
    </x:row>
    <x:row r="358" ht="48" customHeight="1">
      <x:c r="A358" s="24" t="str">
        <x:v>P06-R007</x:v>
      </x:c>
      <x:c r="B358" s="24" t="str">
        <x:v>P06</x:v>
      </x:c>
      <x:c r="C358" s="26" t="n">
        <x:v>7</x:v>
      </x:c>
      <x:c r="D358" s="26" t="n">
        <x:v>39</x:v>
      </x:c>
      <x:c r="E358" s="26" t="n">
        <x:v>39</x:v>
      </x:c>
      <x:c r="F358" s="26" t="str">
        <x:v>Bigio</x:v>
      </x:c>
      <x:c r="G358" s="26" t="n">
        <x:v>2015</x:v>
      </x:c>
      <x:c r="H358" s="25" t="str">
        <x:v>Endogenous liquidity and the business cycle</x:v>
      </x:c>
      <x:c r="I358" s="25" t="str"/>
      <x:c r="J358" s="25" t="str">
        <x:v>local_citation_grammar_v3</x:v>
      </x:c>
      <x:c r="K358" s="25" t="str">
        <x:v>exhaustive_visual_multiwork_pattern_accepted</x:v>
      </x:c>
      <x:c r="L358" s="25" t="str">
        <x:v>accepted</x:v>
      </x:c>
      <x:c r="M358" s="25" t="str">
        <x:v>sí</x:v>
      </x:c>
      <x:c r="N358" s="25" t="str">
        <x:v>saki_research/published_papers/bigio_d_anvernas_financial_risk_capacity.pdf</x:v>
      </x:c>
      <x:c r="O358" s="25" t="str">
        <x:v>Bigio, Saki. Endogenous liquidity and the business cycle. American Economic Review, 105(6):1883–1927, 2015.</x:v>
      </x:c>
    </x:row>
    <x:row r="359" ht="48" customHeight="1">
      <x:c r="A359" s="24" t="str">
        <x:v>P06-R008</x:v>
      </x:c>
      <x:c r="B359" s="24" t="str">
        <x:v>P06</x:v>
      </x:c>
      <x:c r="C359" s="26" t="n">
        <x:v>8</x:v>
      </x:c>
      <x:c r="D359" s="26" t="n">
        <x:v>39</x:v>
      </x:c>
      <x:c r="E359" s="26" t="n">
        <x:v>39</x:v>
      </x:c>
      <x:c r="F359" s="26" t="str">
        <x:v>Bigio</x:v>
      </x:c>
      <x:c r="G359" s="26" t="n">
        <x:v>2019</x:v>
      </x:c>
      <x:c r="H359" s="25" t="str">
        <x:v>Repurchase options in the markets for lemons</x:v>
      </x:c>
      <x:c r="I359" s="25" t="str"/>
      <x:c r="J359" s="25" t="str">
        <x:v>local_citation_grammar_v3</x:v>
      </x:c>
      <x:c r="K359" s="25" t="str">
        <x:v>automatic_screen_pass</x:v>
      </x:c>
      <x:c r="L359" s="25" t="str">
        <x:v>accepted</x:v>
      </x:c>
      <x:c r="M359" s="25" t="str">
        <x:v>no</x:v>
      </x:c>
      <x:c r="N359" s="25" t="str">
        <x:v>saki_research/published_papers/bigio_d_anvernas_financial_risk_capacity.pdf</x:v>
      </x:c>
      <x:c r="O359" s="25" t="str">
        <x:v>Bigio, Saki and Shi, Lyan. Repurchase options in the markets for lemons. Unpublished Manuscript, 2019.</x:v>
      </x:c>
    </x:row>
    <x:row r="360" ht="48" customHeight="1">
      <x:c r="A360" s="24" t="str">
        <x:v>P06-R009</x:v>
      </x:c>
      <x:c r="B360" s="24" t="str">
        <x:v>P06</x:v>
      </x:c>
      <x:c r="C360" s="26" t="n">
        <x:v>9</x:v>
      </x:c>
      <x:c r="D360" s="26" t="n">
        <x:v>39</x:v>
      </x:c>
      <x:c r="E360" s="26" t="n">
        <x:v>39</x:v>
      </x:c>
      <x:c r="F360" s="26" t="str">
        <x:v>Bigio</x:v>
      </x:c>
      <x:c r="G360" s="26" t="n">
        <x:v>2016</x:v>
      </x:c>
      <x:c r="H360" s="25" t="str">
        <x:v>A theory of bank balance sheets</x:v>
      </x:c>
      <x:c r="I360" s="25" t="str"/>
      <x:c r="J360" s="25" t="str">
        <x:v>local_citation_grammar_v3</x:v>
      </x:c>
      <x:c r="K360" s="25" t="str">
        <x:v>automatic_screen_pass</x:v>
      </x:c>
      <x:c r="L360" s="25" t="str">
        <x:v>accepted</x:v>
      </x:c>
      <x:c r="M360" s="25" t="str">
        <x:v>no</x:v>
      </x:c>
      <x:c r="N360" s="25" t="str">
        <x:v>saki_research/published_papers/bigio_d_anvernas_financial_risk_capacity.pdf</x:v>
      </x:c>
      <x:c r="O360" s="25" t="str">
        <x:v>Bigio, Saki and Weill, Pierre-Olivier. A theory of bank balance sheets. Technical report, Working Paper, 2016.</x:v>
      </x:c>
    </x:row>
    <x:row r="361" ht="48" customHeight="1">
      <x:c r="A361" s="24" t="str">
        <x:v>P06-R010</x:v>
      </x:c>
      <x:c r="B361" s="24" t="str">
        <x:v>P06</x:v>
      </x:c>
      <x:c r="C361" s="26" t="n">
        <x:v>10</x:v>
      </x:c>
      <x:c r="D361" s="26" t="n">
        <x:v>39</x:v>
      </x:c>
      <x:c r="E361" s="26" t="n">
        <x:v>39</x:v>
      </x:c>
      <x:c r="F361" s="26" t="str">
        <x:v>Bloom</x:v>
      </x:c>
      <x:c r="G361" s="26" t="n">
        <x:v>2009</x:v>
      </x:c>
      <x:c r="H361" s="25" t="str">
        <x:v>The impact of uncertainty shocks</x:v>
      </x:c>
      <x:c r="I361" s="25" t="str"/>
      <x:c r="J361" s="25" t="str">
        <x:v>local_citation_grammar_v3</x:v>
      </x:c>
      <x:c r="K361" s="25" t="str">
        <x:v>automatic_screen_pass</x:v>
      </x:c>
      <x:c r="L361" s="25" t="str">
        <x:v>accepted</x:v>
      </x:c>
      <x:c r="M361" s="25" t="str">
        <x:v>no</x:v>
      </x:c>
      <x:c r="N361" s="25" t="str">
        <x:v>saki_research/published_papers/bigio_d_anvernas_financial_risk_capacity.pdf</x:v>
      </x:c>
      <x:c r="O361" s="25" t="str">
        <x:v>Bloom, Nicholas. The impact of uncertainty shocks. econometrica, 77(3):623–685, 2009.</x:v>
      </x:c>
    </x:row>
    <x:row r="362" ht="48" customHeight="1">
      <x:c r="A362" s="24" t="str">
        <x:v>P06-R011</x:v>
      </x:c>
      <x:c r="B362" s="24" t="str">
        <x:v>P06</x:v>
      </x:c>
      <x:c r="C362" s="26" t="n">
        <x:v>11</x:v>
      </x:c>
      <x:c r="D362" s="26" t="n">
        <x:v>39</x:v>
      </x:c>
      <x:c r="E362" s="26" t="n">
        <x:v>39</x:v>
      </x:c>
      <x:c r="F362" s="26" t="str">
        <x:v>Boyd</x:v>
      </x:c>
      <x:c r="G362" s="26" t="n">
        <x:v>1986</x:v>
      </x:c>
      <x:c r="H362" s="25" t="str">
        <x:v>Financial intermediary-coalitions</x:v>
      </x:c>
      <x:c r="I362" s="25" t="str"/>
      <x:c r="J362" s="25" t="str">
        <x:v>local_citation_grammar_v3</x:v>
      </x:c>
      <x:c r="K362" s="25" t="str">
        <x:v>prior_manual_sample</x:v>
      </x:c>
      <x:c r="L362" s="25" t="str">
        <x:v>accepted</x:v>
      </x:c>
      <x:c r="M362" s="25" t="str">
        <x:v>no</x:v>
      </x:c>
      <x:c r="N362" s="25" t="str">
        <x:v>saki_research/published_papers/bigio_d_anvernas_financial_risk_capacity.pdf</x:v>
      </x:c>
      <x:c r="O362" s="25" t="str">
        <x:v>Boyd, John H and Prescott, Edward C. Financial intermediary-coalitions. Journal of Economic theory, 38(2):211–232, 1986.</x:v>
      </x:c>
    </x:row>
    <x:row r="363" ht="48" customHeight="1">
      <x:c r="A363" s="24" t="str">
        <x:v>P06-R012</x:v>
      </x:c>
      <x:c r="B363" s="24" t="str">
        <x:v>P06</x:v>
      </x:c>
      <x:c r="C363" s="26" t="n">
        <x:v>12</x:v>
      </x:c>
      <x:c r="D363" s="26" t="n">
        <x:v>39</x:v>
      </x:c>
      <x:c r="E363" s="26" t="n">
        <x:v>39</x:v>
      </x:c>
      <x:c r="F363" s="26" t="str">
        <x:v>Brunnermeier</x:v>
      </x:c>
      <x:c r="G363" s="26" t="n">
        <x:v>2008</x:v>
      </x:c>
      <x:c r="H363" s="25" t="str">
        <x:v>Market liquidity and funding liquidity</x:v>
      </x:c>
      <x:c r="I363" s="25" t="str"/>
      <x:c r="J363" s="25" t="str">
        <x:v>local_citation_grammar_v3</x:v>
      </x:c>
      <x:c r="K363" s="25" t="str">
        <x:v>automatic_screen_pass</x:v>
      </x:c>
      <x:c r="L363" s="25" t="str">
        <x:v>accepted</x:v>
      </x:c>
      <x:c r="M363" s="25" t="str">
        <x:v>no</x:v>
      </x:c>
      <x:c r="N363" s="25" t="str">
        <x:v>saki_research/published_papers/bigio_d_anvernas_financial_risk_capacity.pdf</x:v>
      </x:c>
      <x:c r="O363" s="25" t="str">
        <x:v>Brunnermeier, Markus K and Pedersen, Lasse Heje. Market liquidity and funding liquidity. The review of financial studies, 22(6):2201–2238, 2008.</x:v>
      </x:c>
    </x:row>
    <x:row r="364" ht="48" customHeight="1">
      <x:c r="A364" s="24" t="str">
        <x:v>P06-R013</x:v>
      </x:c>
      <x:c r="B364" s="24" t="str">
        <x:v>P06</x:v>
      </x:c>
      <x:c r="C364" s="26" t="n">
        <x:v>13</x:v>
      </x:c>
      <x:c r="D364" s="26" t="n">
        <x:v>40</x:v>
      </x:c>
      <x:c r="E364" s="26" t="n">
        <x:v>40</x:v>
      </x:c>
      <x:c r="F364" s="26" t="str">
        <x:v>Brunnermeier</x:v>
      </x:c>
      <x:c r="G364" s="26" t="n">
        <x:v>2014</x:v>
      </x:c>
      <x:c r="H364" s="25" t="str">
        <x:v>A macroeconomic model with a financial sector</x:v>
      </x:c>
      <x:c r="I364" s="25" t="str"/>
      <x:c r="J364" s="25" t="str">
        <x:v>local_citation_grammar_v3</x:v>
      </x:c>
      <x:c r="K364" s="25" t="str">
        <x:v>automatic_screen_pass</x:v>
      </x:c>
      <x:c r="L364" s="25" t="str">
        <x:v>accepted</x:v>
      </x:c>
      <x:c r="M364" s="25" t="str">
        <x:v>no</x:v>
      </x:c>
      <x:c r="N364" s="25" t="str">
        <x:v>saki_research/published_papers/bigio_d_anvernas_financial_risk_capacity.pdf</x:v>
      </x:c>
      <x:c r="O364" s="25" t="str">
        <x:v>Brunnermeier, Markus K and Sannikov, Yuliy. A macroeconomic model with a financial sector. American Economic Review, 104(2):379–421, 2014.</x:v>
      </x:c>
    </x:row>
    <x:row r="365" ht="48" customHeight="1">
      <x:c r="A365" s="24" t="str">
        <x:v>P06-R014</x:v>
      </x:c>
      <x:c r="B365" s="24" t="str">
        <x:v>P06</x:v>
      </x:c>
      <x:c r="C365" s="26" t="n">
        <x:v>14</x:v>
      </x:c>
      <x:c r="D365" s="26" t="n">
        <x:v>40</x:v>
      </x:c>
      <x:c r="E365" s="26" t="n">
        <x:v>40</x:v>
      </x:c>
      <x:c r="F365" s="26" t="str">
        <x:v>Calomiris</x:v>
      </x:c>
      <x:c r="G365" s="26" t="n">
        <x:v>1991</x:v>
      </x:c>
      <x:c r="H365" s="25" t="str">
        <x:v>The origins of banking panics: Models, facts, and bank regulation</x:v>
      </x:c>
      <x:c r="I365" s="25" t="str"/>
      <x:c r="J365" s="25" t="str">
        <x:v>local_citation_grammar_v3</x:v>
      </x:c>
      <x:c r="K365" s="25" t="str">
        <x:v>automatic_screen_pass</x:v>
      </x:c>
      <x:c r="L365" s="25" t="str">
        <x:v>accepted</x:v>
      </x:c>
      <x:c r="M365" s="25" t="str">
        <x:v>no</x:v>
      </x:c>
      <x:c r="N365" s="25" t="str">
        <x:v>saki_research/published_papers/bigio_d_anvernas_financial_risk_capacity.pdf</x:v>
      </x:c>
      <x:c r="O365" s="25" t="str">
        <x:v>Calomiris, Charles W. and Gorton, Gary. The origins of banking panics: Models, facts, and bank regulation. In Hubbard, R. Glenn, editor, Financial Markets and Financial Crises. University of Chicago Press, 1991.</x:v>
      </x:c>
    </x:row>
    <x:row r="366" ht="48" customHeight="1">
      <x:c r="A366" s="24" t="str">
        <x:v>P06-R015</x:v>
      </x:c>
      <x:c r="B366" s="24" t="str">
        <x:v>P06</x:v>
      </x:c>
      <x:c r="C366" s="26" t="n">
        <x:v>15</x:v>
      </x:c>
      <x:c r="D366" s="26" t="n">
        <x:v>40</x:v>
      </x:c>
      <x:c r="E366" s="26" t="n">
        <x:v>40</x:v>
      </x:c>
      <x:c r="F366" s="26" t="str">
        <x:v>Cerra</x:v>
      </x:c>
      <x:c r="G366" s="26" t="n">
        <x:v>2008</x:v>
      </x:c>
      <x:c r="H366" s="25" t="str">
        <x:v>Growthdynamics: themythofeconomic recovery</x:v>
      </x:c>
      <x:c r="I366" s="25" t="str"/>
      <x:c r="J366" s="25" t="str">
        <x:v>local_citation_grammar_v3</x:v>
      </x:c>
      <x:c r="K366" s="25" t="str">
        <x:v>automatic_screen_pass</x:v>
      </x:c>
      <x:c r="L366" s="25" t="str">
        <x:v>accepted</x:v>
      </x:c>
      <x:c r="M366" s="25" t="str">
        <x:v>no</x:v>
      </x:c>
      <x:c r="N366" s="25" t="str">
        <x:v>saki_research/published_papers/bigio_d_anvernas_financial_risk_capacity.pdf</x:v>
      </x:c>
      <x:c r="O366" s="25" t="str">
        <x:v>Cerra, ValerieandSaxena, SwetaChaman. Growthdynamics: themythofeconomic recovery. American Economic Review, 98(1):439–57, 2008.</x:v>
      </x:c>
    </x:row>
    <x:row r="367" ht="48" customHeight="1">
      <x:c r="A367" s="24" t="str">
        <x:v>P06-R016</x:v>
      </x:c>
      <x:c r="B367" s="24" t="str">
        <x:v>P06</x:v>
      </x:c>
      <x:c r="C367" s="26" t="n">
        <x:v>16</x:v>
      </x:c>
      <x:c r="D367" s="26" t="n">
        <x:v>40</x:v>
      </x:c>
      <x:c r="E367" s="26" t="n">
        <x:v>40</x:v>
      </x:c>
      <x:c r="F367" s="26" t="str">
        <x:v>Chernow</x:v>
      </x:c>
      <x:c r="G367" s="26" t="n">
        <x:v>2010</x:v>
      </x:c>
      <x:c r="H367" s="25" t="str">
        <x:v>The house of Morgan: An American banking dynasty and the rise of modern finance</x:v>
      </x:c>
      <x:c r="I367" s="25" t="str"/>
      <x:c r="J367" s="25" t="str">
        <x:v>local_citation_grammar_v3</x:v>
      </x:c>
      <x:c r="K367" s="25" t="str">
        <x:v>prior_manual_sample</x:v>
      </x:c>
      <x:c r="L367" s="25" t="str">
        <x:v>accepted</x:v>
      </x:c>
      <x:c r="M367" s="25" t="str">
        <x:v>no</x:v>
      </x:c>
      <x:c r="N367" s="25" t="str">
        <x:v>saki_research/published_papers/bigio_d_anvernas_financial_risk_capacity.pdf</x:v>
      </x:c>
      <x:c r="O367" s="25" t="str">
        <x:v>Chernow, Ron. The house of Morgan: An American banking dynasty and the rise of modern finance. Grove/Atlantic, Inc., 2010.</x:v>
      </x:c>
    </x:row>
    <x:row r="368" ht="48" customHeight="1">
      <x:c r="A368" s="24" t="str">
        <x:v>P06-R017</x:v>
      </x:c>
      <x:c r="B368" s="24" t="str">
        <x:v>P06</x:v>
      </x:c>
      <x:c r="C368" s="26" t="n">
        <x:v>17</x:v>
      </x:c>
      <x:c r="D368" s="26" t="n">
        <x:v>40</x:v>
      </x:c>
      <x:c r="E368" s="26" t="n">
        <x:v>40</x:v>
      </x:c>
      <x:c r="F368" s="26" t="str">
        <x:v>Christiano</x:v>
      </x:c>
      <x:c r="G368" s="26" t="n">
        <x:v>2014</x:v>
      </x:c>
      <x:c r="H368" s="25" t="str">
        <x:v>Risk shocks</x:v>
      </x:c>
      <x:c r="I368" s="25" t="str"/>
      <x:c r="J368" s="25" t="str">
        <x:v>local_citation_grammar_v3</x:v>
      </x:c>
      <x:c r="K368" s="25" t="str">
        <x:v>automatic_screen_pass</x:v>
      </x:c>
      <x:c r="L368" s="25" t="str">
        <x:v>accepted</x:v>
      </x:c>
      <x:c r="M368" s="25" t="str">
        <x:v>no</x:v>
      </x:c>
      <x:c r="N368" s="25" t="str">
        <x:v>saki_research/published_papers/bigio_d_anvernas_financial_risk_capacity.pdf</x:v>
      </x:c>
      <x:c r="O368" s="25" t="str">
        <x:v>Christiano, Lawrence J, Motto, Roberto, and Rostagno, Massimo. Risk shocks. American Economic Review, 104(1):27–65, 2014.</x:v>
      </x:c>
    </x:row>
    <x:row r="369" ht="48" customHeight="1">
      <x:c r="A369" s="24" t="str">
        <x:v>P06-R018</x:v>
      </x:c>
      <x:c r="B369" s="24" t="str">
        <x:v>P06</x:v>
      </x:c>
      <x:c r="C369" s="26" t="n">
        <x:v>18</x:v>
      </x:c>
      <x:c r="D369" s="26" t="n">
        <x:v>40</x:v>
      </x:c>
      <x:c r="E369" s="26" t="n">
        <x:v>40</x:v>
      </x:c>
      <x:c r="F369" s="26" t="str">
        <x:v>Daley</x:v>
      </x:c>
      <x:c r="G369" s="26" t="n">
        <x:v>2012</x:v>
      </x:c>
      <x:c r="H369" s="25" t="str">
        <x:v>Waiting for news in the market for lemons</x:v>
      </x:c>
      <x:c r="I369" s="25" t="str"/>
      <x:c r="J369" s="25" t="str">
        <x:v>local_citation_grammar_v3; exhaustive_title_boundary_audit_2026-09-17</x:v>
      </x:c>
      <x:c r="K369" s="25" t="str">
        <x:v>exhaustive_visual_correction</x:v>
      </x:c>
      <x:c r="L369" s="25" t="str">
        <x:v>corrected</x:v>
      </x:c>
      <x:c r="M369" s="25" t="str">
        <x:v>no</x:v>
      </x:c>
      <x:c r="N369" s="25" t="str">
        <x:v>saki_research/published_papers/bigio_d_anvernas_financial_risk_capacity.pdf</x:v>
      </x:c>
      <x:c r="O369" s="25" t="str">
        <x:v>Daley,BrendanandGreen,Brett. Waitingfornewsinthemarketforlemons. Econometrica, 80(4):1433–1504, 2012.</x:v>
      </x:c>
    </x:row>
    <x:row r="370" ht="48" customHeight="1">
      <x:c r="A370" s="24" t="str">
        <x:v>P06-R019</x:v>
      </x:c>
      <x:c r="B370" s="24" t="str">
        <x:v>P06</x:v>
      </x:c>
      <x:c r="C370" s="26" t="n">
        <x:v>19</x:v>
      </x:c>
      <x:c r="D370" s="26" t="n">
        <x:v>40</x:v>
      </x:c>
      <x:c r="E370" s="26" t="n">
        <x:v>40</x:v>
      </x:c>
      <x:c r="F370" s="26" t="str">
        <x:v>Dang</x:v>
      </x:c>
      <x:c r="G370" s="26" t="n">
        <x:v>2017</x:v>
      </x:c>
      <x:c r="H370" s="25" t="str">
        <x:v>Banks as secret keepers</x:v>
      </x:c>
      <x:c r="I370" s="25" t="str"/>
      <x:c r="J370" s="25" t="str">
        <x:v>local_citation_grammar_v3</x:v>
      </x:c>
      <x:c r="K370" s="25" t="str">
        <x:v>automatic_screen_pass</x:v>
      </x:c>
      <x:c r="L370" s="25" t="str">
        <x:v>accepted</x:v>
      </x:c>
      <x:c r="M370" s="25" t="str">
        <x:v>no</x:v>
      </x:c>
      <x:c r="N370" s="25" t="str">
        <x:v>saki_research/published_papers/bigio_d_anvernas_financial_risk_capacity.pdf</x:v>
      </x:c>
      <x:c r="O370" s="25" t="str">
        <x:v>Dang, Tri Vi, Gorton, Gary, Holmstr ̈om, Bengt, and Ordonez, Guillermo. Banks as secret keepers. American Economic Review, 107(4):1005–29, 2017.</x:v>
      </x:c>
    </x:row>
    <x:row r="371" ht="48" customHeight="1">
      <x:c r="A371" s="24" t="str">
        <x:v>P06-R020</x:v>
      </x:c>
      <x:c r="B371" s="24" t="str">
        <x:v>P06</x:v>
      </x:c>
      <x:c r="C371" s="26" t="n">
        <x:v>20</x:v>
      </x:c>
      <x:c r="D371" s="26" t="n">
        <x:v>40</x:v>
      </x:c>
      <x:c r="E371" s="26" t="n">
        <x:v>40</x:v>
      </x:c>
      <x:c r="F371" s="26" t="str">
        <x:v>Diamond</x:v>
      </x:c>
      <x:c r="G371" s="26" t="n">
        <x:v>1984</x:v>
      </x:c>
      <x:c r="H371" s="25" t="str">
        <x:v>Financial intermediation and delegated monitoring</x:v>
      </x:c>
      <x:c r="I371" s="25" t="str"/>
      <x:c r="J371" s="25" t="str">
        <x:v>local_citation_grammar_v3</x:v>
      </x:c>
      <x:c r="K371" s="25" t="str">
        <x:v>automatic_screen_pass</x:v>
      </x:c>
      <x:c r="L371" s="25" t="str">
        <x:v>accepted</x:v>
      </x:c>
      <x:c r="M371" s="25" t="str">
        <x:v>no</x:v>
      </x:c>
      <x:c r="N371" s="25" t="str">
        <x:v>saki_research/published_papers/bigio_d_anvernas_financial_risk_capacity.pdf</x:v>
      </x:c>
      <x:c r="O371" s="25" t="str">
        <x:v>Diamond, Douglas W. Financial intermediation and delegated monitoring. The review of economic studies, 51(3):393–414, 1984.</x:v>
      </x:c>
    </x:row>
    <x:row r="372" ht="48" customHeight="1">
      <x:c r="A372" s="24" t="str">
        <x:v>P06-R021</x:v>
      </x:c>
      <x:c r="B372" s="24" t="str">
        <x:v>P06</x:v>
      </x:c>
      <x:c r="C372" s="26" t="n">
        <x:v>21</x:v>
      </x:c>
      <x:c r="D372" s="26" t="n">
        <x:v>40</x:v>
      </x:c>
      <x:c r="E372" s="26" t="n">
        <x:v>40</x:v>
      </x:c>
      <x:c r="F372" s="26" t="str">
        <x:v>Diamond</x:v>
      </x:c>
      <x:c r="G372" s="26" t="n">
        <x:v>2011</x:v>
      </x:c>
      <x:c r="H372" s="25" t="str">
        <x:v>Fear of fire sales, illiquidity seeking, and credit freezes</x:v>
      </x:c>
      <x:c r="I372" s="25" t="str"/>
      <x:c r="J372" s="25" t="str">
        <x:v>local_citation_grammar_v3</x:v>
      </x:c>
      <x:c r="K372" s="25" t="str">
        <x:v>automatic_screen_pass</x:v>
      </x:c>
      <x:c r="L372" s="25" t="str">
        <x:v>accepted</x:v>
      </x:c>
      <x:c r="M372" s="25" t="str">
        <x:v>no</x:v>
      </x:c>
      <x:c r="N372" s="25" t="str">
        <x:v>saki_research/published_papers/bigio_d_anvernas_financial_risk_capacity.pdf</x:v>
      </x:c>
      <x:c r="O372" s="25" t="str">
        <x:v>Diamond, Douglas W and Rajan, Raghuram G. Fear of fire sales, illiquidity seeking, and credit freezes. The Quarterly Journal of Economics, 126(2):557–591, 2011.</x:v>
      </x:c>
    </x:row>
    <x:row r="373" ht="48" customHeight="1">
      <x:c r="A373" s="24" t="str">
        <x:v>P06-R022</x:v>
      </x:c>
      <x:c r="B373" s="24" t="str">
        <x:v>P06</x:v>
      </x:c>
      <x:c r="C373" s="26" t="n">
        <x:v>22</x:v>
      </x:c>
      <x:c r="D373" s="26" t="n">
        <x:v>40</x:v>
      </x:c>
      <x:c r="E373" s="26" t="n">
        <x:v>40</x:v>
      </x:c>
      <x:c r="F373" s="26" t="str">
        <x:v>Donaldson</x:v>
      </x:c>
      <x:c r="G373" s="26" t="n">
        <x:v>2018</x:v>
      </x:c>
      <x:c r="H373" s="25" t="str">
        <x:v>Warehouse banking</x:v>
      </x:c>
      <x:c r="I373" s="25" t="str"/>
      <x:c r="J373" s="25" t="str">
        <x:v>local_citation_grammar_v3</x:v>
      </x:c>
      <x:c r="K373" s="25" t="str">
        <x:v>automatic_screen_pass</x:v>
      </x:c>
      <x:c r="L373" s="25" t="str">
        <x:v>accepted</x:v>
      </x:c>
      <x:c r="M373" s="25" t="str">
        <x:v>no</x:v>
      </x:c>
      <x:c r="N373" s="25" t="str">
        <x:v>saki_research/published_papers/bigio_d_anvernas_financial_risk_capacity.pdf</x:v>
      </x:c>
      <x:c r="O373" s="25" t="str">
        <x:v>Donaldson, Jason Roderick, Piacentino, Giorgia, and Thakor, Anjan. Warehouse banking. Journal of Financial Economics, 129(2):250–267, 2018.</x:v>
      </x:c>
    </x:row>
    <x:row r="374" ht="48" customHeight="1">
      <x:c r="A374" s="24" t="str">
        <x:v>P06-R023</x:v>
      </x:c>
      <x:c r="B374" s="24" t="str">
        <x:v>P06</x:v>
      </x:c>
      <x:c r="C374" s="26" t="n">
        <x:v>23</x:v>
      </x:c>
      <x:c r="D374" s="26" t="n">
        <x:v>40</x:v>
      </x:c>
      <x:c r="E374" s="26" t="n">
        <x:v>40</x:v>
      </x:c>
      <x:c r="F374" s="26" t="str">
        <x:v>Duffie</x:v>
      </x:c>
      <x:c r="G374" s="26" t="n">
        <x:v>2010</x:v>
      </x:c>
      <x:c r="H374" s="25" t="str">
        <x:v>Presidentialaddress: Assetpricedynamicswithslow-movingcapital</x:v>
      </x:c>
      <x:c r="I374" s="25" t="str"/>
      <x:c r="J374" s="25" t="str">
        <x:v>local_citation_grammar_v3</x:v>
      </x:c>
      <x:c r="K374" s="25" t="str">
        <x:v>automatic_screen_pass</x:v>
      </x:c>
      <x:c r="L374" s="25" t="str">
        <x:v>accepted</x:v>
      </x:c>
      <x:c r="M374" s="25" t="str">
        <x:v>no</x:v>
      </x:c>
      <x:c r="N374" s="25" t="str">
        <x:v>saki_research/published_papers/bigio_d_anvernas_financial_risk_capacity.pdf</x:v>
      </x:c>
      <x:c r="O374" s="25" t="str">
        <x:v>Duffie, Darrell. Presidentialaddress: Assetpricedynamicswithslow-movingcapital. The Journal of finance, 65(4):1237–1267, 2010.</x:v>
      </x:c>
    </x:row>
    <x:row r="375" ht="48" customHeight="1">
      <x:c r="A375" s="24" t="str">
        <x:v>P06-R024</x:v>
      </x:c>
      <x:c r="B375" s="24" t="str">
        <x:v>P06</x:v>
      </x:c>
      <x:c r="C375" s="26" t="n">
        <x:v>24</x:v>
      </x:c>
      <x:c r="D375" s="26" t="n">
        <x:v>40</x:v>
      </x:c>
      <x:c r="E375" s="26" t="n">
        <x:v>40</x:v>
      </x:c>
      <x:c r="F375" s="26" t="str">
        <x:v>Eisfeldt</x:v>
      </x:c>
      <x:c r="G375" s="26" t="n">
        <x:v>2004</x:v>
      </x:c>
      <x:c r="H375" s="25" t="str">
        <x:v>Endogenous liquidity in asset markets</x:v>
      </x:c>
      <x:c r="I375" s="25" t="str"/>
      <x:c r="J375" s="25" t="str">
        <x:v>local_citation_grammar_v3</x:v>
      </x:c>
      <x:c r="K375" s="25" t="str">
        <x:v>prior_manual_sample</x:v>
      </x:c>
      <x:c r="L375" s="25" t="str">
        <x:v>accepted</x:v>
      </x:c>
      <x:c r="M375" s="25" t="str">
        <x:v>no</x:v>
      </x:c>
      <x:c r="N375" s="25" t="str">
        <x:v>saki_research/published_papers/bigio_d_anvernas_financial_risk_capacity.pdf</x:v>
      </x:c>
      <x:c r="O375" s="25" t="str">
        <x:v>Eisfeldt, Andrea L. Endogenous liquidity in asset markets. The Journal of Finance, 59(1):1–30, 2004.</x:v>
      </x:c>
    </x:row>
    <x:row r="376" ht="48" customHeight="1">
      <x:c r="A376" s="24" t="str">
        <x:v>P06-R025</x:v>
      </x:c>
      <x:c r="B376" s="24" t="str">
        <x:v>P06</x:v>
      </x:c>
      <x:c r="C376" s="26" t="n">
        <x:v>25</x:v>
      </x:c>
      <x:c r="D376" s="26" t="n">
        <x:v>41</x:v>
      </x:c>
      <x:c r="E376" s="26" t="n">
        <x:v>41</x:v>
      </x:c>
      <x:c r="F376" s="26" t="str">
        <x:v>Farhi</x:v>
      </x:c>
      <x:c r="G376" s="26" t="n">
        <x:v>2015</x:v>
      </x:c>
      <x:c r="H376" s="25" t="str">
        <x:v>Liquid bundles</x:v>
      </x:c>
      <x:c r="I376" s="25" t="str"/>
      <x:c r="J376" s="25" t="str">
        <x:v>local_citation_grammar_v3</x:v>
      </x:c>
      <x:c r="K376" s="25" t="str">
        <x:v>automatic_screen_pass</x:v>
      </x:c>
      <x:c r="L376" s="25" t="str">
        <x:v>accepted</x:v>
      </x:c>
      <x:c r="M376" s="25" t="str">
        <x:v>no</x:v>
      </x:c>
      <x:c r="N376" s="25" t="str">
        <x:v>saki_research/published_papers/bigio_d_anvernas_financial_risk_capacity.pdf</x:v>
      </x:c>
      <x:c r="O376" s="25" t="str">
        <x:v>Farhi, Emmanuel and Tirole, Jean. Liquid bundles. Journal of Economic Theory, 158:634–655, 2015.</x:v>
      </x:c>
    </x:row>
    <x:row r="377" ht="48" customHeight="1">
      <x:c r="A377" s="24" t="str">
        <x:v>P06-R026</x:v>
      </x:c>
      <x:c r="B377" s="24" t="str">
        <x:v>P06</x:v>
      </x:c>
      <x:c r="C377" s="26" t="n">
        <x:v>26</x:v>
      </x:c>
      <x:c r="D377" s="26" t="n">
        <x:v>41</x:v>
      </x:c>
      <x:c r="E377" s="26" t="n">
        <x:v>41</x:v>
      </x:c>
      <x:c r="F377" s="26" t="str">
        <x:v>Fisher</x:v>
      </x:c>
      <x:c r="G377" s="26" t="n">
        <x:v>1933</x:v>
      </x:c>
      <x:c r="H377" s="25" t="str">
        <x:v>pages 337–357</x:v>
      </x:c>
      <x:c r="I377" s="25" t="str"/>
      <x:c r="J377" s="25" t="str">
        <x:v>local_citation_grammar_v3</x:v>
      </x:c>
      <x:c r="K377" s="25" t="str">
        <x:v>automatic_screen_pass</x:v>
      </x:c>
      <x:c r="L377" s="25" t="str">
        <x:v>accepted</x:v>
      </x:c>
      <x:c r="M377" s="25" t="str">
        <x:v>no</x:v>
      </x:c>
      <x:c r="N377" s="25" t="str">
        <x:v>saki_research/published_papers/bigio_d_anvernas_financial_risk_capacity.pdf</x:v>
      </x:c>
      <x:c r="O377" s="25" t="str">
        <x:v>Fisher,Irving.Thedebt-deflationtheoryofgreatdepressions. Econometrica: Journal of the Econometric Society, pages 337–357, 1933.</x:v>
      </x:c>
    </x:row>
    <x:row r="378" ht="48" customHeight="1">
      <x:c r="A378" s="24" t="str">
        <x:v>P06-R027</x:v>
      </x:c>
      <x:c r="B378" s="24" t="str">
        <x:v>P06</x:v>
      </x:c>
      <x:c r="C378" s="26" t="n">
        <x:v>27</x:v>
      </x:c>
      <x:c r="D378" s="26" t="n">
        <x:v>41</x:v>
      </x:c>
      <x:c r="E378" s="26" t="n">
        <x:v>41</x:v>
      </x:c>
      <x:c r="F378" s="26" t="str">
        <x:v>Foster</x:v>
      </x:c>
      <x:c r="G378" s="26" t="n">
        <x:v>2016</x:v>
      </x:c>
      <x:c r="H378" s="25" t="str">
        <x:v>Reallocation in the great recession: cleansing or not?</x:v>
      </x:c>
      <x:c r="I378" s="25" t="str"/>
      <x:c r="J378" s="25" t="str">
        <x:v>local_citation_grammar_v3; exhaustive_title_boundary_audit_2026-09-17</x:v>
      </x:c>
      <x:c r="K378" s="25" t="str">
        <x:v>exhaustive_visual_correction</x:v>
      </x:c>
      <x:c r="L378" s="25" t="str">
        <x:v>corrected</x:v>
      </x:c>
      <x:c r="M378" s="25" t="str">
        <x:v>no</x:v>
      </x:c>
      <x:c r="N378" s="25" t="str">
        <x:v>saki_research/published_papers/bigio_d_anvernas_financial_risk_capacity.pdf</x:v>
      </x:c>
      <x:c r="O378" s="25" t="str">
        <x:v>Foster, Lucia, Grim, Cheryl, and Haltiwanger, John. Reallocation in the great recession: cleansing or not? Journal of Labor Economics, 34(S1):S293–S331, 2016.</x:v>
      </x:c>
    </x:row>
    <x:row r="379" ht="48" customHeight="1">
      <x:c r="A379" s="24" t="str">
        <x:v>P06-R028</x:v>
      </x:c>
      <x:c r="B379" s="24" t="str">
        <x:v>P06</x:v>
      </x:c>
      <x:c r="C379" s="26" t="n">
        <x:v>28</x:v>
      </x:c>
      <x:c r="D379" s="26" t="n">
        <x:v>41</x:v>
      </x:c>
      <x:c r="E379" s="26" t="n">
        <x:v>41</x:v>
      </x:c>
      <x:c r="F379" s="26" t="str">
        <x:v>Freixas</x:v>
      </x:c>
      <x:c r="G379" s="26" t="n">
        <x:v>2008</x:v>
      </x:c>
      <x:c r="H379" s="25" t="str">
        <x:v>Microeconomics of banking</x:v>
      </x:c>
      <x:c r="I379" s="25" t="str"/>
      <x:c r="J379" s="25" t="str">
        <x:v>local_citation_grammar_v3</x:v>
      </x:c>
      <x:c r="K379" s="25" t="str">
        <x:v>automatic_screen_pass</x:v>
      </x:c>
      <x:c r="L379" s="25" t="str">
        <x:v>accepted</x:v>
      </x:c>
      <x:c r="M379" s="25" t="str">
        <x:v>no</x:v>
      </x:c>
      <x:c r="N379" s="25" t="str">
        <x:v>saki_research/published_papers/bigio_d_anvernas_financial_risk_capacity.pdf</x:v>
      </x:c>
      <x:c r="O379" s="25" t="str">
        <x:v>Freixas, Xavier and Rochet, Jean-Charles. Microeconomics of banking. MIT press, 2008.</x:v>
      </x:c>
    </x:row>
    <x:row r="380" ht="48" customHeight="1">
      <x:c r="A380" s="24" t="str">
        <x:v>P06-R029</x:v>
      </x:c>
      <x:c r="B380" s="24" t="str">
        <x:v>P06</x:v>
      </x:c>
      <x:c r="C380" s="26" t="n">
        <x:v>29</x:v>
      </x:c>
      <x:c r="D380" s="26" t="n">
        <x:v>41</x:v>
      </x:c>
      <x:c r="E380" s="26" t="n">
        <x:v>41</x:v>
      </x:c>
      <x:c r="F380" s="26" t="str">
        <x:v>Gennaioli</x:v>
      </x:c>
      <x:c r="G380" s="26" t="n">
        <x:v>2013</x:v>
      </x:c>
      <x:c r="H380" s="25" t="str">
        <x:v>A model of shadow banking</x:v>
      </x:c>
      <x:c r="I380" s="25" t="str"/>
      <x:c r="J380" s="25" t="str">
        <x:v>local_citation_grammar_v3</x:v>
      </x:c>
      <x:c r="K380" s="25" t="str">
        <x:v>prior_manual_sample</x:v>
      </x:c>
      <x:c r="L380" s="25" t="str">
        <x:v>accepted</x:v>
      </x:c>
      <x:c r="M380" s="25" t="str">
        <x:v>no</x:v>
      </x:c>
      <x:c r="N380" s="25" t="str">
        <x:v>saki_research/published_papers/bigio_d_anvernas_financial_risk_capacity.pdf</x:v>
      </x:c>
      <x:c r="O380" s="25" t="str">
        <x:v>Gennaioli, Nicola, Shleifer, Andrei, and Vishny, Robert W. A model of shadow banking. The Journal of Finance, 68(4):1331–1363, 2013.</x:v>
      </x:c>
    </x:row>
    <x:row r="381" ht="48" customHeight="1">
      <x:c r="A381" s="24" t="str">
        <x:v>P06-R030</x:v>
      </x:c>
      <x:c r="B381" s="24" t="str">
        <x:v>P06</x:v>
      </x:c>
      <x:c r="C381" s="26" t="n">
        <x:v>30</x:v>
      </x:c>
      <x:c r="D381" s="26" t="n">
        <x:v>41</x:v>
      </x:c>
      <x:c r="E381" s="26" t="n">
        <x:v>41</x:v>
      </x:c>
      <x:c r="F381" s="26" t="str">
        <x:v>Gertler</x:v>
      </x:c>
      <x:c r="G381" s="26" t="n">
        <x:v>2011</x:v>
      </x:c>
      <x:c r="H381" s="25" t="str">
        <x:v>A model of unconventional monetary policy</x:v>
      </x:c>
      <x:c r="I381" s="25" t="str"/>
      <x:c r="J381" s="25" t="str">
        <x:v>local_citation_grammar_v3</x:v>
      </x:c>
      <x:c r="K381" s="25" t="str">
        <x:v>automatic_screen_pass</x:v>
      </x:c>
      <x:c r="L381" s="25" t="str">
        <x:v>accepted</x:v>
      </x:c>
      <x:c r="M381" s="25" t="str">
        <x:v>no</x:v>
      </x:c>
      <x:c r="N381" s="25" t="str">
        <x:v>saki_research/published_papers/bigio_d_anvernas_financial_risk_capacity.pdf</x:v>
      </x:c>
      <x:c r="O381" s="25" t="str">
        <x:v>Gertler, Mark and Karadi, Peter. A model of unconventional monetary policy. Journal of monetary Economics, 58(1):17–34, 2011.</x:v>
      </x:c>
    </x:row>
    <x:row r="382" ht="48" customHeight="1">
      <x:c r="A382" s="24" t="str">
        <x:v>P06-R031</x:v>
      </x:c>
      <x:c r="B382" s="24" t="str">
        <x:v>P06</x:v>
      </x:c>
      <x:c r="C382" s="26" t="n">
        <x:v>31</x:v>
      </x:c>
      <x:c r="D382" s="26" t="n">
        <x:v>41</x:v>
      </x:c>
      <x:c r="E382" s="26" t="n">
        <x:v>41</x:v>
      </x:c>
      <x:c r="F382" s="26" t="str">
        <x:v>Gertler</x:v>
      </x:c>
      <x:c r="G382" s="26" t="n">
        <x:v>2010</x:v>
      </x:c>
      <x:c r="H382" s="25" t="str">
        <x:v>Financial intermediation and credit policy in business cycle analysis</x:v>
      </x:c>
      <x:c r="I382" s="25" t="str"/>
      <x:c r="J382" s="25" t="str">
        <x:v>local_citation_grammar_v3</x:v>
      </x:c>
      <x:c r="K382" s="25" t="str">
        <x:v>automatic_screen_pass</x:v>
      </x:c>
      <x:c r="L382" s="25" t="str">
        <x:v>accepted</x:v>
      </x:c>
      <x:c r="M382" s="25" t="str">
        <x:v>no</x:v>
      </x:c>
      <x:c r="N382" s="25" t="str">
        <x:v>saki_research/published_papers/bigio_d_anvernas_financial_risk_capacity.pdf</x:v>
      </x:c>
      <x:c r="O382" s="25" t="str">
        <x:v>Gertler, Mark and Kiyotaki, Nobuhiro. Financial intermediation and credit policy in business cycle analysis. In Handbook of monetary economics, volume 3, pages 547–599. Elsevier, 2010.</x:v>
      </x:c>
    </x:row>
    <x:row r="383" ht="48" customHeight="1">
      <x:c r="A383" s="24" t="str">
        <x:v>P06-R032</x:v>
      </x:c>
      <x:c r="B383" s="24" t="str">
        <x:v>P06</x:v>
      </x:c>
      <x:c r="C383" s="26" t="n">
        <x:v>32</x:v>
      </x:c>
      <x:c r="D383" s="26" t="n">
        <x:v>41</x:v>
      </x:c>
      <x:c r="E383" s="26" t="n">
        <x:v>41</x:v>
      </x:c>
      <x:c r="F383" s="26" t="str">
        <x:v>Gorton</x:v>
      </x:c>
      <x:c r="G383" s="26" t="n">
        <x:v>2014</x:v>
      </x:c>
      <x:c r="H383" s="25" t="str">
        <x:v>Collateral crises</x:v>
      </x:c>
      <x:c r="I383" s="25" t="str"/>
      <x:c r="J383" s="25" t="str">
        <x:v>local_citation_grammar_v3</x:v>
      </x:c>
      <x:c r="K383" s="25" t="str">
        <x:v>automatic_screen_pass</x:v>
      </x:c>
      <x:c r="L383" s="25" t="str">
        <x:v>accepted</x:v>
      </x:c>
      <x:c r="M383" s="25" t="str">
        <x:v>no</x:v>
      </x:c>
      <x:c r="N383" s="25" t="str">
        <x:v>saki_research/published_papers/bigio_d_anvernas_financial_risk_capacity.pdf</x:v>
      </x:c>
      <x:c r="O383" s="25" t="str">
        <x:v>Gorton, Gary and Ordonez, Guillermo. Collateral crises. American Economic Review, 104(2):343–78, 2014.</x:v>
      </x:c>
    </x:row>
    <x:row r="384" ht="48" customHeight="1">
      <x:c r="A384" s="24" t="str">
        <x:v>P06-R033</x:v>
      </x:c>
      <x:c r="B384" s="24" t="str">
        <x:v>P06</x:v>
      </x:c>
      <x:c r="C384" s="26" t="n">
        <x:v>33</x:v>
      </x:c>
      <x:c r="D384" s="26" t="n">
        <x:v>41</x:v>
      </x:c>
      <x:c r="E384" s="26" t="n">
        <x:v>41</x:v>
      </x:c>
      <x:c r="F384" s="26" t="str">
        <x:v>Gorton</x:v>
      </x:c>
      <x:c r="G384" s="26" t="n">
        <x:v>2010</x:v>
      </x:c>
      <x:c r="H384" s="25" t="str">
        <x:v>Slapped by the invisible hand: The panic of 2007</x:v>
      </x:c>
      <x:c r="I384" s="25" t="str"/>
      <x:c r="J384" s="25" t="str">
        <x:v>local_citation_grammar_v3; exhaustive_title_boundary_audit_2026-09-17</x:v>
      </x:c>
      <x:c r="K384" s="25" t="str">
        <x:v>exhaustive_visual_correction</x:v>
      </x:c>
      <x:c r="L384" s="25" t="str">
        <x:v>corrected</x:v>
      </x:c>
      <x:c r="M384" s="25" t="str">
        <x:v>no</x:v>
      </x:c>
      <x:c r="N384" s="25" t="str">
        <x:v>saki_research/published_papers/bigio_d_anvernas_financial_risk_capacity.pdf</x:v>
      </x:c>
      <x:c r="O384" s="25" t="str">
        <x:v>Gorton, GaryB. Slapped by the invisible hand: The panic of 2007. OxfordUniversity Press, 2010.</x:v>
      </x:c>
    </x:row>
    <x:row r="385" ht="48" customHeight="1">
      <x:c r="A385" s="24" t="str">
        <x:v>P06-R034</x:v>
      </x:c>
      <x:c r="B385" s="24" t="str">
        <x:v>P06</x:v>
      </x:c>
      <x:c r="C385" s="26" t="n">
        <x:v>34</x:v>
      </x:c>
      <x:c r="D385" s="26" t="n">
        <x:v>41</x:v>
      </x:c>
      <x:c r="E385" s="26" t="n">
        <x:v>41</x:v>
      </x:c>
      <x:c r="F385" s="26" t="str">
        <x:v>Gromb</x:v>
      </x:c>
      <x:c r="G385" s="26" t="n">
        <x:v>2002</x:v>
      </x:c>
      <x:c r="H385" s="25" t="str">
        <x:v>Equilibrium and welfare in markets with financially constrained arbitrageurs</x:v>
      </x:c>
      <x:c r="I385" s="25" t="str"/>
      <x:c r="J385" s="25" t="str">
        <x:v>local_citation_grammar_v3</x:v>
      </x:c>
      <x:c r="K385" s="25" t="str">
        <x:v>prior_manual_sample</x:v>
      </x:c>
      <x:c r="L385" s="25" t="str">
        <x:v>accepted</x:v>
      </x:c>
      <x:c r="M385" s="25" t="str">
        <x:v>no</x:v>
      </x:c>
      <x:c r="N385" s="25" t="str">
        <x:v>saki_research/published_papers/bigio_d_anvernas_financial_risk_capacity.pdf</x:v>
      </x:c>
      <x:c r="O385" s="25" t="str">
        <x:v>Gromb, Denis and Vayanos, Dimitri. Equilibrium and welfare in markets with financially constrained arbitrageurs. Journal of financial Economics, 66(2-3):361–407, 2002.</x:v>
      </x:c>
    </x:row>
    <x:row r="386" ht="48" customHeight="1">
      <x:c r="A386" s="24" t="str">
        <x:v>P06-R035</x:v>
      </x:c>
      <x:c r="B386" s="24" t="str">
        <x:v>P06</x:v>
      </x:c>
      <x:c r="C386" s="26" t="n">
        <x:v>35</x:v>
      </x:c>
      <x:c r="D386" s="26" t="n">
        <x:v>41</x:v>
      </x:c>
      <x:c r="E386" s="26" t="n">
        <x:v>41</x:v>
      </x:c>
      <x:c r="F386" s="26" t="str">
        <x:v>Gu</x:v>
      </x:c>
      <x:c r="G386" s="26" t="n">
        <x:v>2013</x:v>
      </x:c>
      <x:c r="H386" s="25" t="str">
        <x:v>Banking: A new monetarist approach</x:v>
      </x:c>
      <x:c r="I386" s="25" t="str"/>
      <x:c r="J386" s="25" t="str">
        <x:v>local_citation_grammar_v3</x:v>
      </x:c>
      <x:c r="K386" s="25" t="str">
        <x:v>automatic_screen_pass</x:v>
      </x:c>
      <x:c r="L386" s="25" t="str">
        <x:v>accepted</x:v>
      </x:c>
      <x:c r="M386" s="25" t="str">
        <x:v>no</x:v>
      </x:c>
      <x:c r="N386" s="25" t="str">
        <x:v>saki_research/published_papers/bigio_d_anvernas_financial_risk_capacity.pdf</x:v>
      </x:c>
      <x:c r="O386" s="25" t="str">
        <x:v>Gu, Chao, Mattesini, Fabrizio, Monnet, Cyril, and Wright, Randall. Banking: A new monetarist approach. Review of Economic Studies, 80(2):636–662, 2013.</x:v>
      </x:c>
    </x:row>
    <x:row r="387" ht="48" customHeight="1">
      <x:c r="A387" s="24" t="str">
        <x:v>P06-R036</x:v>
      </x:c>
      <x:c r="B387" s="24" t="str">
        <x:v>P06</x:v>
      </x:c>
      <x:c r="C387" s="26" t="n">
        <x:v>36</x:v>
      </x:c>
      <x:c r="D387" s="26" t="n">
        <x:v>42</x:v>
      </x:c>
      <x:c r="E387" s="26" t="n">
        <x:v>42</x:v>
      </x:c>
      <x:c r="F387" s="26" t="str">
        <x:v>Guerrieri</x:v>
      </x:c>
      <x:c r="G387" s="26" t="n">
        <x:v>2014</x:v>
      </x:c>
      <x:c r="H387" s="25" t="str">
        <x:v>Dynamic adverse selection: A theory of illiquidity, fire sales, and flight to quality</x:v>
      </x:c>
      <x:c r="I387" s="25" t="str"/>
      <x:c r="J387" s="25" t="str">
        <x:v>local_citation_grammar_v3</x:v>
      </x:c>
      <x:c r="K387" s="25" t="str">
        <x:v>exhaustive_visual_multiwork_pattern_accepted</x:v>
      </x:c>
      <x:c r="L387" s="25" t="str">
        <x:v>accepted</x:v>
      </x:c>
      <x:c r="M387" s="25" t="str">
        <x:v>sí</x:v>
      </x:c>
      <x:c r="N387" s="25" t="str">
        <x:v>saki_research/published_papers/bigio_d_anvernas_financial_risk_capacity.pdf</x:v>
      </x:c>
      <x:c r="O387" s="25" t="str">
        <x:v>Guerrieri, Veronica and Shimer, Robert. Dynamic adverse selection: A theory of illiquidity, fire sales, and flight to quality. American Economic Review, 104(7):1875– 1908, 2014.</x:v>
      </x:c>
    </x:row>
    <x:row r="388" ht="48" customHeight="1">
      <x:c r="A388" s="24" t="str">
        <x:v>P06-R037</x:v>
      </x:c>
      <x:c r="B388" s="24" t="str">
        <x:v>P06</x:v>
      </x:c>
      <x:c r="C388" s="26" t="n">
        <x:v>37</x:v>
      </x:c>
      <x:c r="D388" s="26" t="n">
        <x:v>42</x:v>
      </x:c>
      <x:c r="E388" s="26" t="n">
        <x:v>42</x:v>
      </x:c>
      <x:c r="F388" s="26" t="str">
        <x:v>Guerrieri</x:v>
      </x:c>
      <x:c r="G388" s="26" t="n">
        <x:v>2010</x:v>
      </x:c>
      <x:c r="H388" s="25" t="str">
        <x:v>Adverse selection in competitive search equilibrium</x:v>
      </x:c>
      <x:c r="I388" s="25" t="str"/>
      <x:c r="J388" s="25" t="str">
        <x:v>local_citation_grammar_v3</x:v>
      </x:c>
      <x:c r="K388" s="25" t="str">
        <x:v>exhaustive_visual_multiwork_pattern_accepted</x:v>
      </x:c>
      <x:c r="L388" s="25" t="str">
        <x:v>accepted</x:v>
      </x:c>
      <x:c r="M388" s="25" t="str">
        <x:v>sí</x:v>
      </x:c>
      <x:c r="N388" s="25" t="str">
        <x:v>saki_research/published_papers/bigio_d_anvernas_financial_risk_capacity.pdf</x:v>
      </x:c>
      <x:c r="O388" s="25" t="str">
        <x:v>Guerrieri, Veronica, Shimer, Robert, and Wright, Randall. Adverse selection in competitive search equilibrium. Econometrica, 78(6):1823–1862, 2010.</x:v>
      </x:c>
    </x:row>
    <x:row r="389" ht="48" customHeight="1">
      <x:c r="A389" s="24" t="str">
        <x:v>P06-R038</x:v>
      </x:c>
      <x:c r="B389" s="24" t="str">
        <x:v>P06</x:v>
      </x:c>
      <x:c r="C389" s="26" t="n">
        <x:v>38</x:v>
      </x:c>
      <x:c r="D389" s="26" t="n">
        <x:v>42</x:v>
      </x:c>
      <x:c r="E389" s="26" t="n">
        <x:v>42</x:v>
      </x:c>
      <x:c r="F389" s="26" t="str">
        <x:v>Hart</x:v>
      </x:c>
      <x:c r="G389" s="26" t="n">
        <x:v>1994</x:v>
      </x:c>
      <x:c r="H389" s="25" t="str">
        <x:v>Atheoryofdebtbasedontheinalienabilityofhuman capital</x:v>
      </x:c>
      <x:c r="I389" s="25" t="str"/>
      <x:c r="J389" s="25" t="str">
        <x:v>local_citation_grammar_v3</x:v>
      </x:c>
      <x:c r="K389" s="25" t="str">
        <x:v>automatic_screen_pass</x:v>
      </x:c>
      <x:c r="L389" s="25" t="str">
        <x:v>accepted</x:v>
      </x:c>
      <x:c r="M389" s="25" t="str">
        <x:v>no</x:v>
      </x:c>
      <x:c r="N389" s="25" t="str">
        <x:v>saki_research/published_papers/bigio_d_anvernas_financial_risk_capacity.pdf</x:v>
      </x:c>
      <x:c r="O389" s="25" t="str">
        <x:v>Hart, OliverandMoore, John. Atheoryofdebtbasedontheinalienabilityofhuman capital. The Quarterly Journal of Economics, 109(4):841–879, 1994.</x:v>
      </x:c>
    </x:row>
    <x:row r="390" ht="48" customHeight="1">
      <x:c r="A390" s="24" t="str">
        <x:v>P06-R039</x:v>
      </x:c>
      <x:c r="B390" s="24" t="str">
        <x:v>P06</x:v>
      </x:c>
      <x:c r="C390" s="26" t="n">
        <x:v>39</x:v>
      </x:c>
      <x:c r="D390" s="26" t="n">
        <x:v>42</x:v>
      </x:c>
      <x:c r="E390" s="26" t="n">
        <x:v>42</x:v>
      </x:c>
      <x:c r="F390" s="26" t="str">
        <x:v>He</x:v>
      </x:c>
      <x:c r="G390" s="26" t="n">
        <x:v>2011</x:v>
      </x:c>
      <x:c r="H390" s="25" t="str">
        <x:v>A model of capital and crises</x:v>
      </x:c>
      <x:c r="I390" s="25" t="str"/>
      <x:c r="J390" s="25" t="str">
        <x:v>local_citation_grammar_v3</x:v>
      </x:c>
      <x:c r="K390" s="25" t="str">
        <x:v>automatic_screen_pass</x:v>
      </x:c>
      <x:c r="L390" s="25" t="str">
        <x:v>accepted</x:v>
      </x:c>
      <x:c r="M390" s="25" t="str">
        <x:v>no</x:v>
      </x:c>
      <x:c r="N390" s="25" t="str">
        <x:v>saki_research/published_papers/bigio_d_anvernas_financial_risk_capacity.pdf</x:v>
      </x:c>
      <x:c r="O390" s="25" t="str">
        <x:v>He, Zhiguo and Krishnamurthy, Arvind. A model of capital and crises. The Review of Economic Studies, 79(2):735–777, 2011.</x:v>
      </x:c>
    </x:row>
    <x:row r="391" ht="48" customHeight="1">
      <x:c r="A391" s="24" t="str">
        <x:v>P06-R040</x:v>
      </x:c>
      <x:c r="B391" s="24" t="str">
        <x:v>P06</x:v>
      </x:c>
      <x:c r="C391" s="26" t="n">
        <x:v>40</x:v>
      </x:c>
      <x:c r="D391" s="26" t="n">
        <x:v>42</x:v>
      </x:c>
      <x:c r="E391" s="26" t="n">
        <x:v>42</x:v>
      </x:c>
      <x:c r="F391" s="26" t="str">
        <x:v>He</x:v>
      </x:c>
      <x:c r="G391" s="26" t="n">
        <x:v>2013</x:v>
      </x:c>
      <x:c r="H391" s="25" t="str">
        <x:v>Intermediary asset pricing</x:v>
      </x:c>
      <x:c r="I391" s="25" t="str"/>
      <x:c r="J391" s="25" t="str">
        <x:v>local_citation_grammar_v3</x:v>
      </x:c>
      <x:c r="K391" s="25" t="str">
        <x:v>automatic_screen_pass</x:v>
      </x:c>
      <x:c r="L391" s="25" t="str">
        <x:v>accepted</x:v>
      </x:c>
      <x:c r="M391" s="25" t="str">
        <x:v>no</x:v>
      </x:c>
      <x:c r="N391" s="25" t="str">
        <x:v>saki_research/published_papers/bigio_d_anvernas_financial_risk_capacity.pdf</x:v>
      </x:c>
      <x:c r="O391" s="25" t="str">
        <x:v>He, Zhiguo and Krishnamurthy, Arvind. Intermediary asset pricing. American Economic Review, 103(2):732–70, 2013.</x:v>
      </x:c>
    </x:row>
    <x:row r="392" ht="48" customHeight="1">
      <x:c r="A392" s="24" t="str">
        <x:v>P06-R041</x:v>
      </x:c>
      <x:c r="B392" s="24" t="str">
        <x:v>P06</x:v>
      </x:c>
      <x:c r="C392" s="26" t="n">
        <x:v>41</x:v>
      </x:c>
      <x:c r="D392" s="26" t="n">
        <x:v>42</x:v>
      </x:c>
      <x:c r="E392" s="26" t="n">
        <x:v>42</x:v>
      </x:c>
      <x:c r="F392" s="26" t="str">
        <x:v>Hendel</x:v>
      </x:c>
      <x:c r="G392" s="26" t="n">
        <x:v>1999</x:v>
      </x:c>
      <x:c r="H392" s="25" t="str">
        <x:v>Adverse selection in durable goods markets</x:v>
      </x:c>
      <x:c r="I392" s="25" t="str"/>
      <x:c r="J392" s="25" t="str">
        <x:v>local_citation_grammar_v3</x:v>
      </x:c>
      <x:c r="K392" s="25" t="str">
        <x:v>automatic_screen_pass</x:v>
      </x:c>
      <x:c r="L392" s="25" t="str">
        <x:v>accepted</x:v>
      </x:c>
      <x:c r="M392" s="25" t="str">
        <x:v>no</x:v>
      </x:c>
      <x:c r="N392" s="25" t="str">
        <x:v>saki_research/published_papers/bigio_d_anvernas_financial_risk_capacity.pdf</x:v>
      </x:c>
      <x:c r="O392" s="25" t="str">
        <x:v>Hendel, Igal and Lizzeri, Alessandro. Adverse selection in durable goods markets. American Economic Review, 89(5):1097–1115, 1999.</x:v>
      </x:c>
    </x:row>
    <x:row r="393" ht="48" customHeight="1">
      <x:c r="A393" s="24" t="str">
        <x:v>P06-R042</x:v>
      </x:c>
      <x:c r="B393" s="24" t="str">
        <x:v>P06</x:v>
      </x:c>
      <x:c r="C393" s="26" t="n">
        <x:v>42</x:v>
      </x:c>
      <x:c r="D393" s="26" t="n">
        <x:v>42</x:v>
      </x:c>
      <x:c r="E393" s="26" t="n">
        <x:v>42</x:v>
      </x:c>
      <x:c r="F393" s="26" t="str">
        <x:v>Hennessy</x:v>
      </x:c>
      <x:c r="G393" s="26" t="n">
        <x:v>2005</x:v>
      </x:c>
      <x:c r="H393" s="25" t="str">
        <x:v>Debt dynamics</x:v>
      </x:c>
      <x:c r="I393" s="25" t="str"/>
      <x:c r="J393" s="25" t="str">
        <x:v>local_citation_grammar_v3</x:v>
      </x:c>
      <x:c r="K393" s="25" t="str">
        <x:v>automatic_screen_pass</x:v>
      </x:c>
      <x:c r="L393" s="25" t="str">
        <x:v>accepted</x:v>
      </x:c>
      <x:c r="M393" s="25" t="str">
        <x:v>no</x:v>
      </x:c>
      <x:c r="N393" s="25" t="str">
        <x:v>saki_research/published_papers/bigio_d_anvernas_financial_risk_capacity.pdf</x:v>
      </x:c>
      <x:c r="O393" s="25" t="str">
        <x:v>Hennessy, Christopher A and Whited, Toni M. Debt dynamics. The Journal of Finance, 60(3):1129–1165, 2005.</x:v>
      </x:c>
    </x:row>
    <x:row r="394" ht="48" customHeight="1">
      <x:c r="A394" s="24" t="str">
        <x:v>P06-R043</x:v>
      </x:c>
      <x:c r="B394" s="24" t="str">
        <x:v>P06</x:v>
      </x:c>
      <x:c r="C394" s="26" t="n">
        <x:v>43</x:v>
      </x:c>
      <x:c r="D394" s="26" t="n">
        <x:v>42</x:v>
      </x:c>
      <x:c r="E394" s="26" t="n">
        <x:v>42</x:v>
      </x:c>
      <x:c r="F394" s="26" t="str">
        <x:v>Holmstrom</x:v>
      </x:c>
      <x:c r="G394" s="26" t="n">
        <x:v>1997</x:v>
      </x:c>
      <x:c r="H394" s="25" t="str">
        <x:v>Financial intermediation, loanable funds, and the real sector</x:v>
      </x:c>
      <x:c r="I394" s="25" t="str"/>
      <x:c r="J394" s="25" t="str">
        <x:v>local_citation_grammar_v3</x:v>
      </x:c>
      <x:c r="K394" s="25" t="str">
        <x:v>automatic_screen_pass</x:v>
      </x:c>
      <x:c r="L394" s="25" t="str">
        <x:v>accepted</x:v>
      </x:c>
      <x:c r="M394" s="25" t="str">
        <x:v>no</x:v>
      </x:c>
      <x:c r="N394" s="25" t="str">
        <x:v>saki_research/published_papers/bigio_d_anvernas_financial_risk_capacity.pdf</x:v>
      </x:c>
      <x:c r="O394" s="25" t="str">
        <x:v>Holmstrom, Bengt and Tirole, Jean. Financial intermediation, loanable funds, and the real sector. the Quarterly Journal of economics, 112(3):663–691, 1997.</x:v>
      </x:c>
    </x:row>
    <x:row r="395" ht="48" customHeight="1">
      <x:c r="A395" s="24" t="str">
        <x:v>P06-R044</x:v>
      </x:c>
      <x:c r="B395" s="24" t="str">
        <x:v>P06</x:v>
      </x:c>
      <x:c r="C395" s="26" t="n">
        <x:v>44</x:v>
      </x:c>
      <x:c r="D395" s="26" t="n">
        <x:v>42</x:v>
      </x:c>
      <x:c r="E395" s="26" t="n">
        <x:v>42</x:v>
      </x:c>
      <x:c r="F395" s="26" t="str">
        <x:v>Kiyotaki</x:v>
      </x:c>
      <x:c r="G395" s="26" t="n">
        <x:v>2019</x:v>
      </x:c>
      <x:c r="H395" s="25" t="str">
        <x:v>Liquidity, business cycles, and monetary policy</x:v>
      </x:c>
      <x:c r="I395" s="25" t="str"/>
      <x:c r="J395" s="25" t="str">
        <x:v>local_citation_grammar_v3</x:v>
      </x:c>
      <x:c r="K395" s="25" t="str">
        <x:v>prior_manual_sample</x:v>
      </x:c>
      <x:c r="L395" s="25" t="str">
        <x:v>accepted</x:v>
      </x:c>
      <x:c r="M395" s="25" t="str">
        <x:v>no</x:v>
      </x:c>
      <x:c r="N395" s="25" t="str">
        <x:v>saki_research/published_papers/bigio_d_anvernas_financial_risk_capacity.pdf</x:v>
      </x:c>
      <x:c r="O395" s="25" t="str">
        <x:v>Kiyotaki, Nobuhiro and Moore, John. Liquidity, business cycles, and monetary policy. Journal of Political Economy, 127(6):000–000, 2019.</x:v>
      </x:c>
    </x:row>
    <x:row r="396" ht="48" customHeight="1">
      <x:c r="A396" s="24" t="str">
        <x:v>P06-R045</x:v>
      </x:c>
      <x:c r="B396" s="24" t="str">
        <x:v>P06</x:v>
      </x:c>
      <x:c r="C396" s="26" t="n">
        <x:v>45</x:v>
      </x:c>
      <x:c r="D396" s="26" t="n">
        <x:v>42</x:v>
      </x:c>
      <x:c r="E396" s="26" t="n">
        <x:v>42</x:v>
      </x:c>
      <x:c r="F396" s="26" t="str">
        <x:v>Kurlat</x:v>
      </x:c>
      <x:c r="G396" s="26" t="n">
        <x:v>2013</x:v>
      </x:c>
      <x:c r="H396" s="25" t="str">
        <x:v>Lemons markets and the transmission of aggregate shocks</x:v>
      </x:c>
      <x:c r="I396" s="25" t="str"/>
      <x:c r="J396" s="25" t="str">
        <x:v>local_citation_grammar_v3</x:v>
      </x:c>
      <x:c r="K396" s="25" t="str">
        <x:v>automatic_screen_pass</x:v>
      </x:c>
      <x:c r="L396" s="25" t="str">
        <x:v>accepted</x:v>
      </x:c>
      <x:c r="M396" s="25" t="str">
        <x:v>no</x:v>
      </x:c>
      <x:c r="N396" s="25" t="str">
        <x:v>saki_research/published_papers/bigio_d_anvernas_financial_risk_capacity.pdf</x:v>
      </x:c>
      <x:c r="O396" s="25" t="str">
        <x:v>Kurlat, Pablo. Lemons markets and the transmission of aggregate shocks. American Economic Review, 103(4):1463–89, 2013.</x:v>
      </x:c>
    </x:row>
    <x:row r="397" ht="48" customHeight="1">
      <x:c r="A397" s="24" t="str">
        <x:v>P06-R046</x:v>
      </x:c>
      <x:c r="B397" s="24" t="str">
        <x:v>P06</x:v>
      </x:c>
      <x:c r="C397" s="26" t="n">
        <x:v>46</x:v>
      </x:c>
      <x:c r="D397" s="26" t="n">
        <x:v>42</x:v>
      </x:c>
      <x:c r="E397" s="26" t="n">
        <x:v>42</x:v>
      </x:c>
      <x:c r="F397" s="26" t="str">
        <x:v>Leland</x:v>
      </x:c>
      <x:c r="G397" s="26" t="n">
        <x:v>1977</x:v>
      </x:c>
      <x:c r="H397" s="25" t="str">
        <x:v>Informational asymmetries, financial structure, and financial intermediation</x:v>
      </x:c>
      <x:c r="I397" s="25" t="str"/>
      <x:c r="J397" s="25" t="str">
        <x:v>local_citation_grammar_v3</x:v>
      </x:c>
      <x:c r="K397" s="25" t="str">
        <x:v>prior_manual_sample</x:v>
      </x:c>
      <x:c r="L397" s="25" t="str">
        <x:v>accepted</x:v>
      </x:c>
      <x:c r="M397" s="25" t="str">
        <x:v>no</x:v>
      </x:c>
      <x:c r="N397" s="25" t="str">
        <x:v>saki_research/published_papers/bigio_d_anvernas_financial_risk_capacity.pdf</x:v>
      </x:c>
      <x:c r="O397" s="25" t="str">
        <x:v>Leland, Hayne E and Pyle, David H. Informational asymmetries, financial structure, and financial intermediation. The journal of Finance, 32(2):371–387, 1977.</x:v>
      </x:c>
    </x:row>
    <x:row r="398" ht="48" customHeight="1">
      <x:c r="A398" s="24" t="str">
        <x:v>P06-R047</x:v>
      </x:c>
      <x:c r="B398" s="24" t="str">
        <x:v>P06</x:v>
      </x:c>
      <x:c r="C398" s="26" t="n">
        <x:v>47</x:v>
      </x:c>
      <x:c r="D398" s="26" t="n">
        <x:v>42</x:v>
      </x:c>
      <x:c r="E398" s="26" t="n">
        <x:v>42</x:v>
      </x:c>
      <x:c r="F398" s="26" t="str">
        <x:v>Maggiori</x:v>
      </x:c>
      <x:c r="G398" s="26" t="n">
        <x:v>2017</x:v>
      </x:c>
      <x:c r="H398" s="25" t="str">
        <x:v>Financial intermediation, international risk sharing, and reserve currencies</x:v>
      </x:c>
      <x:c r="I398" s="25" t="str"/>
      <x:c r="J398" s="25" t="str">
        <x:v>local_citation_grammar_v3</x:v>
      </x:c>
      <x:c r="K398" s="25" t="str">
        <x:v>prior_manual_sample</x:v>
      </x:c>
      <x:c r="L398" s="25" t="str">
        <x:v>accepted</x:v>
      </x:c>
      <x:c r="M398" s="25" t="str">
        <x:v>no</x:v>
      </x:c>
      <x:c r="N398" s="25" t="str">
        <x:v>saki_research/published_papers/bigio_d_anvernas_financial_risk_capacity.pdf</x:v>
      </x:c>
      <x:c r="O398" s="25" t="str">
        <x:v>Maggiori, Matteo. Financial intermediation, international risk sharing, and reserve currencies. American Economic Review, 107(10):3038–71, 2017.</x:v>
      </x:c>
    </x:row>
    <x:row r="399" ht="48" customHeight="1">
      <x:c r="A399" s="24" t="str">
        <x:v>P06-R048</x:v>
      </x:c>
      <x:c r="B399" s="24" t="str">
        <x:v>P06</x:v>
      </x:c>
      <x:c r="C399" s="26" t="n">
        <x:v>48</x:v>
      </x:c>
      <x:c r="D399" s="26" t="n">
        <x:v>43</x:v>
      </x:c>
      <x:c r="E399" s="26" t="n">
        <x:v>43</x:v>
      </x:c>
      <x:c r="F399" s="26" t="str">
        <x:v>Malherbe</x:v>
      </x:c>
      <x:c r="G399" s="26" t="n">
        <x:v>2014</x:v>
      </x:c>
      <x:c r="H399" s="25" t="str">
        <x:v>Self-fulfilling liquidity dry-ups</x:v>
      </x:c>
      <x:c r="I399" s="25" t="str"/>
      <x:c r="J399" s="25" t="str">
        <x:v>local_citation_grammar_v3</x:v>
      </x:c>
      <x:c r="K399" s="25" t="str">
        <x:v>automatic_screen_pass</x:v>
      </x:c>
      <x:c r="L399" s="25" t="str">
        <x:v>accepted</x:v>
      </x:c>
      <x:c r="M399" s="25" t="str">
        <x:v>no</x:v>
      </x:c>
      <x:c r="N399" s="25" t="str">
        <x:v>saki_research/published_papers/bigio_d_anvernas_financial_risk_capacity.pdf</x:v>
      </x:c>
      <x:c r="O399" s="25" t="str">
        <x:v>Malherbe, Fr ́ed ́eric. Self-fulfilling liquidity dry-ups. The Journal of Finance, 69(2): 947–970, 2014.</x:v>
      </x:c>
    </x:row>
    <x:row r="400" ht="48" customHeight="1">
      <x:c r="A400" s="24" t="str">
        <x:v>P06-R049</x:v>
      </x:c>
      <x:c r="B400" s="24" t="str">
        <x:v>P06</x:v>
      </x:c>
      <x:c r="C400" s="26" t="n">
        <x:v>49</x:v>
      </x:c>
      <x:c r="D400" s="26" t="n">
        <x:v>43</x:v>
      </x:c>
      <x:c r="E400" s="26" t="n">
        <x:v>43</x:v>
      </x:c>
      <x:c r="F400" s="26" t="str">
        <x:v>Martinez-Miera</x:v>
      </x:c>
      <x:c r="G400" s="26" t="n">
        <x:v>2012</x:v>
      </x:c>
      <x:c r="H400" s="25" t="str">
        <x:v>Javier. A macroeconomic model of endogenous systemic risk taking</x:v>
      </x:c>
      <x:c r="I400" s="25" t="str"/>
      <x:c r="J400" s="25" t="str">
        <x:v>local_citation_grammar_v3</x:v>
      </x:c>
      <x:c r="K400" s="25" t="str">
        <x:v>automatic_screen_pass</x:v>
      </x:c>
      <x:c r="L400" s="25" t="str">
        <x:v>accepted</x:v>
      </x:c>
      <x:c r="M400" s="25" t="str">
        <x:v>no</x:v>
      </x:c>
      <x:c r="N400" s="25" t="str">
        <x:v>saki_research/published_papers/bigio_d_anvernas_financial_risk_capacity.pdf</x:v>
      </x:c>
      <x:c r="O400" s="25" t="str">
        <x:v>Martinez-Miera, David and Suarez, Javier. A macroeconomic model of endogenous systemic risk taking. 2012.</x:v>
      </x:c>
    </x:row>
    <x:row r="401" ht="48" customHeight="1">
      <x:c r="A401" s="24" t="str">
        <x:v>P06-R050</x:v>
      </x:c>
      <x:c r="B401" s="24" t="str">
        <x:v>P06</x:v>
      </x:c>
      <x:c r="C401" s="26" t="n">
        <x:v>50</x:v>
      </x:c>
      <x:c r="D401" s="26" t="n">
        <x:v>43</x:v>
      </x:c>
      <x:c r="E401" s="26" t="n">
        <x:v>43</x:v>
      </x:c>
      <x:c r="F401" s="26" t="str">
        <x:v>Mishkin</x:v>
      </x:c>
      <x:c r="G401" s="26" t="n">
        <x:v>1990</x:v>
      </x:c>
      <x:c r="H401" s="25" t="str">
        <x:v>Asymmetric information and financial crises: a historical perspective</x:v>
      </x:c>
      <x:c r="I401" s="25" t="str"/>
      <x:c r="J401" s="25" t="str">
        <x:v>local_citation_grammar_v3</x:v>
      </x:c>
      <x:c r="K401" s="25" t="str">
        <x:v>automatic_screen_pass</x:v>
      </x:c>
      <x:c r="L401" s="25" t="str">
        <x:v>accepted</x:v>
      </x:c>
      <x:c r="M401" s="25" t="str">
        <x:v>no</x:v>
      </x:c>
      <x:c r="N401" s="25" t="str">
        <x:v>saki_research/published_papers/bigio_d_anvernas_financial_risk_capacity.pdf</x:v>
      </x:c>
      <x:c r="O401" s="25" t="str">
        <x:v>Mishkin, Frederic S. Asymmetric information and financial crises: a historical perspective. Technical report, National Bureau of Economic Research, 1990.</x:v>
      </x:c>
    </x:row>
    <x:row r="402" ht="48" customHeight="1">
      <x:c r="A402" s="24" t="str">
        <x:v>P06-R051</x:v>
      </x:c>
      <x:c r="B402" s="24" t="str">
        <x:v>P06</x:v>
      </x:c>
      <x:c r="C402" s="26" t="n">
        <x:v>51</x:v>
      </x:c>
      <x:c r="D402" s="26" t="n">
        <x:v>43</x:v>
      </x:c>
      <x:c r="E402" s="26" t="n">
        <x:v>43</x:v>
      </x:c>
      <x:c r="F402" s="26" t="str">
        <x:v>Myers</x:v>
      </x:c>
      <x:c r="G402" s="26" t="n">
        <x:v>1977</x:v>
      </x:c>
      <x:c r="H402" s="25" t="str">
        <x:v>Determinants of corporate borrowing</x:v>
      </x:c>
      <x:c r="I402" s="25" t="str"/>
      <x:c r="J402" s="25" t="str">
        <x:v>local_citation_grammar_v3</x:v>
      </x:c>
      <x:c r="K402" s="25" t="str">
        <x:v>automatic_screen_pass</x:v>
      </x:c>
      <x:c r="L402" s="25" t="str">
        <x:v>accepted</x:v>
      </x:c>
      <x:c r="M402" s="25" t="str">
        <x:v>no</x:v>
      </x:c>
      <x:c r="N402" s="25" t="str">
        <x:v>saki_research/published_papers/bigio_d_anvernas_financial_risk_capacity.pdf</x:v>
      </x:c>
      <x:c r="O402" s="25" t="str">
        <x:v>Myers, Stewart C. Determinants of corporate borrowing. Journal of financial economics, 5(2):147–175, 1977.</x:v>
      </x:c>
    </x:row>
    <x:row r="403" ht="48" customHeight="1">
      <x:c r="A403" s="24" t="str">
        <x:v>P06-R052</x:v>
      </x:c>
      <x:c r="B403" s="24" t="str">
        <x:v>P06</x:v>
      </x:c>
      <x:c r="C403" s="26" t="n">
        <x:v>52</x:v>
      </x:c>
      <x:c r="D403" s="26" t="n">
        <x:v>43</x:v>
      </x:c>
      <x:c r="E403" s="26" t="n">
        <x:v>43</x:v>
      </x:c>
      <x:c r="F403" s="26" t="str">
        <x:v>Myers</x:v>
      </x:c>
      <x:c r="G403" s="26" t="n">
        <x:v>1984</x:v>
      </x:c>
      <x:c r="H403" s="25" t="str">
        <x:v>Corporate financing and investment decisions when firms have information that investors do not have</x:v>
      </x:c>
      <x:c r="I403" s="25" t="str"/>
      <x:c r="J403" s="25" t="str">
        <x:v>local_citation_grammar_v3</x:v>
      </x:c>
      <x:c r="K403" s="25" t="str">
        <x:v>prior_manual_sample</x:v>
      </x:c>
      <x:c r="L403" s="25" t="str">
        <x:v>accepted</x:v>
      </x:c>
      <x:c r="M403" s="25" t="str">
        <x:v>no</x:v>
      </x:c>
      <x:c r="N403" s="25" t="str">
        <x:v>saki_research/published_papers/bigio_d_anvernas_financial_risk_capacity.pdf</x:v>
      </x:c>
      <x:c r="O403" s="25" t="str">
        <x:v>Myers, Stewart C and Majluf, Nicholas S. Corporate financing and investment decisions when firms have information that investors do not have. Journal of financial economics, 13(2):187–221, 1984.</x:v>
      </x:c>
    </x:row>
    <x:row r="404" ht="48" customHeight="1">
      <x:c r="A404" s="24" t="str">
        <x:v>P06-R053</x:v>
      </x:c>
      <x:c r="B404" s="24" t="str">
        <x:v>P06</x:v>
      </x:c>
      <x:c r="C404" s="26" t="n">
        <x:v>53</x:v>
      </x:c>
      <x:c r="D404" s="26" t="n">
        <x:v>43</x:v>
      </x:c>
      <x:c r="E404" s="26" t="n">
        <x:v>43</x:v>
      </x:c>
      <x:c r="F404" s="26" t="str">
        <x:v>Ordonez</x:v>
      </x:c>
      <x:c r="G404" s="26" t="n">
        <x:v>2013</x:v>
      </x:c>
      <x:c r="H404" s="25" t="str">
        <x:v>The asymmetric effects of financial frictions</x:v>
      </x:c>
      <x:c r="I404" s="25" t="str"/>
      <x:c r="J404" s="25" t="str">
        <x:v>literal_citation_review_2026-09-16</x:v>
      </x:c>
      <x:c r="K404" s="25" t="str">
        <x:v>prior_manual_sample</x:v>
      </x:c>
      <x:c r="L404" s="25" t="str">
        <x:v>accepted</x:v>
      </x:c>
      <x:c r="M404" s="25" t="str">
        <x:v>no</x:v>
      </x:c>
      <x:c r="N404" s="25" t="str">
        <x:v>saki_research/published_papers/bigio_d_anvernas_financial_risk_capacity.pdf</x:v>
      </x:c>
      <x:c r="O404" s="25" t="str">
        <x:v>Ordonez,Guillermo. Theasymmetriceffectsoffinancialfrictions. Journal of Political Economy, 121(5):844–895, 2013.</x:v>
      </x:c>
    </x:row>
    <x:row r="405" ht="48" customHeight="1">
      <x:c r="A405" s="24" t="str">
        <x:v>P06-R054</x:v>
      </x:c>
      <x:c r="B405" s="24" t="str">
        <x:v>P06</x:v>
      </x:c>
      <x:c r="C405" s="26" t="n">
        <x:v>54</x:v>
      </x:c>
      <x:c r="D405" s="26" t="n">
        <x:v>43</x:v>
      </x:c>
      <x:c r="E405" s="26" t="n">
        <x:v>43</x:v>
      </x:c>
      <x:c r="F405" s="26" t="str">
        <x:v>Plantin</x:v>
      </x:c>
      <x:c r="G405" s="26" t="n">
        <x:v>2009</x:v>
      </x:c>
      <x:c r="H405" s="25" t="str">
        <x:v>Learning by holding and liquidity</x:v>
      </x:c>
      <x:c r="I405" s="25" t="str"/>
      <x:c r="J405" s="25" t="str">
        <x:v>local_citation_grammar_v3</x:v>
      </x:c>
      <x:c r="K405" s="25" t="str">
        <x:v>automatic_screen_pass</x:v>
      </x:c>
      <x:c r="L405" s="25" t="str">
        <x:v>accepted</x:v>
      </x:c>
      <x:c r="M405" s="25" t="str">
        <x:v>no</x:v>
      </x:c>
      <x:c r="N405" s="25" t="str">
        <x:v>saki_research/published_papers/bigio_d_anvernas_financial_risk_capacity.pdf</x:v>
      </x:c>
      <x:c r="O405" s="25" t="str">
        <x:v>Plantin, Guillaume. Learning by holding and liquidity. The Review of Economic Studies, 76(1):395–412, 2009.</x:v>
      </x:c>
    </x:row>
    <x:row r="406" ht="48" customHeight="1">
      <x:c r="A406" s="24" t="str">
        <x:v>P06-R055</x:v>
      </x:c>
      <x:c r="B406" s="24" t="str">
        <x:v>P06</x:v>
      </x:c>
      <x:c r="C406" s="26" t="n">
        <x:v>55</x:v>
      </x:c>
      <x:c r="D406" s="26" t="n">
        <x:v>43</x:v>
      </x:c>
      <x:c r="E406" s="26" t="n">
        <x:v>43</x:v>
      </x:c>
      <x:c r="F406" s="26" t="str">
        <x:v>Reinhart</x:v>
      </x:c>
      <x:c r="G406" s="26" t="n">
        <x:v>2009</x:v>
      </x:c>
      <x:c r="H406" s="25" t="str">
        <x:v>This time is different: Eight centuries of financial folly</x:v>
      </x:c>
      <x:c r="I406" s="25" t="str"/>
      <x:c r="J406" s="25" t="str">
        <x:v>local_citation_grammar_v3</x:v>
      </x:c>
      <x:c r="K406" s="25" t="str">
        <x:v>prior_manual_sample</x:v>
      </x:c>
      <x:c r="L406" s="25" t="str">
        <x:v>accepted</x:v>
      </x:c>
      <x:c r="M406" s="25" t="str">
        <x:v>no</x:v>
      </x:c>
      <x:c r="N406" s="25" t="str">
        <x:v>saki_research/published_papers/bigio_d_anvernas_financial_risk_capacity.pdf</x:v>
      </x:c>
      <x:c r="O406" s="25" t="str">
        <x:v>Reinhart, Carmen M and Rogoff, Kenneth S. This time is different: Eight centuries of financial folly. princeton university press, 2009.</x:v>
      </x:c>
    </x:row>
    <x:row r="407" ht="48" customHeight="1">
      <x:c r="A407" s="24" t="str">
        <x:v>P06-R056</x:v>
      </x:c>
      <x:c r="B407" s="24" t="str">
        <x:v>P06</x:v>
      </x:c>
      <x:c r="C407" s="26" t="n">
        <x:v>56</x:v>
      </x:c>
      <x:c r="D407" s="26" t="n">
        <x:v>43</x:v>
      </x:c>
      <x:c r="E407" s="26" t="n">
        <x:v>43</x:v>
      </x:c>
      <x:c r="F407" s="26" t="str">
        <x:v>Shleifer</x:v>
      </x:c>
      <x:c r="G407" s="26" t="n">
        <x:v>1992</x:v>
      </x:c>
      <x:c r="H407" s="25" t="str">
        <x:v>Liquidation values and debt capacity: A market equilibrium approach</x:v>
      </x:c>
      <x:c r="I407" s="25" t="str"/>
      <x:c r="J407" s="25" t="str">
        <x:v>local_citation_grammar_v3</x:v>
      </x:c>
      <x:c r="K407" s="25" t="str">
        <x:v>automatic_screen_pass</x:v>
      </x:c>
      <x:c r="L407" s="25" t="str">
        <x:v>accepted</x:v>
      </x:c>
      <x:c r="M407" s="25" t="str">
        <x:v>no</x:v>
      </x:c>
      <x:c r="N407" s="25" t="str">
        <x:v>saki_research/published_papers/bigio_d_anvernas_financial_risk_capacity.pdf</x:v>
      </x:c>
      <x:c r="O407" s="25" t="str">
        <x:v>Shleifer, Andrei and Vishny, Robert W. Liquidation values and debt capacity: A market equilibrium approach. The Journal of Finance, 47(4):1343–1366, 1992.</x:v>
      </x:c>
    </x:row>
    <x:row r="408" ht="48" customHeight="1">
      <x:c r="A408" s="24" t="str">
        <x:v>P06-R057</x:v>
      </x:c>
      <x:c r="B408" s="24" t="str">
        <x:v>P06</x:v>
      </x:c>
      <x:c r="C408" s="26" t="n">
        <x:v>57</x:v>
      </x:c>
      <x:c r="D408" s="26" t="n">
        <x:v>43</x:v>
      </x:c>
      <x:c r="E408" s="26" t="n">
        <x:v>43</x:v>
      </x:c>
      <x:c r="F408" s="26" t="str">
        <x:v>Stiglitz</x:v>
      </x:c>
      <x:c r="G408" s="26" t="n">
        <x:v>2003</x:v>
      </x:c>
      <x:c r="H408" s="25" t="str">
        <x:v>Towards a new paradigm in monetary economics</x:v>
      </x:c>
      <x:c r="I408" s="25" t="str"/>
      <x:c r="J408" s="25" t="str">
        <x:v>local_citation_grammar_v3</x:v>
      </x:c>
      <x:c r="K408" s="25" t="str">
        <x:v>automatic_screen_pass</x:v>
      </x:c>
      <x:c r="L408" s="25" t="str">
        <x:v>accepted</x:v>
      </x:c>
      <x:c r="M408" s="25" t="str">
        <x:v>no</x:v>
      </x:c>
      <x:c r="N408" s="25" t="str">
        <x:v>saki_research/published_papers/bigio_d_anvernas_financial_risk_capacity.pdf</x:v>
      </x:c>
      <x:c r="O408" s="25" t="str">
        <x:v>Stiglitz, Joseph, Stiglitz, Joseph Eugene Stiglitz, and Greenwald, Bruce. Towards a new paradigm in monetary economics. Cambridge university press, 2003.</x:v>
      </x:c>
    </x:row>
    <x:row r="409" ht="48" customHeight="1">
      <x:c r="A409" s="24" t="str">
        <x:v>P06-R058</x:v>
      </x:c>
      <x:c r="B409" s="24" t="str">
        <x:v>P06</x:v>
      </x:c>
      <x:c r="C409" s="26" t="n">
        <x:v>58</x:v>
      </x:c>
      <x:c r="D409" s="26" t="n">
        <x:v>43</x:v>
      </x:c>
      <x:c r="E409" s="26" t="n">
        <x:v>43</x:v>
      </x:c>
      <x:c r="F409" s="26" t="str">
        <x:v>Stiglitz</x:v>
      </x:c>
      <x:c r="G409" s="26" t="n">
        <x:v>1981</x:v>
      </x:c>
      <x:c r="H409" s="25" t="str">
        <x:v>Credit rationing in markets with imperfect information</x:v>
      </x:c>
      <x:c r="I409" s="25" t="str"/>
      <x:c r="J409" s="25" t="str">
        <x:v>local_citation_grammar_v3</x:v>
      </x:c>
      <x:c r="K409" s="25" t="str">
        <x:v>automatic_screen_pass</x:v>
      </x:c>
      <x:c r="L409" s="25" t="str">
        <x:v>accepted</x:v>
      </x:c>
      <x:c r="M409" s="25" t="str">
        <x:v>no</x:v>
      </x:c>
      <x:c r="N409" s="25" t="str">
        <x:v>saki_research/published_papers/bigio_d_anvernas_financial_risk_capacity.pdf</x:v>
      </x:c>
      <x:c r="O409" s="25" t="str">
        <x:v>Stiglitz, Joseph E and Weiss, Andrew. Credit rationing in markets with imperfect information. The American economic review, 71(3):393–410, 1981.</x:v>
      </x:c>
    </x:row>
    <x:row r="410" ht="48" customHeight="1">
      <x:c r="A410" s="24" t="str">
        <x:v>P06-R059</x:v>
      </x:c>
      <x:c r="B410" s="24" t="str">
        <x:v>P06</x:v>
      </x:c>
      <x:c r="C410" s="26" t="n">
        <x:v>59</x:v>
      </x:c>
      <x:c r="D410" s="26" t="n">
        <x:v>43</x:v>
      </x:c>
      <x:c r="E410" s="26" t="n">
        <x:v>43</x:v>
      </x:c>
      <x:c r="F410" s="26" t="str">
        <x:v>Stroebel</x:v>
      </x:c>
      <x:c r="G410" s="26" t="n">
        <x:v>2016</x:v>
      </x:c>
      <x:c r="H410" s="25" t="str">
        <x:v>Asymmetric information about collateral values</x:v>
      </x:c>
      <x:c r="I410" s="25" t="str"/>
      <x:c r="J410" s="25" t="str">
        <x:v>local_citation_grammar_v3</x:v>
      </x:c>
      <x:c r="K410" s="25" t="str">
        <x:v>automatic_screen_pass</x:v>
      </x:c>
      <x:c r="L410" s="25" t="str">
        <x:v>accepted</x:v>
      </x:c>
      <x:c r="M410" s="25" t="str">
        <x:v>no</x:v>
      </x:c>
      <x:c r="N410" s="25" t="str">
        <x:v>saki_research/published_papers/bigio_d_anvernas_financial_risk_capacity.pdf</x:v>
      </x:c>
      <x:c r="O410" s="25" t="str">
        <x:v>Stroebel, Johannes. Asymmetric information about collateral values. The Journal of Finance, 71(3):1071–1112, 2016.</x:v>
      </x:c>
    </x:row>
    <x:row r="411" ht="48" customHeight="1">
      <x:c r="A411" s="24" t="str">
        <x:v>P06-R060</x:v>
      </x:c>
      <x:c r="B411" s="24" t="str">
        <x:v>P06</x:v>
      </x:c>
      <x:c r="C411" s="26" t="n">
        <x:v>60</x:v>
      </x:c>
      <x:c r="D411" s="26" t="n">
        <x:v>44</x:v>
      </x:c>
      <x:c r="E411" s="26" t="n">
        <x:v>44</x:v>
      </x:c>
      <x:c r="F411" s="26" t="str">
        <x:v>Sufi</x:v>
      </x:c>
      <x:c r="G411" s="26" t="n">
        <x:v>2007</x:v>
      </x:c>
      <x:c r="H411" s="25" t="str">
        <x:v>Information asymmetry and financing arrangements: Evidence from syndicated loans</x:v>
      </x:c>
      <x:c r="I411" s="25" t="str"/>
      <x:c r="J411" s="25" t="str">
        <x:v>local_citation_grammar_v3</x:v>
      </x:c>
      <x:c r="K411" s="25" t="str">
        <x:v>automatic_screen_pass</x:v>
      </x:c>
      <x:c r="L411" s="25" t="str">
        <x:v>accepted</x:v>
      </x:c>
      <x:c r="M411" s="25" t="str">
        <x:v>no</x:v>
      </x:c>
      <x:c r="N411" s="25" t="str">
        <x:v>saki_research/published_papers/bigio_d_anvernas_financial_risk_capacity.pdf</x:v>
      </x:c>
      <x:c r="O411" s="25" t="str">
        <x:v>Sufi, Amir. Information asymmetry and financing arrangements: Evidence from syndicated loans. The Journal of Finance, 62(2):629–668, 2007.</x:v>
      </x:c>
    </x:row>
    <x:row r="412" ht="48" customHeight="1">
      <x:c r="A412" s="24" t="str">
        <x:v>P06-R061</x:v>
      </x:c>
      <x:c r="B412" s="24" t="str">
        <x:v>P06</x:v>
      </x:c>
      <x:c r="C412" s="26" t="n">
        <x:v>61</x:v>
      </x:c>
      <x:c r="D412" s="26" t="n">
        <x:v>44</x:v>
      </x:c>
      <x:c r="E412" s="26" t="n">
        <x:v>44</x:v>
      </x:c>
      <x:c r="F412" s="26" t="str">
        <x:v>Vayanos</x:v>
      </x:c>
      <x:c r="G412" s="26" t="n">
        <x:v>2011</x:v>
      </x:c>
      <x:c r="H412" s="25" t="str">
        <x:v>Liquidity and asset returns under asymmetric information and imperfect competition</x:v>
      </x:c>
      <x:c r="I412" s="25" t="str"/>
      <x:c r="J412" s="25" t="str">
        <x:v>local_citation_grammar_v3</x:v>
      </x:c>
      <x:c r="K412" s="25" t="str">
        <x:v>automatic_screen_pass</x:v>
      </x:c>
      <x:c r="L412" s="25" t="str">
        <x:v>accepted</x:v>
      </x:c>
      <x:c r="M412" s="25" t="str">
        <x:v>no</x:v>
      </x:c>
      <x:c r="N412" s="25" t="str">
        <x:v>saki_research/published_papers/bigio_d_anvernas_financial_risk_capacity.pdf</x:v>
      </x:c>
      <x:c r="O412" s="25" t="str">
        <x:v>Vayanos, Dimitri and Wang, Jiang. Liquidity and asset returns under asymmetric information and imperfect competition. The Review of Financial Studies, 25(5): 1339–1365, 2011.</x:v>
      </x:c>
    </x:row>
    <x:row r="413" ht="48" customHeight="1">
      <x:c r="A413" s="24" t="str">
        <x:v>P03-R001</x:v>
      </x:c>
      <x:c r="B413" s="24" t="str">
        <x:v>P03</x:v>
      </x:c>
      <x:c r="C413" s="26" t="n">
        <x:v>1</x:v>
      </x:c>
      <x:c r="D413" s="26" t="n">
        <x:v>41</x:v>
      </x:c>
      <x:c r="E413" s="26" t="n">
        <x:v>41</x:v>
      </x:c>
      <x:c r="F413" s="26" t="str">
        <x:v>Ajello</x:v>
      </x:c>
      <x:c r="G413" s="26" t="n">
        <x:v>2012</x:v>
      </x:c>
      <x:c r="H413" s="25" t="str">
        <x:v>Financial Intermediation, Investment Dynamics and Business Cycle Fluctuations</x:v>
      </x:c>
      <x:c r="I413" s="25" t="str"/>
      <x:c r="J413" s="25" t="str"/>
      <x:c r="K413" s="25" t="str">
        <x:v>prior_manual_sample</x:v>
      </x:c>
      <x:c r="L413" s="25" t="str">
        <x:v>accepted</x:v>
      </x:c>
      <x:c r="M413" s="25" t="str">
        <x:v>no</x:v>
      </x:c>
      <x:c r="N413" s="25" t="str">
        <x:v>saki_research/published_papers/bigio_endogenous_liquidity_business_cycle.pdf</x:v>
      </x:c>
      <x:c r="O413" s="25" t="str">
        <x:v>Ajello, Andrea, “Financial Intermediation, Investment Dynamics and Business Cycle Fluctuations,” 2012. Unpublished.3,29</x:v>
      </x:c>
    </x:row>
    <x:row r="414" ht="48" customHeight="1">
      <x:c r="A414" s="24" t="str">
        <x:v>P03-R002</x:v>
      </x:c>
      <x:c r="B414" s="24" t="str">
        <x:v>P03</x:v>
      </x:c>
      <x:c r="C414" s="26" t="n">
        <x:v>2</x:v>
      </x:c>
      <x:c r="D414" s="26" t="n">
        <x:v>41</x:v>
      </x:c>
      <x:c r="E414" s="26" t="n">
        <x:v>41</x:v>
      </x:c>
      <x:c r="F414" s="26" t="str">
        <x:v>Akerlof</x:v>
      </x:c>
      <x:c r="G414" s="26" t="n">
        <x:v>1970</x:v>
      </x:c>
      <x:c r="H414" s="25" t="str">
        <x:v>The Market for ‘Lemons’: Quality Uncertainty and the Market Mechanism</x:v>
      </x:c>
      <x:c r="I414" s="25" t="str"/>
      <x:c r="J414" s="25" t="str"/>
      <x:c r="K414" s="25" t="str">
        <x:v>automatic_screen_pass</x:v>
      </x:c>
      <x:c r="L414" s="25" t="str">
        <x:v>accepted</x:v>
      </x:c>
      <x:c r="M414" s="25" t="str">
        <x:v>no</x:v>
      </x:c>
      <x:c r="N414" s="25" t="str">
        <x:v>saki_research/published_papers/bigio_endogenous_liquidity_business_cycle.pdf</x:v>
      </x:c>
      <x:c r="O414" s="25" t="str">
        <x:v>Akerlof, George A., “The Market for ‘Lemons’: Quality Uncertainty and the Market Mechanism,” Quarterly Journal of Economics, 1970, 84 (3), 488–500. 9,57</x:v>
      </x:c>
    </x:row>
    <x:row r="415" ht="48" customHeight="1">
      <x:c r="A415" s="24" t="str">
        <x:v>P03-R003</x:v>
      </x:c>
      <x:c r="B415" s="24" t="str">
        <x:v>P03</x:v>
      </x:c>
      <x:c r="C415" s="26" t="n">
        <x:v>3</x:v>
      </x:c>
      <x:c r="D415" s="26" t="n">
        <x:v>41</x:v>
      </x:c>
      <x:c r="E415" s="26" t="n">
        <x:v>41</x:v>
      </x:c>
      <x:c r="F415" s="26" t="str">
        <x:v>Bigio</x:v>
      </x:c>
      <x:c r="G415" s="26" t="n">
        <x:v>2009</x:v>
      </x:c>
      <x:c r="H415" s="25" t="str">
        <x:v>Liquidity Shocks and the Business Cycle</x:v>
      </x:c>
      <x:c r="I415" s="25" t="str"/>
      <x:c r="J415" s="25" t="str"/>
      <x:c r="K415" s="25" t="str">
        <x:v>automatic_screen_pass</x:v>
      </x:c>
      <x:c r="L415" s="25" t="str">
        <x:v>accepted</x:v>
      </x:c>
      <x:c r="M415" s="25" t="str">
        <x:v>no</x:v>
      </x:c>
      <x:c r="N415" s="25" t="str">
        <x:v>saki_research/published_papers/bigio_endogenous_liquidity_business_cycle.pdf</x:v>
      </x:c>
      <x:c r="O415" s="25" t="str">
        <x:v>Bigio, Saki, “Liquidity Shocks and the Business Cycle,” 2009. Unpublished.44, 59,66</x:v>
      </x:c>
    </x:row>
    <x:row r="416" ht="48" customHeight="1">
      <x:c r="A416" s="24" t="str">
        <x:v>P03-R004</x:v>
      </x:c>
      <x:c r="B416" s="24" t="str">
        <x:v>P03</x:v>
      </x:c>
      <x:c r="C416" s="26" t="n">
        <x:v>4</x:v>
      </x:c>
      <x:c r="D416" s="26" t="n">
        <x:v>41</x:v>
      </x:c>
      <x:c r="E416" s="26" t="n">
        <x:v>41</x:v>
      </x:c>
      <x:c r="F416" s="26" t="str">
        <x:v>Bloom</x:v>
      </x:c>
      <x:c r="G416" s="26" t="n">
        <x:v>2009</x:v>
      </x:c>
      <x:c r="H416" s="25" t="str">
        <x:v>TheImpactofUncertaintyShocks</x:v>
      </x:c>
      <x:c r="I416" s="25" t="str"/>
      <x:c r="J416" s="25" t="str"/>
      <x:c r="K416" s="25" t="str">
        <x:v>automatic_screen_pass</x:v>
      </x:c>
      <x:c r="L416" s="25" t="str">
        <x:v>accepted</x:v>
      </x:c>
      <x:c r="M416" s="25" t="str">
        <x:v>no</x:v>
      </x:c>
      <x:c r="N416" s="25" t="str">
        <x:v>saki_research/published_papers/bigio_endogenous_liquidity_business_cycle.pdf</x:v>
      </x:c>
      <x:c r="O416" s="25" t="str">
        <x:v>Bloom, Nicholas, “TheImpactofUncertaintyShocks,” Econometrica, 2009, 77 (3), 623–685.4</x:v>
      </x:c>
    </x:row>
    <x:row r="417" ht="48" customHeight="1">
      <x:c r="A417" s="24" t="str">
        <x:v>P03-R005</x:v>
      </x:c>
      <x:c r="B417" s="24" t="str">
        <x:v>P03</x:v>
      </x:c>
      <x:c r="C417" s="26" t="n">
        <x:v>5</x:v>
      </x:c>
      <x:c r="D417" s="26" t="n">
        <x:v>41</x:v>
      </x:c>
      <x:c r="E417" s="26" t="n">
        <x:v>41</x:v>
      </x:c>
      <x:c r="F417" s="26" t="str">
        <x:v>Burnside</x:v>
      </x:c>
      <x:c r="G417" s="26" t="n">
        <x:v>1993</x:v>
      </x:c>
      <x:c r="H417" s="25" t="str">
        <x:v>LaborHoarding and the Business Cycle</x:v>
      </x:c>
      <x:c r="I417" s="25" t="str"/>
      <x:c r="J417" s="25" t="str"/>
      <x:c r="K417" s="25" t="str">
        <x:v>automatic_screen_pass</x:v>
      </x:c>
      <x:c r="L417" s="25" t="str">
        <x:v>accepted</x:v>
      </x:c>
      <x:c r="M417" s="25" t="str">
        <x:v>no</x:v>
      </x:c>
      <x:c r="N417" s="25" t="str">
        <x:v>saki_research/published_papers/bigio_endogenous_liquidity_business_cycle.pdf</x:v>
      </x:c>
      <x:c r="O417" s="25" t="str">
        <x:v>Burnside, Craig, MartinEichenbaum, andSergioRebelo, “LaborHoarding and the Business Cycle,” Journal of Political Economy, 1993, 101 (2), 245– 273.28,29</x:v>
      </x:c>
    </x:row>
    <x:row r="418" ht="48" customHeight="1">
      <x:c r="A418" s="24" t="str">
        <x:v>P03-R006</x:v>
      </x:c>
      <x:c r="B418" s="24" t="str">
        <x:v>P03</x:v>
      </x:c>
      <x:c r="C418" s="26" t="n">
        <x:v>6</x:v>
      </x:c>
      <x:c r="D418" s="26" t="n">
        <x:v>41</x:v>
      </x:c>
      <x:c r="E418" s="26" t="n">
        <x:v>41</x:v>
      </x:c>
      <x:c r="F418" s="26" t="str">
        <x:v>Chari</x:v>
      </x:c>
      <x:c r="G418" s="26" t="n">
        <x:v>2007</x:v>
      </x:c>
      <x:c r="H418" s="25" t="str">
        <x:v>BusinessCylce Accounting</x:v>
      </x:c>
      <x:c r="I418" s="25" t="str"/>
      <x:c r="J418" s="25" t="str"/>
      <x:c r="K418" s="25" t="str">
        <x:v>prior_manual_sample</x:v>
      </x:c>
      <x:c r="L418" s="25" t="str">
        <x:v>accepted</x:v>
      </x:c>
      <x:c r="M418" s="25" t="str">
        <x:v>no</x:v>
      </x:c>
      <x:c r="N418" s="25" t="str">
        <x:v>saki_research/published_papers/bigio_endogenous_liquidity_business_cycle.pdf</x:v>
      </x:c>
      <x:c r="O418" s="25" t="str">
        <x:v>Chari,V.V.,PatrickJ.Kehoe,andEllenR.McGrattan,“BusinessCylce Accounting,” Econometrica, 2007, 75 (3), 781–836.2</x:v>
      </x:c>
    </x:row>
    <x:row r="419" ht="48" customHeight="1">
      <x:c r="A419" s="24" t="str">
        <x:v>P03-R007</x:v>
      </x:c>
      <x:c r="B419" s="24" t="str">
        <x:v>P03</x:v>
      </x:c>
      <x:c r="C419" s="26" t="n">
        <x:v>7</x:v>
      </x:c>
      <x:c r="D419" s="26" t="n">
        <x:v>41</x:v>
      </x:c>
      <x:c r="E419" s="26" t="n">
        <x:v>41</x:v>
      </x:c>
      <x:c r="F419" s="26" t="str">
        <x:v>Chodorow-Reich</x:v>
      </x:c>
      <x:c r="G419" s="26" t="n">
        <x:v>2013</x:v>
      </x:c>
      <x:c r="H419" s="25" t="str">
        <x:v>The Employment Effects of Credit Market Disruptions: Firm-level Evidence from the 2008-09 Financial Crisis</x:v>
      </x:c>
      <x:c r="I419" s="25" t="str"/>
      <x:c r="J419" s="25" t="str">
        <x:v>exhaustive_ai_audit_2026-09-17</x:v>
      </x:c>
      <x:c r="K419" s="25" t="str">
        <x:v>exhaustive_visual_correction</x:v>
      </x:c>
      <x:c r="L419" s="25" t="str">
        <x:v>corrected</x:v>
      </x:c>
      <x:c r="M419" s="25" t="str">
        <x:v>no</x:v>
      </x:c>
      <x:c r="N419" s="25" t="str">
        <x:v>saki_research/published_papers/bigio_endogenous_liquidity_business_cycle.pdf</x:v>
      </x:c>
      <x:c r="O419" s="25" t="str">
        <x:v>Chodorow-Reich, Gabriel, “The Employment Effects of Credit Market Disruptions: Firm-level Evidence from the 2008-09 Financial Crisis,” 2013. Unpublished.3,36</x:v>
      </x:c>
    </x:row>
    <x:row r="420" ht="48" customHeight="1">
      <x:c r="A420" s="24" t="str">
        <x:v>P03-R008</x:v>
      </x:c>
      <x:c r="B420" s="24" t="str">
        <x:v>P03</x:v>
      </x:c>
      <x:c r="C420" s="26" t="n">
        <x:v>8</x:v>
      </x:c>
      <x:c r="D420" s="26" t="n">
        <x:v>42</x:v>
      </x:c>
      <x:c r="E420" s="26" t="n">
        <x:v>42</x:v>
      </x:c>
      <x:c r="F420" s="26" t="str">
        <x:v>Christiano</x:v>
      </x:c>
      <x:c r="G420" s="26" t="n">
        <x:v>1992</x:v>
      </x:c>
      <x:c r="H420" s="25" t="str">
        <x:v>Liquidity Effects and the Monetary Transmission Mechanism</x:v>
      </x:c>
      <x:c r="I420" s="25" t="str"/>
      <x:c r="J420" s="25" t="str">
        <x:v>exhaustive_ai_audit_2026-09-17</x:v>
      </x:c>
      <x:c r="K420" s="25" t="str">
        <x:v>exhaustive_visual_correction</x:v>
      </x:c>
      <x:c r="L420" s="25" t="str">
        <x:v>corrected</x:v>
      </x:c>
      <x:c r="M420" s="25" t="str">
        <x:v>no</x:v>
      </x:c>
      <x:c r="N420" s="25" t="str">
        <x:v>saki_research/published_papers/bigio_endogenous_liquidity_business_cycle.pdf</x:v>
      </x:c>
      <x:c r="O420" s="25" t="str">
        <x:v>Christiano, Lawrence J. and Martin Eichenbaum, “Liquidity Effects and the Monetary Transmission Mechanism,” American Economic Review, 1992, 82 (2), 346–353.4,12</x:v>
      </x:c>
    </x:row>
    <x:row r="421" ht="48" customHeight="1">
      <x:c r="A421" s="24" t="str">
        <x:v>P03-R009</x:v>
      </x:c>
      <x:c r="B421" s="24" t="str">
        <x:v>P03</x:v>
      </x:c>
      <x:c r="C421" s="26" t="n">
        <x:v>9</x:v>
      </x:c>
      <x:c r="D421" s="26" t="n">
        <x:v>42</x:v>
      </x:c>
      <x:c r="E421" s="26" t="n">
        <x:v>42</x:v>
      </x:c>
      <x:c r="F421" s="26" t="str">
        <x:v>Christiano</x:v>
      </x:c>
      <x:c r="G421" s="26" t="n">
        <x:v>2005</x:v>
      </x:c>
      <x:c r="H421" s="25" t="str">
        <x:v>Nominal Rigidities and the Dynamic Effects of a Shock to Monetary Policy</x:v>
      </x:c>
      <x:c r="I421" s="25" t="str">
        <x:v>inherited_author_notation</x:v>
      </x:c>
      <x:c r="J421" s="25" t="str">
        <x:v>exhaustive_ai_audit_2026-09-17</x:v>
      </x:c>
      <x:c r="K421" s="25" t="str">
        <x:v>exhaustive_visual_correction</x:v>
      </x:c>
      <x:c r="L421" s="25" t="str">
        <x:v>corrected</x:v>
      </x:c>
      <x:c r="M421" s="25" t="str">
        <x:v>no</x:v>
      </x:c>
      <x:c r="N421" s="25" t="str">
        <x:v>saki_research/published_papers/bigio_endogenous_liquidity_business_cycle.pdf</x:v>
      </x:c>
      <x:c r="O421" s="25" t="str">
        <x:v>, , and Charles L. Evans, “Nominal Rigidities and the Dynamic Effects of a Shock to Monetary Policy,” Journal of Political Economy, 2005, 113 (1), 1–45.12</x:v>
      </x:c>
    </x:row>
    <x:row r="422" ht="48" customHeight="1">
      <x:c r="A422" s="24" t="str">
        <x:v>P03-R010</x:v>
      </x:c>
      <x:c r="B422" s="24" t="str">
        <x:v>P03</x:v>
      </x:c>
      <x:c r="C422" s="26" t="n">
        <x:v>10</x:v>
      </x:c>
      <x:c r="D422" s="26" t="n">
        <x:v>42</x:v>
      </x:c>
      <x:c r="E422" s="26" t="n">
        <x:v>42</x:v>
      </x:c>
      <x:c r="F422" s="26" t="str">
        <x:v>Christiano</x:v>
      </x:c>
      <x:c r="G422" s="26" t="n">
        <x:v>2014</x:v>
      </x:c>
      <x:c r="H422" s="25" t="str">
        <x:v>RiskShocks</x:v>
      </x:c>
      <x:c r="I422" s="25" t="str">
        <x:v>inherited_author_notation</x:v>
      </x:c>
      <x:c r="J422" s="25" t="str"/>
      <x:c r="K422" s="25" t="str">
        <x:v>automatic_screen_pass</x:v>
      </x:c>
      <x:c r="L422" s="25" t="str">
        <x:v>accepted</x:v>
      </x:c>
      <x:c r="M422" s="25" t="str">
        <x:v>no</x:v>
      </x:c>
      <x:c r="N422" s="25" t="str">
        <x:v>saki_research/published_papers/bigio_endogenous_liquidity_business_cycle.pdf</x:v>
      </x:c>
      <x:c r="O422" s="25" t="str">
        <x:v>RobertoMotto, andMassimoRostagno, “RiskShocks,” American Economic Review, 2014, 104 (1), 27–65.4,27</x:v>
      </x:c>
    </x:row>
    <x:row r="423" ht="48" customHeight="1">
      <x:c r="A423" s="24" t="str">
        <x:v>P03-R011</x:v>
      </x:c>
      <x:c r="B423" s="24" t="str">
        <x:v>P03</x:v>
      </x:c>
      <x:c r="C423" s="26" t="n">
        <x:v>11</x:v>
      </x:c>
      <x:c r="D423" s="26" t="n">
        <x:v>42</x:v>
      </x:c>
      <x:c r="E423" s="26" t="n">
        <x:v>42</x:v>
      </x:c>
      <x:c r="F423" s="26" t="str">
        <x:v>Comin</x:v>
      </x:c>
      <x:c r="G423" s="26" t="n">
        <x:v>2006</x:v>
      </x:c>
      <x:c r="H423" s="25" t="str">
        <x:v>Medium-Term Business Cycles</x:v>
      </x:c>
      <x:c r="I423" s="25" t="str"/>
      <x:c r="J423" s="25" t="str"/>
      <x:c r="K423" s="25" t="str">
        <x:v>automatic_screen_pass</x:v>
      </x:c>
      <x:c r="L423" s="25" t="str">
        <x:v>accepted</x:v>
      </x:c>
      <x:c r="M423" s="25" t="str">
        <x:v>no</x:v>
      </x:c>
      <x:c r="N423" s="25" t="str">
        <x:v>saki_research/published_papers/bigio_endogenous_liquidity_business_cycle.pdf</x:v>
      </x:c>
      <x:c r="O423" s="25" t="str">
        <x:v>Comin, Diego and Mark Gertler, “Medium-Term Business Cycles,” American Economic Review, 2006, 96 (3), 523–551.27</x:v>
      </x:c>
    </x:row>
    <x:row r="424" ht="48" customHeight="1">
      <x:c r="A424" s="24" t="str">
        <x:v>P03-R012</x:v>
      </x:c>
      <x:c r="B424" s="24" t="str">
        <x:v>P03</x:v>
      </x:c>
      <x:c r="C424" s="26" t="n">
        <x:v>12</x:v>
      </x:c>
      <x:c r="D424" s="26" t="n">
        <x:v>42</x:v>
      </x:c>
      <x:c r="E424" s="26" t="n">
        <x:v>42</x:v>
      </x:c>
      <x:c r="F424" s="26" t="str">
        <x:v>Cooper</x:v>
      </x:c>
      <x:c r="G424" s="26" t="n">
        <x:v>1999</x:v>
      </x:c>
      <x:c r="H424" s="25" t="str">
        <x:v>Machine Replacement and the Business Cycle: Lumps and Bumps</x:v>
      </x:c>
      <x:c r="I424" s="25" t="str"/>
      <x:c r="J424" s="25" t="str"/>
      <x:c r="K424" s="25" t="str">
        <x:v>automatic_screen_pass</x:v>
      </x:c>
      <x:c r="L424" s="25" t="str">
        <x:v>accepted</x:v>
      </x:c>
      <x:c r="M424" s="25" t="str">
        <x:v>no</x:v>
      </x:c>
      <x:c r="N424" s="25" t="str">
        <x:v>saki_research/published_papers/bigio_endogenous_liquidity_business_cycle.pdf</x:v>
      </x:c>
      <x:c r="O424" s="25" t="str">
        <x:v>Cooper, Russell, John Haltiwanger, and Laura Power, “Machine Replacement and the Business Cycle: Lumps and Bumps,” American Economic Review, 1999, 89 (4), 921–946.28,30</x:v>
      </x:c>
    </x:row>
    <x:row r="425" ht="48" customHeight="1">
      <x:c r="A425" s="24" t="str">
        <x:v>P03-R013</x:v>
      </x:c>
      <x:c r="B425" s="24" t="str">
        <x:v>P03</x:v>
      </x:c>
      <x:c r="C425" s="26" t="n">
        <x:v>13</x:v>
      </x:c>
      <x:c r="D425" s="26" t="n">
        <x:v>42</x:v>
      </x:c>
      <x:c r="E425" s="26" t="n">
        <x:v>42</x:v>
      </x:c>
      <x:c r="F425" s="26" t="str">
        <x:v>Covas</x:v>
      </x:c>
      <x:c r="G425" s="26" t="n">
        <x:v>2011</x:v>
      </x:c>
      <x:c r="H425" s="25" t="str">
        <x:v>TheCyclicalBehaviorofDebt and Equity Finance</x:v>
      </x:c>
      <x:c r="I425" s="25" t="str"/>
      <x:c r="J425" s="25" t="str"/>
      <x:c r="K425" s="25" t="str">
        <x:v>prior_manual_sample</x:v>
      </x:c>
      <x:c r="L425" s="25" t="str">
        <x:v>accepted</x:v>
      </x:c>
      <x:c r="M425" s="25" t="str">
        <x:v>no</x:v>
      </x:c>
      <x:c r="N425" s="25" t="str">
        <x:v>saki_research/published_papers/bigio_endogenous_liquidity_business_cycle.pdf</x:v>
      </x:c>
      <x:c r="O425" s="25" t="str">
        <x:v>Covas, FranciscoandWouterJ.DenHaan, “TheCyclicalBehaviorofDebt and Equity Finance,” American Economic Review, 2011, 101 (2), 877–99.2, 27,32</x:v>
      </x:c>
    </x:row>
    <x:row r="426" ht="48" customHeight="1">
      <x:c r="A426" s="24" t="str">
        <x:v>P03-R014</x:v>
      </x:c>
      <x:c r="B426" s="24" t="str">
        <x:v>P03</x:v>
      </x:c>
      <x:c r="C426" s="26" t="n">
        <x:v>14</x:v>
      </x:c>
      <x:c r="D426" s="26" t="n">
        <x:v>42</x:v>
      </x:c>
      <x:c r="E426" s="26" t="n">
        <x:v>42</x:v>
      </x:c>
      <x:c r="F426" s="26" t="str">
        <x:v>del Negro</x:v>
      </x:c>
      <x:c r="G426" s="26" t="n">
        <x:v>2010</x:v>
      </x:c>
      <x:c r="H426" s="25" t="str">
        <x:v>The Great Escape? A Quantitative Evaluation of the Fed’s Non- Standard Policies</x:v>
      </x:c>
      <x:c r="I426" s="25" t="str"/>
      <x:c r="J426" s="25" t="str"/>
      <x:c r="K426" s="25" t="str">
        <x:v>automatic_screen_pass</x:v>
      </x:c>
      <x:c r="L426" s="25" t="str">
        <x:v>accepted</x:v>
      </x:c>
      <x:c r="M426" s="25" t="str">
        <x:v>no</x:v>
      </x:c>
      <x:c r="N426" s="25" t="str">
        <x:v>saki_research/published_papers/bigio_endogenous_liquidity_business_cycle.pdf</x:v>
      </x:c>
      <x:c r="O426" s="25" t="str">
        <x:v>del Negro, Marco, Gauti Eggertsson, Andrea Ferrero, and Nobuhiro Kiyotaki, “The Great Escape? A Quantitative Evaluation of the Fed’s Non- Standard Policies,” 2010. Unpublished.4,29</x:v>
      </x:c>
    </x:row>
    <x:row r="427" ht="48" customHeight="1">
      <x:c r="A427" s="24" t="str">
        <x:v>P03-R015</x:v>
      </x:c>
      <x:c r="B427" s="24" t="str">
        <x:v>P03</x:v>
      </x:c>
      <x:c r="C427" s="26" t="n">
        <x:v>15</x:v>
      </x:c>
      <x:c r="D427" s="26" t="n">
        <x:v>42</x:v>
      </x:c>
      <x:c r="E427" s="26" t="n">
        <x:v>42</x:v>
      </x:c>
      <x:c r="F427" s="26" t="str">
        <x:v>DeMarzo</x:v>
      </x:c>
      <x:c r="G427" s="26" t="n">
        <x:v>1999</x:v>
      </x:c>
      <x:c r="H427" s="25" t="str">
        <x:v>A Liquidity-Based Model of Security Design</x:v>
      </x:c>
      <x:c r="I427" s="25" t="str"/>
      <x:c r="J427" s="25" t="str"/>
      <x:c r="K427" s="25" t="str">
        <x:v>prior_manual_sample</x:v>
      </x:c>
      <x:c r="L427" s="25" t="str">
        <x:v>accepted</x:v>
      </x:c>
      <x:c r="M427" s="25" t="str">
        <x:v>no</x:v>
      </x:c>
      <x:c r="N427" s="25" t="str">
        <x:v>saki_research/published_papers/bigio_endogenous_liquidity_business_cycle.pdf</x:v>
      </x:c>
      <x:c r="O427" s="25" t="str">
        <x:v>DeMarzo, Peter and Darrell Duffie, “A Liquidity-Based Model of Security Design,” Econometrica, 1999, 67 (1), 65–99.16,38,50</x:v>
      </x:c>
    </x:row>
    <x:row r="428" ht="48" customHeight="1">
      <x:c r="A428" s="24" t="str">
        <x:v>P03-R016</x:v>
      </x:c>
      <x:c r="B428" s="24" t="str">
        <x:v>P03</x:v>
      </x:c>
      <x:c r="C428" s="26" t="n">
        <x:v>16</x:v>
      </x:c>
      <x:c r="D428" s="26" t="n">
        <x:v>42</x:v>
      </x:c>
      <x:c r="E428" s="26" t="n">
        <x:v>42</x:v>
      </x:c>
      <x:c r="F428" s="26" t="str">
        <x:v>Eisfeldt</x:v>
      </x:c>
      <x:c r="G428" s="26" t="n">
        <x:v>2004</x:v>
      </x:c>
      <x:c r="H428" s="25" t="str">
        <x:v>Endogenous Liquidity in Asset Markets</x:v>
      </x:c>
      <x:c r="I428" s="25" t="str"/>
      <x:c r="J428" s="25" t="str"/>
      <x:c r="K428" s="25" t="str">
        <x:v>automatic_screen_pass</x:v>
      </x:c>
      <x:c r="L428" s="25" t="str">
        <x:v>accepted</x:v>
      </x:c>
      <x:c r="M428" s="25" t="str">
        <x:v>no</x:v>
      </x:c>
      <x:c r="N428" s="25" t="str">
        <x:v>saki_research/published_papers/bigio_endogenous_liquidity_business_cycle.pdf</x:v>
      </x:c>
      <x:c r="O428" s="25" t="str">
        <x:v>Eisfeldt, Andrea L., “Endogenous Liquidity in Asset Markets,” The Journal of Finance, 2004, 59 (1), 1–30.3</x:v>
      </x:c>
    </x:row>
    <x:row r="429" ht="48" customHeight="1">
      <x:c r="A429" s="24" t="str">
        <x:v>P03-R017</x:v>
      </x:c>
      <x:c r="B429" s="24" t="str">
        <x:v>P03</x:v>
      </x:c>
      <x:c r="C429" s="26" t="n">
        <x:v>17</x:v>
      </x:c>
      <x:c r="D429" s="26" t="n">
        <x:v>42</x:v>
      </x:c>
      <x:c r="E429" s="26" t="n">
        <x:v>42</x:v>
      </x:c>
      <x:c r="F429" s="26" t="str">
        <x:v>Eisfeldt</x:v>
      </x:c>
      <x:c r="G429" s="26" t="n">
        <x:v>2006</x:v>
      </x:c>
      <x:c r="H429" s="25" t="str">
        <x:v>Capital reallocation and liquidity</x:v>
      </x:c>
      <x:c r="I429" s="25" t="str">
        <x:v>inherited_author_notation</x:v>
      </x:c>
      <x:c r="J429" s="25" t="str"/>
      <x:c r="K429" s="25" t="str">
        <x:v>automatic_screen_pass</x:v>
      </x:c>
      <x:c r="L429" s="25" t="str">
        <x:v>accepted</x:v>
      </x:c>
      <x:c r="M429" s="25" t="str">
        <x:v>no</x:v>
      </x:c>
      <x:c r="N429" s="25" t="str">
        <x:v>saki_research/published_papers/bigio_endogenous_liquidity_business_cycle.pdf</x:v>
      </x:c>
      <x:c r="O429" s="25" t="str">
        <x:v>and Adriano A. Rampini, “Capital reallocation and liquidity,” Journal of Monetary Economics, 2006, 53 (3), 369 – 399.2</x:v>
      </x:c>
    </x:row>
    <x:row r="430" ht="48" customHeight="1">
      <x:c r="A430" s="24" t="str">
        <x:v>P03-R018</x:v>
      </x:c>
      <x:c r="B430" s="24" t="str">
        <x:v>P03</x:v>
      </x:c>
      <x:c r="C430" s="26" t="n">
        <x:v>18</x:v>
      </x:c>
      <x:c r="D430" s="26" t="n">
        <x:v>42</x:v>
      </x:c>
      <x:c r="E430" s="26" t="n">
        <x:v>42</x:v>
      </x:c>
      <x:c r="F430" s="26" t="str">
        <x:v>Fernald</x:v>
      </x:c>
      <x:c r="G430" s="26" t="n">
        <x:v>2012</x:v>
      </x:c>
      <x:c r="H430" s="25" t="str">
        <x:v>A Quarterly, Utilization-Adjusted Series on Total Factor Productivity</x:v>
      </x:c>
      <x:c r="I430" s="25" t="str"/>
      <x:c r="J430" s="25" t="str"/>
      <x:c r="K430" s="25" t="str">
        <x:v>automatic_screen_pass</x:v>
      </x:c>
      <x:c r="L430" s="25" t="str">
        <x:v>accepted</x:v>
      </x:c>
      <x:c r="M430" s="25" t="str">
        <x:v>no</x:v>
      </x:c>
      <x:c r="N430" s="25" t="str">
        <x:v>saki_research/published_papers/bigio_endogenous_liquidity_business_cycle.pdf</x:v>
      </x:c>
      <x:c r="O430" s="25" t="str">
        <x:v>Fernald, John G., “A Quarterly, Utilization-Adjusted Series on Total Factor Productivity,” 2012. Federal Reserve Bank of San Francisco Working Paper. 27,36,67</x:v>
      </x:c>
    </x:row>
    <x:row r="431" ht="48" customHeight="1">
      <x:c r="A431" s="24" t="str">
        <x:v>P03-R019</x:v>
      </x:c>
      <x:c r="B431" s="24" t="str">
        <x:v>P03</x:v>
      </x:c>
      <x:c r="C431" s="26" t="n">
        <x:v>19</x:v>
      </x:c>
      <x:c r="D431" s="26" t="n">
        <x:v>42</x:v>
      </x:c>
      <x:c r="E431" s="26" t="n">
        <x:v>42</x:v>
      </x:c>
      <x:c r="F431" s="26" t="str">
        <x:v>Fort</x:v>
      </x:c>
      <x:c r="G431" s="26" t="n">
        <x:v>2013</x:v>
      </x:c>
      <x:c r="H431" s="25" t="str">
        <x:v>HowFirmsRespondtoBusinessCycles: theRoleofFirmAgeandFirmSize</x:v>
      </x:c>
      <x:c r="I431" s="25" t="str"/>
      <x:c r="J431" s="25" t="str"/>
      <x:c r="K431" s="25" t="str">
        <x:v>prior_manual_sample</x:v>
      </x:c>
      <x:c r="L431" s="25" t="str">
        <x:v>accepted</x:v>
      </x:c>
      <x:c r="M431" s="25" t="str">
        <x:v>no</x:v>
      </x:c>
      <x:c r="N431" s="25" t="str">
        <x:v>saki_research/published_papers/bigio_endogenous_liquidity_business_cycle.pdf</x:v>
      </x:c>
      <x:c r="O431" s="25" t="str">
        <x:v>Fort,TeresaC.,JohnHaltiwanger,RonS.Jarmin,andJavierMiranda, “HowFirmsRespondtoBusinessCycles: theRoleofFirmAgeandFirmSize,” 2013. National Bureau of Economic Research Working Paper 19134.3,36</x:v>
      </x:c>
    </x:row>
    <x:row r="432" ht="48" customHeight="1">
      <x:c r="A432" s="24" t="str">
        <x:v>P03-R020</x:v>
      </x:c>
      <x:c r="B432" s="24" t="str">
        <x:v>P03</x:v>
      </x:c>
      <x:c r="C432" s="26" t="n">
        <x:v>20</x:v>
      </x:c>
      <x:c r="D432" s="26" t="n">
        <x:v>42</x:v>
      </x:c>
      <x:c r="E432" s="26" t="n">
        <x:v>42</x:v>
      </x:c>
      <x:c r="F432" s="26" t="str">
        <x:v>Gilchrist</x:v>
      </x:c>
      <x:c r="G432" s="26" t="n">
        <x:v>2012</x:v>
      </x:c>
      <x:c r="H432" s="25" t="str">
        <x:v>Credit Spreads and Business Cycle Fluctuations</x:v>
      </x:c>
      <x:c r="I432" s="25" t="str"/>
      <x:c r="J432" s="25" t="str"/>
      <x:c r="K432" s="25" t="str">
        <x:v>prior_manual_sample</x:v>
      </x:c>
      <x:c r="L432" s="25" t="str">
        <x:v>accepted</x:v>
      </x:c>
      <x:c r="M432" s="25" t="str">
        <x:v>no</x:v>
      </x:c>
      <x:c r="N432" s="25" t="str">
        <x:v>saki_research/published_papers/bigio_endogenous_liquidity_business_cycle.pdf</x:v>
      </x:c>
      <x:c r="O432" s="25" t="str">
        <x:v>Gilchrist, Simon and Egon Zakrajek, “Credit Spreads and Business Cycle Fluctuations,” American Economic Review, 2012, 102 (4), 1692–1720.2</x:v>
      </x:c>
    </x:row>
    <x:row r="433" ht="48" customHeight="1">
      <x:c r="A433" s="24" t="str">
        <x:v>P03-R021</x:v>
      </x:c>
      <x:c r="B433" s="24" t="str">
        <x:v>P03</x:v>
      </x:c>
      <x:c r="C433" s="26" t="n">
        <x:v>21</x:v>
      </x:c>
      <x:c r="D433" s="26" t="n">
        <x:v>42</x:v>
      </x:c>
      <x:c r="E433" s="26" t="n">
        <x:v>42</x:v>
      </x:c>
      <x:c r="F433" s="26" t="str">
        <x:v>Gomes</x:v>
      </x:c>
      <x:c r="G433" s="26" t="n">
        <x:v>2001</x:v>
      </x:c>
      <x:c r="H433" s="25" t="str">
        <x:v>Financing Investment</x:v>
      </x:c>
      <x:c r="I433" s="25" t="str"/>
      <x:c r="J433" s="25" t="str">
        <x:v>H-017</x:v>
      </x:c>
      <x:c r="K433" s="25" t="str">
        <x:v>prior_manual_sample</x:v>
      </x:c>
      <x:c r="L433" s="25" t="str">
        <x:v>accepted</x:v>
      </x:c>
      <x:c r="M433" s="25" t="str">
        <x:v>no</x:v>
      </x:c>
      <x:c r="N433" s="25" t="str">
        <x:v>saki_research/published_papers/bigio_endogenous_liquidity_business_cycle.pdf</x:v>
      </x:c>
      <x:c r="O433" s="25" t="str">
        <x:v>Gomes, Joao F., “Financing Investment,” American Economic Review, 2001, 91 (5), 1263–1285.2</x:v>
      </x:c>
    </x:row>
    <x:row r="434" ht="48" customHeight="1">
      <x:c r="A434" s="24" t="str">
        <x:v>P03-R022</x:v>
      </x:c>
      <x:c r="B434" s="24" t="str">
        <x:v>P03</x:v>
      </x:c>
      <x:c r="C434" s="26" t="n">
        <x:v>22</x:v>
      </x:c>
      <x:c r="D434" s="26" t="n">
        <x:v>43</x:v>
      </x:c>
      <x:c r="E434" s="26" t="n">
        <x:v>43</x:v>
      </x:c>
      <x:c r="F434" s="26" t="str">
        <x:v>Hansen</x:v>
      </x:c>
      <x:c r="G434" s="26" t="n">
        <x:v>1982</x:v>
      </x:c>
      <x:c r="H434" s="25" t="str">
        <x:v>Large Sample Properties of Generalized Method of Moments Estimators</x:v>
      </x:c>
      <x:c r="I434" s="25" t="str"/>
      <x:c r="J434" s="25" t="str"/>
      <x:c r="K434" s="25" t="str">
        <x:v>automatic_screen_pass</x:v>
      </x:c>
      <x:c r="L434" s="25" t="str">
        <x:v>accepted</x:v>
      </x:c>
      <x:c r="M434" s="25" t="str">
        <x:v>no</x:v>
      </x:c>
      <x:c r="N434" s="25" t="str">
        <x:v>saki_research/published_papers/bigio_endogenous_liquidity_business_cycle.pdf</x:v>
      </x:c>
      <x:c r="O434" s="25" t="str">
        <x:v>Hansen, Lars Peter, “Large Sample Properties of Generalized Method of Moments Estimators,” Econometrica, 1982, 50 (4), 1029–1054.30</x:v>
      </x:c>
    </x:row>
    <x:row r="435" ht="48" customHeight="1">
      <x:c r="A435" s="24" t="str">
        <x:v>P03-R023</x:v>
      </x:c>
      <x:c r="B435" s="24" t="str">
        <x:v>P03</x:v>
      </x:c>
      <x:c r="C435" s="26" t="n">
        <x:v>23</x:v>
      </x:c>
      <x:c r="D435" s="26" t="n">
        <x:v>43</x:v>
      </x:c>
      <x:c r="E435" s="26" t="n">
        <x:v>43</x:v>
      </x:c>
      <x:c r="F435" s="26" t="str">
        <x:v>Ivashina</x:v>
      </x:c>
      <x:c r="G435" s="26" t="n">
        <x:v>2010</x:v>
      </x:c>
      <x:c r="H435" s="25" t="str">
        <x:v>Loan Syndication and Credit Cycles</x:v>
      </x:c>
      <x:c r="I435" s="25" t="str"/>
      <x:c r="J435" s="25" t="str"/>
      <x:c r="K435" s="25" t="str">
        <x:v>automatic_screen_pass</x:v>
      </x:c>
      <x:c r="L435" s="25" t="str">
        <x:v>accepted</x:v>
      </x:c>
      <x:c r="M435" s="25" t="str">
        <x:v>no</x:v>
      </x:c>
      <x:c r="N435" s="25" t="str">
        <x:v>saki_research/published_papers/bigio_endogenous_liquidity_business_cycle.pdf</x:v>
      </x:c>
      <x:c r="O435" s="25" t="str">
        <x:v>Ivashina, Victoria and David Scharfstein, “Loan Syndication and Credit Cycles,” American Economic Review: Papers and Proceedings, 2010, 100 (2), 1–8.38</x:v>
      </x:c>
    </x:row>
    <x:row r="436" ht="48" customHeight="1">
      <x:c r="A436" s="24" t="str">
        <x:v>P03-R024</x:v>
      </x:c>
      <x:c r="B436" s="24" t="str">
        <x:v>P03</x:v>
      </x:c>
      <x:c r="C436" s="26" t="n">
        <x:v>24</x:v>
      </x:c>
      <x:c r="D436" s="26" t="n">
        <x:v>43</x:v>
      </x:c>
      <x:c r="E436" s="26" t="n">
        <x:v>43</x:v>
      </x:c>
      <x:c r="F436" s="26" t="str">
        <x:v>Jermann</x:v>
      </x:c>
      <x:c r="G436" s="26" t="n">
        <x:v>2012</x:v>
      </x:c>
      <x:c r="H436" s="25" t="str">
        <x:v>Macroeconomic Effects of Financial Shocks</x:v>
      </x:c>
      <x:c r="I436" s="25" t="str"/>
      <x:c r="J436" s="25" t="str"/>
      <x:c r="K436" s="25" t="str">
        <x:v>automatic_screen_pass</x:v>
      </x:c>
      <x:c r="L436" s="25" t="str">
        <x:v>accepted</x:v>
      </x:c>
      <x:c r="M436" s="25" t="str">
        <x:v>no</x:v>
      </x:c>
      <x:c r="N436" s="25" t="str">
        <x:v>saki_research/published_papers/bigio_endogenous_liquidity_business_cycle.pdf</x:v>
      </x:c>
      <x:c r="O436" s="25" t="str">
        <x:v>Jermann, Urban and Vincenzo Quadrini, “Macroeconomic Effects of Financial Shocks,” American Economic Review, February 2012, 102 (1), 238–71. 4,12,27,28</x:v>
      </x:c>
    </x:row>
    <x:row r="437" ht="48" customHeight="1">
      <x:c r="A437" s="24" t="str">
        <x:v>P03-R025</x:v>
      </x:c>
      <x:c r="B437" s="24" t="str">
        <x:v>P03</x:v>
      </x:c>
      <x:c r="C437" s="26" t="n">
        <x:v>25</x:v>
      </x:c>
      <x:c r="D437" s="26" t="n">
        <x:v>43</x:v>
      </x:c>
      <x:c r="E437" s="26" t="n">
        <x:v>43</x:v>
      </x:c>
      <x:c r="F437" s="26" t="str">
        <x:v>Justiniano</x:v>
      </x:c>
      <x:c r="G437" s="26" t="n">
        <x:v>2010</x:v>
      </x:c>
      <x:c r="H437" s="25" t="str">
        <x:v>Investment shocks and the relative price of investment</x:v>
      </x:c>
      <x:c r="I437" s="25" t="str"/>
      <x:c r="J437" s="25" t="str"/>
      <x:c r="K437" s="25" t="str">
        <x:v>automatic_screen_pass</x:v>
      </x:c>
      <x:c r="L437" s="25" t="str">
        <x:v>accepted</x:v>
      </x:c>
      <x:c r="M437" s="25" t="str">
        <x:v>no</x:v>
      </x:c>
      <x:c r="N437" s="25" t="str">
        <x:v>saki_research/published_papers/bigio_endogenous_liquidity_business_cycle.pdf</x:v>
      </x:c>
      <x:c r="O437" s="25" t="str">
        <x:v>Justiniano, Alejandro, Giorgio E. Primiceri, and Andrea Tambalotti, “Investment shocks and the relative price of investment,” Review of Economic Dynamics, 2010, In Press, Corrected Proof, –.2</x:v>
      </x:c>
    </x:row>
    <x:row r="438" ht="48" customHeight="1">
      <x:c r="A438" s="24" t="str">
        <x:v>P03-R026</x:v>
      </x:c>
      <x:c r="B438" s="24" t="str">
        <x:v>P03</x:v>
      </x:c>
      <x:c r="C438" s="26" t="n">
        <x:v>26</x:v>
      </x:c>
      <x:c r="D438" s="26" t="n">
        <x:v>43</x:v>
      </x:c>
      <x:c r="E438" s="26" t="n">
        <x:v>43</x:v>
      </x:c>
      <x:c r="F438" s="26" t="str">
        <x:v>King</x:v>
      </x:c>
      <x:c r="G438" s="26" t="n">
        <x:v>1999</x:v>
      </x:c>
      <x:c r="H438" s="25" t="str">
        <x:v>Chapter 14 Resuscitating real business cycles</x:v>
      </x:c>
      <x:c r="I438" s="25" t="str"/>
      <x:c r="J438" s="25" t="str"/>
      <x:c r="K438" s="25" t="str">
        <x:v>automatic_screen_pass</x:v>
      </x:c>
      <x:c r="L438" s="25" t="str">
        <x:v>accepted</x:v>
      </x:c>
      <x:c r="M438" s="25" t="str">
        <x:v>no</x:v>
      </x:c>
      <x:c r="N438" s="25" t="str">
        <x:v>saki_research/published_papers/bigio_endogenous_liquidity_business_cycle.pdf</x:v>
      </x:c>
      <x:c r="O438" s="25" t="str">
        <x:v>King, Robert G. and Sergio T. Rebelo, “Chapter 14 Resuscitating real business cycles,” in John B. Taylor and Michael Woodford, eds., Handbook of Macroeconomics,Vol.1,PartBofHandbook of Macroeconomics,Elsevier,1999, pp. 927–1007.30</x:v>
      </x:c>
    </x:row>
    <x:row r="439" ht="48" customHeight="1">
      <x:c r="A439" s="24" t="str">
        <x:v>P03-R027</x:v>
      </x:c>
      <x:c r="B439" s="24" t="str">
        <x:v>P03</x:v>
      </x:c>
      <x:c r="C439" s="26" t="n">
        <x:v>27</x:v>
      </x:c>
      <x:c r="D439" s="26" t="n">
        <x:v>43</x:v>
      </x:c>
      <x:c r="E439" s="26" t="n">
        <x:v>43</x:v>
      </x:c>
      <x:c r="F439" s="26" t="str">
        <x:v>Kiyotaki</x:v>
      </x:c>
      <x:c r="G439" s="26" t="n">
        <x:v>2008</x:v>
      </x:c>
      <x:c r="H439" s="25" t="str">
        <x:v>Liquidity, BusinessCycles,andMonetary Policy</x:v>
      </x:c>
      <x:c r="I439" s="25" t="str"/>
      <x:c r="J439" s="25" t="str"/>
      <x:c r="K439" s="25" t="str">
        <x:v>automatic_screen_pass</x:v>
      </x:c>
      <x:c r="L439" s="25" t="str">
        <x:v>accepted</x:v>
      </x:c>
      <x:c r="M439" s="25" t="str">
        <x:v>no</x:v>
      </x:c>
      <x:c r="N439" s="25" t="str">
        <x:v>saki_research/published_papers/bigio_endogenous_liquidity_business_cycle.pdf</x:v>
      </x:c>
      <x:c r="O439" s="25" t="str">
        <x:v>Kiyotaki,NobuhiroandJohnMoore, “Liquidity, BusinessCycles,andMonetary Policy,” 2008. Unpublished.3,4,13</x:v>
      </x:c>
    </x:row>
    <x:row r="440" ht="48" customHeight="1">
      <x:c r="A440" s="24" t="str">
        <x:v>P03-R028</x:v>
      </x:c>
      <x:c r="B440" s="24" t="str">
        <x:v>P03</x:v>
      </x:c>
      <x:c r="C440" s="26" t="n">
        <x:v>28</x:v>
      </x:c>
      <x:c r="D440" s="26" t="n">
        <x:v>43</x:v>
      </x:c>
      <x:c r="E440" s="26" t="n">
        <x:v>43</x:v>
      </x:c>
      <x:c r="F440" s="26" t="str">
        <x:v>Kurlat</x:v>
      </x:c>
      <x:c r="G440" s="26" t="n">
        <x:v>2013</x:v>
      </x:c>
      <x:c r="H440" s="25" t="str">
        <x:v>Lemons Markets and the Transmission of Aggregate Shocks</x:v>
      </x:c>
      <x:c r="I440" s="25" t="str"/>
      <x:c r="J440" s="25" t="str"/>
      <x:c r="K440" s="25" t="str">
        <x:v>prior_manual_sample</x:v>
      </x:c>
      <x:c r="L440" s="25" t="str">
        <x:v>accepted</x:v>
      </x:c>
      <x:c r="M440" s="25" t="str">
        <x:v>no</x:v>
      </x:c>
      <x:c r="N440" s="25" t="str">
        <x:v>saki_research/published_papers/bigio_endogenous_liquidity_business_cycle.pdf</x:v>
      </x:c>
      <x:c r="O440" s="25" t="str">
        <x:v>Kurlat, Pablo, “Lemons Markets and the Transmission of Aggregate Shocks,” American Economic Review, 2013, 103 (4), 1463–89.3</x:v>
      </x:c>
    </x:row>
    <x:row r="441" ht="48" customHeight="1">
      <x:c r="A441" s="24" t="str">
        <x:v>P03-R029</x:v>
      </x:c>
      <x:c r="B441" s="24" t="str">
        <x:v>P03</x:v>
      </x:c>
      <x:c r="C441" s="26" t="n">
        <x:v>29</x:v>
      </x:c>
      <x:c r="D441" s="26" t="n">
        <x:v>43</x:v>
      </x:c>
      <x:c r="E441" s="26" t="n">
        <x:v>43</x:v>
      </x:c>
      <x:c r="F441" s="26" t="str">
        <x:v>Lorenzoni</x:v>
      </x:c>
      <x:c r="G441" s="26" t="n">
        <x:v>2009</x:v>
      </x:c>
      <x:c r="H441" s="25" t="str">
        <x:v>Financial Frictions, Investment and Tobin’sq</x:v>
      </x:c>
      <x:c r="I441" s="25" t="str"/>
      <x:c r="J441" s="25" t="str"/>
      <x:c r="K441" s="25" t="str">
        <x:v>automatic_screen_pass</x:v>
      </x:c>
      <x:c r="L441" s="25" t="str">
        <x:v>accepted</x:v>
      </x:c>
      <x:c r="M441" s="25" t="str">
        <x:v>no</x:v>
      </x:c>
      <x:c r="N441" s="25" t="str">
        <x:v>saki_research/published_papers/bigio_endogenous_liquidity_business_cycle.pdf</x:v>
      </x:c>
      <x:c r="O441" s="25" t="str">
        <x:v>Lorenzoni, Guido and Karl Walentin, “Financial Frictions, Investment and Tobin’sq,”2009. NationalBureauofEconomicResearchWorkingPaper13092.</x:v>
      </x:c>
    </x:row>
    <x:row r="442" ht="48" customHeight="1">
      <x:c r="A442" s="24" t="str">
        <x:v>P03-R030</x:v>
      </x:c>
      <x:c r="B442" s="24" t="str">
        <x:v>P03</x:v>
      </x:c>
      <x:c r="C442" s="26" t="n">
        <x:v>30</x:v>
      </x:c>
      <x:c r="D442" s="26" t="n">
        <x:v>43</x:v>
      </x:c>
      <x:c r="E442" s="26" t="n">
        <x:v>43</x:v>
      </x:c>
      <x:c r="F442" s="26" t="str">
        <x:v>Martin</x:v>
      </x:c>
      <x:c r="G442" s="26" t="n">
        <x:v>2007</x:v>
      </x:c>
      <x:c r="H442" s="25" t="str">
        <x:v>On RothschildStiglitz as competitive pooling</x:v>
      </x:c>
      <x:c r="I442" s="25" t="str"/>
      <x:c r="J442" s="25" t="str"/>
      <x:c r="K442" s="25" t="str">
        <x:v>prior_manual_sample</x:v>
      </x:c>
      <x:c r="L442" s="25" t="str">
        <x:v>accepted</x:v>
      </x:c>
      <x:c r="M442" s="25" t="str">
        <x:v>no</x:v>
      </x:c>
      <x:c r="N442" s="25" t="str">
        <x:v>saki_research/published_papers/bigio_endogenous_liquidity_business_cycle.pdf</x:v>
      </x:c>
      <x:c r="O442" s="25" t="str">
        <x:v>Martin, Alberto, “On RothschildStiglitz as competitive pooling,” Economic Theory, 2007, 31 (2), 371–386.38</x:v>
      </x:c>
    </x:row>
    <x:row r="443" ht="48" customHeight="1">
      <x:c r="A443" s="24" t="str">
        <x:v>P03-R031</x:v>
      </x:c>
      <x:c r="B443" s="24" t="str">
        <x:v>P03</x:v>
      </x:c>
      <x:c r="C443" s="26" t="n">
        <x:v>31</x:v>
      </x:c>
      <x:c r="D443" s="26" t="n">
        <x:v>43</x:v>
      </x:c>
      <x:c r="E443" s="26" t="n">
        <x:v>43</x:v>
      </x:c>
      <x:c r="F443" s="26" t="str">
        <x:v>Newey</x:v>
      </x:c>
      <x:c r="G443" s="26" t="n">
        <x:v>1987</x:v>
      </x:c>
      <x:c r="H443" s="25" t="str">
        <x:v>A Simple, Positive Semi- Definite, Heteroskedasticity and Autocorrelation Consistent Covariance Matrix</x:v>
      </x:c>
      <x:c r="I443" s="25" t="str"/>
      <x:c r="J443" s="25" t="str"/>
      <x:c r="K443" s="25" t="str">
        <x:v>automatic_screen_pass</x:v>
      </x:c>
      <x:c r="L443" s="25" t="str">
        <x:v>accepted</x:v>
      </x:c>
      <x:c r="M443" s="25" t="str">
        <x:v>no</x:v>
      </x:c>
      <x:c r="N443" s="25" t="str">
        <x:v>saki_research/published_papers/bigio_endogenous_liquidity_business_cycle.pdf</x:v>
      </x:c>
      <x:c r="O443" s="25" t="str">
        <x:v>Newey, Whitney K. and Kenneth D. West, “A Simple, Positive Semi- Definite, Heteroskedasticity and Autocorrelation Consistent Covariance Matrix,” Econometrica, 1987, 55 (3), 703–708.29</x:v>
      </x:c>
    </x:row>
    <x:row r="444" ht="48" customHeight="1">
      <x:c r="A444" s="24" t="str">
        <x:v>P03-R032</x:v>
      </x:c>
      <x:c r="B444" s="24" t="str">
        <x:v>P03</x:v>
      </x:c>
      <x:c r="C444" s="26" t="n">
        <x:v>32</x:v>
      </x:c>
      <x:c r="D444" s="26" t="n">
        <x:v>43</x:v>
      </x:c>
      <x:c r="E444" s="26" t="n">
        <x:v>43</x:v>
      </x:c>
      <x:c r="F444" s="26" t="str">
        <x:v>Ohanian</x:v>
      </x:c>
      <x:c r="G444" s="26" t="n">
        <x:v>2010</x:v>
      </x:c>
      <x:c r="H444" s="25" t="str">
        <x:v>TheEconomicCrisisfromaNeoclassicalPerspective</x:v>
      </x:c>
      <x:c r="I444" s="25" t="str"/>
      <x:c r="J444" s="25" t="str"/>
      <x:c r="K444" s="25" t="str">
        <x:v>automatic_screen_pass</x:v>
      </x:c>
      <x:c r="L444" s="25" t="str">
        <x:v>accepted</x:v>
      </x:c>
      <x:c r="M444" s="25" t="str">
        <x:v>no</x:v>
      </x:c>
      <x:c r="N444" s="25" t="str">
        <x:v>saki_research/published_papers/bigio_endogenous_liquidity_business_cycle.pdf</x:v>
      </x:c>
      <x:c r="O444" s="25" t="str">
        <x:v>Ohanian, LeeE., “TheEconomicCrisisfromaNeoclassicalPerspective,” Journal of Economic Perspectives, 2010, 24 (4), 4566.2</x:v>
      </x:c>
    </x:row>
    <x:row r="445" ht="48" customHeight="1">
      <x:c r="A445" s="24" t="str">
        <x:v>P03-R033</x:v>
      </x:c>
      <x:c r="B445" s="24" t="str">
        <x:v>P03</x:v>
      </x:c>
      <x:c r="C445" s="26" t="n">
        <x:v>33</x:v>
      </x:c>
      <x:c r="D445" s="26" t="n">
        <x:v>43</x:v>
      </x:c>
      <x:c r="E445" s="26" t="n">
        <x:v>43</x:v>
      </x:c>
      <x:c r="F445" s="26" t="str">
        <x:v>Piketty</x:v>
      </x:c>
      <x:c r="G445" s="26" t="n">
        <x:v>2006</x:v>
      </x:c>
      <x:c r="H445" s="25" t="str">
        <x:v>How Progressive Is the U.S. Federal Tax System? A Historical and International Perspective</x:v>
      </x:c>
      <x:c r="I445" s="25" t="str"/>
      <x:c r="J445" s="25" t="str"/>
      <x:c r="K445" s="25" t="str">
        <x:v>prior_manual_sample</x:v>
      </x:c>
      <x:c r="L445" s="25" t="str">
        <x:v>accepted</x:v>
      </x:c>
      <x:c r="M445" s="25" t="str">
        <x:v>no</x:v>
      </x:c>
      <x:c r="N445" s="25" t="str">
        <x:v>saki_research/published_papers/bigio_endogenous_liquidity_business_cycle.pdf</x:v>
      </x:c>
      <x:c r="O445" s="25" t="str">
        <x:v>Piketty, Thomas and Emmanuel Saez, “How Progressive Is the U.S. Federal Tax System? A Historical and International Perspective,” 2006. National Bureau of Economic Research Working Paper 12404.29</x:v>
      </x:c>
    </x:row>
    <x:row r="446" ht="48" customHeight="1">
      <x:c r="A446" s="24" t="str">
        <x:v>P03-R034</x:v>
      </x:c>
      <x:c r="B446" s="24" t="str">
        <x:v>P03</x:v>
      </x:c>
      <x:c r="C446" s="26" t="n">
        <x:v>34</x:v>
      </x:c>
      <x:c r="D446" s="26" t="n">
        <x:v>43</x:v>
      </x:c>
      <x:c r="E446" s="26" t="n">
        <x:v>43</x:v>
      </x:c>
      <x:c r="F446" s="26" t="str">
        <x:v>Shimer</x:v>
      </x:c>
      <x:c r="G446" s="26" t="n">
        <x:v>2009</x:v>
      </x:c>
      <x:c r="H446" s="25" t="str">
        <x:v>Convergence in Macroeconomics: The Labor Wedge</x:v>
      </x:c>
      <x:c r="I446" s="25" t="str"/>
      <x:c r="J446" s="25" t="str">
        <x:v>H-019</x:v>
      </x:c>
      <x:c r="K446" s="25" t="str">
        <x:v>prior_manual_sample</x:v>
      </x:c>
      <x:c r="L446" s="25" t="str">
        <x:v>accepted</x:v>
      </x:c>
      <x:c r="M446" s="25" t="str">
        <x:v>no</x:v>
      </x:c>
      <x:c r="N446" s="25" t="str">
        <x:v>saki_research/published_papers/bigio_endogenous_liquidity_business_cycle.pdf</x:v>
      </x:c>
      <x:c r="O446" s="25" t="str">
        <x:v>Shimer, Robert, “Convergence in Macroeconomics: The Labor Wedge,” American Economic Journal: Macroeconomics, 2009, 1 (1), 280–97.29</x:v>
      </x:c>
    </x:row>
    <x:row r="447" ht="48" customHeight="1">
      <x:c r="A447" s="24" t="str">
        <x:v>P13-R001</x:v>
      </x:c>
      <x:c r="B447" s="24" t="str">
        <x:v>P13</x:v>
      </x:c>
      <x:c r="C447" s="26" t="n">
        <x:v>1</x:v>
      </x:c>
      <x:c r="D447" s="26" t="n">
        <x:v>27</x:v>
      </x:c>
      <x:c r="E447" s="26" t="n">
        <x:v>27</x:v>
      </x:c>
      <x:c r="F447" s="26" t="str">
        <x:v>Allcott</x:v>
      </x:c>
      <x:c r="G447" s="26" t="n">
        <x:v>2019</x:v>
      </x:c>
      <x:c r="H447" s="25" t="str">
        <x:v>Regressive sin taxes, with an application to the optimal soda tax</x:v>
      </x:c>
      <x:c r="I447" s="25" t="str"/>
      <x:c r="J447" s="25" t="str"/>
      <x:c r="K447" s="25" t="str">
        <x:v>automatic_screen_pass</x:v>
      </x:c>
      <x:c r="L447" s="25" t="str">
        <x:v>accepted</x:v>
      </x:c>
      <x:c r="M447" s="25" t="str">
        <x:v>no</x:v>
      </x:c>
      <x:c r="N447" s="25" t="str">
        <x:v>saki_research/published_papers/bigio_kanzig_sanchez_walsh_carbon_pricing_inequality_normative_pespective.pdf</x:v>
      </x:c>
      <x:c r="O447" s="25" t="str">
        <x:v>Allcott, Hunt, Benjamin B. Lockwood, and Dmitry Taubinsky (2019). “Regressive sin taxes, with an application to the optimal soda tax”. The Quarterly Journal of Economics 134.3, pp. 1557–1626.</x:v>
      </x:c>
    </x:row>
    <x:row r="448" ht="48" customHeight="1">
      <x:c r="A448" s="24" t="str">
        <x:v>P13-R002</x:v>
      </x:c>
      <x:c r="B448" s="24" t="str">
        <x:v>P13</x:v>
      </x:c>
      <x:c r="C448" s="26" t="n">
        <x:v>2</x:v>
      </x:c>
      <x:c r="D448" s="26" t="n">
        <x:v>27</x:v>
      </x:c>
      <x:c r="E448" s="26" t="n">
        <x:v>27</x:v>
      </x:c>
      <x:c r="F448" s="26" t="str">
        <x:v>Andersson</x:v>
      </x:c>
      <x:c r="G448" s="26" t="n">
        <x:v>2020</x:v>
      </x:c>
      <x:c r="H448" s="25" t="str">
        <x:v>Thedistributionaleffectsofacarbontax: The role of income inequality</x:v>
      </x:c>
      <x:c r="I448" s="25" t="str"/>
      <x:c r="J448" s="25" t="str"/>
      <x:c r="K448" s="25" t="str">
        <x:v>automatic_screen_pass</x:v>
      </x:c>
      <x:c r="L448" s="25" t="str">
        <x:v>accepted</x:v>
      </x:c>
      <x:c r="M448" s="25" t="str">
        <x:v>no</x:v>
      </x:c>
      <x:c r="N448" s="25" t="str">
        <x:v>saki_research/published_papers/bigio_kanzig_sanchez_walsh_carbon_pricing_inequality_normative_pespective.pdf</x:v>
      </x:c>
      <x:c r="O448" s="25" t="str">
        <x:v>Andersson,JuliusandGilesAtkinson(2020).“Thedistributionaleffectsofacarbontax: The role of income inequality”.</x:v>
      </x:c>
    </x:row>
    <x:row r="449" ht="48" customHeight="1">
      <x:c r="A449" s="24" t="str">
        <x:v>P13-R003</x:v>
      </x:c>
      <x:c r="B449" s="24" t="str">
        <x:v>P13</x:v>
      </x:c>
      <x:c r="C449" s="26" t="n">
        <x:v>3</x:v>
      </x:c>
      <x:c r="D449" s="26" t="n">
        <x:v>27</x:v>
      </x:c>
      <x:c r="E449" s="26" t="n">
        <x:v>27</x:v>
      </x:c>
      <x:c r="F449" s="26" t="str">
        <x:v>Andersson</x:v>
      </x:c>
      <x:c r="G449" s="26" t="n">
        <x:v>2019</x:v>
      </x:c>
      <x:c r="H449" s="25" t="str">
        <x:v>Carbon taxes and CO2 emissions: Sweden as a case study</x:v>
      </x:c>
      <x:c r="I449" s="25" t="str"/>
      <x:c r="J449" s="25" t="str"/>
      <x:c r="K449" s="25" t="str">
        <x:v>prior_manual_sample</x:v>
      </x:c>
      <x:c r="L449" s="25" t="str">
        <x:v>accepted</x:v>
      </x:c>
      <x:c r="M449" s="25" t="str">
        <x:v>no</x:v>
      </x:c>
      <x:c r="N449" s="25" t="str">
        <x:v>saki_research/published_papers/bigio_kanzig_sanchez_walsh_carbon_pricing_inequality_normative_pespective.pdf</x:v>
      </x:c>
      <x:c r="O449" s="25" t="str">
        <x:v>Andersson, Julius J. (2019). “Carbon taxes and CO2 emissions: Sweden as a case study”. American Economic Journal: Economic Policy11.4, pp. 1–30.</x:v>
      </x:c>
    </x:row>
    <x:row r="450" ht="48" customHeight="1">
      <x:c r="A450" s="24" t="str">
        <x:v>P13-R004</x:v>
      </x:c>
      <x:c r="B450" s="24" t="str">
        <x:v>P13</x:v>
      </x:c>
      <x:c r="C450" s="26" t="n">
        <x:v>4</x:v>
      </x:c>
      <x:c r="D450" s="26" t="n">
        <x:v>27</x:v>
      </x:c>
      <x:c r="E450" s="26" t="n">
        <x:v>27</x:v>
      </x:c>
      <x:c r="F450" s="26" t="str">
        <x:v>Baqaee</x:v>
      </x:c>
      <x:c r="G450" s="26" t="n">
        <x:v>2022</x:v>
      </x:c>
      <x:c r="H450" s="25" t="str">
        <x:v>A new method for measuring welfare with income effects using cross-sectional data</x:v>
      </x:c>
      <x:c r="I450" s="25" t="str"/>
      <x:c r="J450" s="25" t="str"/>
      <x:c r="K450" s="25" t="str">
        <x:v>automatic_screen_pass</x:v>
      </x:c>
      <x:c r="L450" s="25" t="str">
        <x:v>accepted</x:v>
      </x:c>
      <x:c r="M450" s="25" t="str">
        <x:v>no</x:v>
      </x:c>
      <x:c r="N450" s="25" t="str">
        <x:v>saki_research/published_papers/bigio_kanzig_sanchez_walsh_carbon_pricing_inequality_normative_pespective.pdf</x:v>
      </x:c>
      <x:c r="O450" s="25" t="str">
        <x:v>Baqaee, David, Ariel T. Burstein, and Yasutaka Mori (2022). “A new method for measuring welfare with income effects using cross-sectional data”. NBER Working Paper w30549.</x:v>
      </x:c>
    </x:row>
    <x:row r="451" ht="48" customHeight="1">
      <x:c r="A451" s="24" t="str">
        <x:v>P13-R005</x:v>
      </x:c>
      <x:c r="B451" s="24" t="str">
        <x:v>P13</x:v>
      </x:c>
      <x:c r="C451" s="26" t="n">
        <x:v>5</x:v>
      </x:c>
      <x:c r="D451" s="26" t="n">
        <x:v>27</x:v>
      </x:c>
      <x:c r="E451" s="26" t="n">
        <x:v>27</x:v>
      </x:c>
      <x:c r="F451" s="26" t="str">
        <x:v>Baqaee</x:v>
      </x:c>
      <x:c r="G451" s="26" t="n">
        <x:v>2023</x:v>
      </x:c>
      <x:c r="H451" s="25" t="str">
        <x:v>Welfare and output with income effects and taste shocks</x:v>
      </x:c>
      <x:c r="I451" s="25" t="str"/>
      <x:c r="J451" s="25" t="str"/>
      <x:c r="K451" s="25" t="str">
        <x:v>prior_manual_sample</x:v>
      </x:c>
      <x:c r="L451" s="25" t="str">
        <x:v>accepted</x:v>
      </x:c>
      <x:c r="M451" s="25" t="str">
        <x:v>no</x:v>
      </x:c>
      <x:c r="N451" s="25" t="str">
        <x:v>saki_research/published_papers/bigio_kanzig_sanchez_walsh_carbon_pricing_inequality_normative_pespective.pdf</x:v>
      </x:c>
      <x:c r="O451" s="25" t="str">
        <x:v>Baqaee, David R. and Ariel Burstein (2023). “Welfare and output with income effects and taste shocks”.The Quarterly Journal of Economics138.2, pp. 769–834.</x:v>
      </x:c>
    </x:row>
    <x:row r="452" ht="48" customHeight="1">
      <x:c r="A452" s="24" t="str">
        <x:v>P13-R006</x:v>
      </x:c>
      <x:c r="B452" s="24" t="str">
        <x:v>P13</x:v>
      </x:c>
      <x:c r="C452" s="26" t="n">
        <x:v>6</x:v>
      </x:c>
      <x:c r="D452" s="26" t="n">
        <x:v>27</x:v>
      </x:c>
      <x:c r="E452" s="26" t="n">
        <x:v>27</x:v>
      </x:c>
      <x:c r="F452" s="26" t="str">
        <x:v>Belfiori</x:v>
      </x:c>
      <x:c r="G452" s="26" t="n">
        <x:v>2025</x:v>
      </x:c>
      <x:c r="H452" s="25" t="str">
        <x:v>Optimal Climate Policy with Demographic Transitions</x:v>
      </x:c>
      <x:c r="I452" s="25" t="str"/>
      <x:c r="J452" s="25" t="str"/>
      <x:c r="K452" s="25" t="str">
        <x:v>automatic_screen_pass</x:v>
      </x:c>
      <x:c r="L452" s="25" t="str">
        <x:v>accepted</x:v>
      </x:c>
      <x:c r="M452" s="25" t="str">
        <x:v>no</x:v>
      </x:c>
      <x:c r="N452" s="25" t="str">
        <x:v>saki_research/published_papers/bigio_kanzig_sanchez_walsh_carbon_pricing_inequality_normative_pespective.pdf</x:v>
      </x:c>
      <x:c r="O452" s="25" t="str">
        <x:v>Belfiori, Elisa and Manuel Macera(2025). “Optimal Climate Policy with Demographic Transitions”. UTDT Working Paper.</x:v>
      </x:c>
    </x:row>
    <x:row r="453" ht="48" customHeight="1">
      <x:c r="A453" s="24" t="str">
        <x:v>P13-R007</x:v>
      </x:c>
      <x:c r="B453" s="24" t="str">
        <x:v>P13</x:v>
      </x:c>
      <x:c r="C453" s="26" t="n">
        <x:v>7</x:v>
      </x:c>
      <x:c r="D453" s="26" t="n">
        <x:v>27</x:v>
      </x:c>
      <x:c r="E453" s="26" t="n">
        <x:v>27</x:v>
      </x:c>
      <x:c r="F453" s="26" t="str">
        <x:v>Bernard</x:v>
      </x:c>
      <x:c r="G453" s="26" t="n">
        <x:v>2021</x:v>
      </x:c>
      <x:c r="H453" s="25" t="str">
        <x:v>The impact of a revenue-neutral carbon tax on GDP dynamics: The case of British Columbia</x:v>
      </x:c>
      <x:c r="I453" s="25" t="str"/>
      <x:c r="J453" s="25" t="str"/>
      <x:c r="K453" s="25" t="str">
        <x:v>automatic_screen_pass</x:v>
      </x:c>
      <x:c r="L453" s="25" t="str">
        <x:v>accepted</x:v>
      </x:c>
      <x:c r="M453" s="25" t="str">
        <x:v>no</x:v>
      </x:c>
      <x:c r="N453" s="25" t="str">
        <x:v>saki_research/published_papers/bigio_kanzig_sanchez_walsh_carbon_pricing_inequality_normative_pespective.pdf</x:v>
      </x:c>
      <x:c r="O453" s="25" t="str">
        <x:v>Bernard, Jean-Thomas and Maral Kichian (2021). “The impact of a revenue-neutral carbon tax on GDP dynamics: The case of British Columbia”.The Energy Journal42.3.</x:v>
      </x:c>
    </x:row>
    <x:row r="454" ht="48" customHeight="1">
      <x:c r="A454" s="24" t="str">
        <x:v>P13-R008</x:v>
      </x:c>
      <x:c r="B454" s="24" t="str">
        <x:v>P13</x:v>
      </x:c>
      <x:c r="C454" s="26" t="n">
        <x:v>8</x:v>
      </x:c>
      <x:c r="D454" s="26" t="n">
        <x:v>27</x:v>
      </x:c>
      <x:c r="E454" s="26" t="n">
        <x:v>27</x:v>
      </x:c>
      <x:c r="F454" s="26" t="str">
        <x:v>Bettarelli</x:v>
      </x:c>
      <x:c r="G454" s="26" t="n">
        <x:v>2025</x:v>
      </x:c>
      <x:c r="H454" s="25" t="str">
        <x:v>Greenflation:EmpiricalEvidenceusingMacro,RegionalandSectoralData</x:v>
      </x:c>
      <x:c r="I454" s="25" t="str"/>
      <x:c r="J454" s="25" t="str"/>
      <x:c r="K454" s="25" t="str">
        <x:v>automatic_screen_pass</x:v>
      </x:c>
      <x:c r="L454" s="25" t="str">
        <x:v>accepted</x:v>
      </x:c>
      <x:c r="M454" s="25" t="str">
        <x:v>no</x:v>
      </x:c>
      <x:c r="N454" s="25" t="str">
        <x:v>saki_research/published_papers/bigio_kanzig_sanchez_walsh_carbon_pricing_inequality_normative_pespective.pdf</x:v>
      </x:c>
      <x:c r="O454" s="25" t="str">
        <x:v>Bettarelli,Luca,DavideFurceri,LoredanaPisano,andPietroPizzuto(2025).“Greenflation:EmpiricalEvidenceusingMacro,RegionalandSectoralData”.EuropeanEconomic Review, p. 104983.</x:v>
      </x:c>
    </x:row>
    <x:row r="455" ht="48" customHeight="1">
      <x:c r="A455" s="24" t="str">
        <x:v>P13-R009</x:v>
      </x:c>
      <x:c r="B455" s="24" t="str">
        <x:v>P13</x:v>
      </x:c>
      <x:c r="C455" s="26" t="n">
        <x:v>9</x:v>
      </x:c>
      <x:c r="D455" s="26" t="n">
        <x:v>27</x:v>
      </x:c>
      <x:c r="E455" s="26" t="n">
        <x:v>27</x:v>
      </x:c>
      <x:c r="F455" s="26" t="str">
        <x:v>Beznoska</x:v>
      </x:c>
      <x:c r="G455" s="26" t="n">
        <x:v>2012</x:v>
      </x:c>
      <x:c r="H455" s="25" t="str">
        <x:v>The incidence of the European Union Emissions Trading System and the role of revenue recycling: Empirical evidence from combined industry-and household-level data</x:v>
      </x:c>
      <x:c r="I455" s="25" t="str"/>
      <x:c r="J455" s="25" t="str"/>
      <x:c r="K455" s="25" t="str">
        <x:v>automatic_screen_pass</x:v>
      </x:c>
      <x:c r="L455" s="25" t="str">
        <x:v>accepted</x:v>
      </x:c>
      <x:c r="M455" s="25" t="str">
        <x:v>no</x:v>
      </x:c>
      <x:c r="N455" s="25" t="str">
        <x:v>saki_research/published_papers/bigio_kanzig_sanchez_walsh_carbon_pricing_inequality_normative_pespective.pdf</x:v>
      </x:c>
      <x:c r="O455" s="25" t="str">
        <x:v>Beznoska, Martin, Johanna Cludius, and Viktor Steiner (2012). “The incidence of the European Union Emissions Trading System and the role of revenue recycling: Empirical evidence from combined industry-and household-level data”.</x:v>
      </x:c>
    </x:row>
    <x:row r="456" ht="48" customHeight="1">
      <x:c r="A456" s="24" t="str">
        <x:v>P13-R010</x:v>
      </x:c>
      <x:c r="B456" s="24" t="str">
        <x:v>P13</x:v>
      </x:c>
      <x:c r="C456" s="26" t="n">
        <x:v>10</x:v>
      </x:c>
      <x:c r="D456" s="26" t="n">
        <x:v>27</x:v>
      </x:c>
      <x:c r="E456" s="26" t="n">
        <x:v>27</x:v>
      </x:c>
      <x:c r="F456" s="26" t="str">
        <x:v>Blanchard</x:v>
      </x:c>
      <x:c r="G456" s="26" t="n">
        <x:v>2000</x:v>
      </x:c>
      <x:c r="H456" s="25" t="str">
        <x:v>The role of shocks and institutions in the rise of European unemployment: the aggregate evidence</x:v>
      </x:c>
      <x:c r="I456" s="25" t="str"/>
      <x:c r="J456" s="25" t="str"/>
      <x:c r="K456" s="25" t="str">
        <x:v>automatic_screen_pass</x:v>
      </x:c>
      <x:c r="L456" s="25" t="str">
        <x:v>accepted</x:v>
      </x:c>
      <x:c r="M456" s="25" t="str">
        <x:v>no</x:v>
      </x:c>
      <x:c r="N456" s="25" t="str">
        <x:v>saki_research/published_papers/bigio_kanzig_sanchez_walsh_carbon_pricing_inequality_normative_pespective.pdf</x:v>
      </x:c>
      <x:c r="O456" s="25" t="str">
        <x:v>Blanchard, Olivier and Justin Wolfers (2000). “The role of shocks and institutions in the rise of European unemployment: the aggregate evidence”. The economic journal 110.462, pp. 1–33.</x:v>
      </x:c>
    </x:row>
    <x:row r="457" ht="48" customHeight="1">
      <x:c r="A457" s="24" t="str">
        <x:v>P13-R011</x:v>
      </x:c>
      <x:c r="B457" s="24" t="str">
        <x:v>P13</x:v>
      </x:c>
      <x:c r="C457" s="26" t="n">
        <x:v>11</x:v>
      </x:c>
      <x:c r="D457" s="26" t="n">
        <x:v>27</x:v>
      </x:c>
      <x:c r="E457" s="26" t="n">
        <x:v>27</x:v>
      </x:c>
      <x:c r="F457" s="26" t="str">
        <x:v>Bovenberg</x:v>
      </x:c>
      <x:c r="G457" s="26" t="n">
        <x:v>1994</x:v>
      </x:c>
      <x:c r="H457" s="25" t="str">
        <x:v>Environmental levies and distortionary taxation</x:v>
      </x:c>
      <x:c r="I457" s="25" t="str"/>
      <x:c r="J457" s="25" t="str"/>
      <x:c r="K457" s="25" t="str">
        <x:v>automatic_screen_pass</x:v>
      </x:c>
      <x:c r="L457" s="25" t="str">
        <x:v>accepted</x:v>
      </x:c>
      <x:c r="M457" s="25" t="str">
        <x:v>no</x:v>
      </x:c>
      <x:c r="N457" s="25" t="str">
        <x:v>saki_research/published_papers/bigio_kanzig_sanchez_walsh_carbon_pricing_inequality_normative_pespective.pdf</x:v>
      </x:c>
      <x:c r="O457" s="25" t="str">
        <x:v>Bovenberg, A. Lans and Ruud A. De Mooij (1994). “Environmental levies and distortionary taxation”.The American Economic Review84.4, pp. 1085–1089.</x:v>
      </x:c>
    </x:row>
    <x:row r="458" ht="48" customHeight="1">
      <x:c r="A458" s="24" t="str">
        <x:v>P13-R012</x:v>
      </x:c>
      <x:c r="B458" s="24" t="str">
        <x:v>P13</x:v>
      </x:c>
      <x:c r="C458" s="26" t="n">
        <x:v>12</x:v>
      </x:c>
      <x:c r="D458" s="26" t="n">
        <x:v>27</x:v>
      </x:c>
      <x:c r="E458" s="26" t="n">
        <x:v>27</x:v>
      </x:c>
      <x:c r="F458" s="26" t="str">
        <x:v>Bovenberg</x:v>
      </x:c>
      <x:c r="G458" s="26" t="n">
        <x:v>1996</x:v>
      </x:c>
      <x:c r="H458" s="25" t="str">
        <x:v>Optimal environmental taxation in the presence of other taxes: general-equilibrium analyses</x:v>
      </x:c>
      <x:c r="I458" s="25" t="str"/>
      <x:c r="J458" s="25" t="str"/>
      <x:c r="K458" s="25" t="str">
        <x:v>automatic_screen_pass</x:v>
      </x:c>
      <x:c r="L458" s="25" t="str">
        <x:v>accepted</x:v>
      </x:c>
      <x:c r="M458" s="25" t="str">
        <x:v>no</x:v>
      </x:c>
      <x:c r="N458" s="25" t="str">
        <x:v>saki_research/published_papers/bigio_kanzig_sanchez_walsh_carbon_pricing_inequality_normative_pespective.pdf</x:v>
      </x:c>
      <x:c r="O458" s="25" t="str">
        <x:v>Bovenberg, A. Lans and Lawrence H. Goulder (1996). “Optimal environmental taxation in the presence of other taxes: general-equilibrium analyses”. The American Economic Review86.4, pp. 985–1000.</x:v>
      </x:c>
    </x:row>
    <x:row r="459" ht="48" customHeight="1">
      <x:c r="A459" s="24" t="str">
        <x:v>P13-R013</x:v>
      </x:c>
      <x:c r="B459" s="24" t="str">
        <x:v>P13</x:v>
      </x:c>
      <x:c r="C459" s="26" t="n">
        <x:v>13</x:v>
      </x:c>
      <x:c r="D459" s="26" t="n">
        <x:v>27</x:v>
      </x:c>
      <x:c r="E459" s="26" t="n">
        <x:v>27</x:v>
      </x:c>
      <x:c r="F459" s="26" t="str">
        <x:v>Cloyne</x:v>
      </x:c>
      <x:c r="G459" s="26" t="n">
        <x:v>2023</x:v>
      </x:c>
      <x:c r="H459" s="25" t="str">
        <x:v>Monetary policy,corporatefinance,andinvestment</x:v>
      </x:c>
      <x:c r="I459" s="25" t="str"/>
      <x:c r="J459" s="25" t="str"/>
      <x:c r="K459" s="25" t="str">
        <x:v>automatic_screen_pass</x:v>
      </x:c>
      <x:c r="L459" s="25" t="str">
        <x:v>accepted</x:v>
      </x:c>
      <x:c r="M459" s="25" t="str">
        <x:v>no</x:v>
      </x:c>
      <x:c r="N459" s="25" t="str">
        <x:v>saki_research/published_papers/bigio_kanzig_sanchez_walsh_carbon_pricing_inequality_normative_pespective.pdf</x:v>
      </x:c>
      <x:c r="O459" s="25" t="str">
        <x:v>Cloyne,James,ClodomiroFerreira,MarenFroemel,andPaoloSurico(2023).“Monetary policy,corporatefinance,andinvestment”.JournaloftheEuropeanEconomicAssociation 21.6, pp. 2586–2634.</x:v>
      </x:c>
    </x:row>
    <x:row r="460" ht="48" customHeight="1">
      <x:c r="A460" s="24" t="str">
        <x:v>P13-R014</x:v>
      </x:c>
      <x:c r="B460" s="24" t="str">
        <x:v>P13</x:v>
      </x:c>
      <x:c r="C460" s="26" t="n">
        <x:v>14</x:v>
      </x:c>
      <x:c r="D460" s="26" t="n">
        <x:v>28</x:v>
      </x:c>
      <x:c r="E460" s="26" t="n">
        <x:v>28</x:v>
      </x:c>
      <x:c r="F460" s="26" t="str">
        <x:v>Dávila</x:v>
      </x:c>
      <x:c r="G460" s="26" t="n">
        <x:v>2022</x:v>
      </x:c>
      <x:c r="H460" s="25" t="str">
        <x:v>Welfare assessments with heterogeneous individuals</x:v>
      </x:c>
      <x:c r="I460" s="25" t="str"/>
      <x:c r="J460" s="25" t="str"/>
      <x:c r="K460" s="25" t="str">
        <x:v>automatic_screen_pass</x:v>
      </x:c>
      <x:c r="L460" s="25" t="str">
        <x:v>accepted</x:v>
      </x:c>
      <x:c r="M460" s="25" t="str">
        <x:v>no</x:v>
      </x:c>
      <x:c r="N460" s="25" t="str">
        <x:v>saki_research/published_papers/bigio_kanzig_sanchez_walsh_carbon_pricing_inequality_normative_pespective.pdf</x:v>
      </x:c>
      <x:c r="O460" s="25" t="str">
        <x:v>Dávila, Eduardo and Andreas Schaab (2022). Welfare assessments with heterogeneous individuals. Tech. rep. National Bureau of Economic Research.</x:v>
      </x:c>
    </x:row>
    <x:row r="461" ht="48" customHeight="1">
      <x:c r="A461" s="24" t="str">
        <x:v>P13-R015</x:v>
      </x:c>
      <x:c r="B461" s="24" t="str">
        <x:v>P13</x:v>
      </x:c>
      <x:c r="C461" s="26" t="n">
        <x:v>15</x:v>
      </x:c>
      <x:c r="D461" s="26" t="n">
        <x:v>28</x:v>
      </x:c>
      <x:c r="E461" s="26" t="n">
        <x:v>28</x:v>
      </x:c>
      <x:c r="F461" s="26" t="str">
        <x:v>Deaton</x:v>
      </x:c>
      <x:c r="G461" s="26" t="n">
        <x:v>1989</x:v>
      </x:c>
      <x:c r="H461" s="25" t="str">
        <x:v>Rice prices and income distribution in Thailand: a nonparametric analysis</x:v>
      </x:c>
      <x:c r="I461" s="25" t="str"/>
      <x:c r="J461" s="25" t="str"/>
      <x:c r="K461" s="25" t="str">
        <x:v>automatic_screen_pass</x:v>
      </x:c>
      <x:c r="L461" s="25" t="str">
        <x:v>accepted</x:v>
      </x:c>
      <x:c r="M461" s="25" t="str">
        <x:v>no</x:v>
      </x:c>
      <x:c r="N461" s="25" t="str">
        <x:v>saki_research/published_papers/bigio_kanzig_sanchez_walsh_carbon_pricing_inequality_normative_pespective.pdf</x:v>
      </x:c>
      <x:c r="O461" s="25" t="str">
        <x:v>Deaton, Angus (1989). “Rice prices and income distribution in Thailand: a nonparametric analysis”.The Economic Journal99.395, pp. 1–37.</x:v>
      </x:c>
    </x:row>
    <x:row r="462" ht="48" customHeight="1">
      <x:c r="A462" s="24" t="str">
        <x:v>P13-R016</x:v>
      </x:c>
      <x:c r="B462" s="24" t="str">
        <x:v>P13</x:v>
      </x:c>
      <x:c r="C462" s="26" t="n">
        <x:v>16</x:v>
      </x:c>
      <x:c r="D462" s="26" t="n">
        <x:v>28</x:v>
      </x:c>
      <x:c r="E462" s="26" t="n">
        <x:v>28</x:v>
      </x:c>
      <x:c r="F462" s="26" t="str">
        <x:v>Dechezleprêtre</x:v>
      </x:c>
      <x:c r="G462" s="26" t="n">
        <x:v>2022</x:v>
      </x:c>
      <x:c r="H462" s="25" t="str">
        <x:v>Fighting climate change: International attitudes toward climate policies</x:v>
      </x:c>
      <x:c r="I462" s="25" t="str"/>
      <x:c r="J462" s="25" t="str"/>
      <x:c r="K462" s="25" t="str">
        <x:v>automatic_screen_pass</x:v>
      </x:c>
      <x:c r="L462" s="25" t="str">
        <x:v>accepted</x:v>
      </x:c>
      <x:c r="M462" s="25" t="str">
        <x:v>no</x:v>
      </x:c>
      <x:c r="N462" s="25" t="str">
        <x:v>saki_research/published_papers/bigio_kanzig_sanchez_walsh_carbon_pricing_inequality_normative_pespective.pdf</x:v>
      </x:c>
      <x:c r="O462" s="25" t="str">
        <x:v>Dechezleprêtre, Antoine, Adrien Fabre, Tobias Kruse, Bluebery Planterose, Ana Sanchez Chico, and Stefanie Stantcheva (2022). Fighting climate change: International attitudes toward climate policies. Tech. rep. National Bureau of Economic Research.</x:v>
      </x:c>
    </x:row>
    <x:row r="463" ht="48" customHeight="1">
      <x:c r="A463" s="24" t="str">
        <x:v>P13-R017</x:v>
      </x:c>
      <x:c r="B463" s="24" t="str">
        <x:v>P13</x:v>
      </x:c>
      <x:c r="C463" s="26" t="n">
        <x:v>17</x:v>
      </x:c>
      <x:c r="D463" s="26" t="n">
        <x:v>28</x:v>
      </x:c>
      <x:c r="E463" s="26" t="n">
        <x:v>28</x:v>
      </x:c>
      <x:c r="F463" s="26" t="str">
        <x:v>Del Canto</x:v>
      </x:c>
      <x:c r="G463" s="26" t="n">
        <x:v>2025</x:v>
      </x:c>
      <x:c r="H463" s="25" t="str">
        <x:v>Are Inflationary Shocks Regressive? A Feasible Set Approach</x:v>
      </x:c>
      <x:c r="I463" s="25" t="str"/>
      <x:c r="J463" s="25" t="str"/>
      <x:c r="K463" s="25" t="str">
        <x:v>prior_manual_sample</x:v>
      </x:c>
      <x:c r="L463" s="25" t="str">
        <x:v>accepted</x:v>
      </x:c>
      <x:c r="M463" s="25" t="str">
        <x:v>no</x:v>
      </x:c>
      <x:c r="N463" s="25" t="str">
        <x:v>saki_research/published_papers/bigio_kanzig_sanchez_walsh_carbon_pricing_inequality_normative_pespective.pdf</x:v>
      </x:c>
      <x:c r="O463" s="25" t="str">
        <x:v>Del Canto, Felipe N., John R. Grigsby, Eric Qian, and Conor Walsh (2025). “Are Inflationary Shocks Regressive? A Feasible Set Approach”.Quarterly Journal of Economics.</x:v>
      </x:c>
    </x:row>
    <x:row r="464" ht="48" customHeight="1">
      <x:c r="A464" s="24" t="str">
        <x:v>P13-R018</x:v>
      </x:c>
      <x:c r="B464" s="24" t="str">
        <x:v>P13</x:v>
      </x:c>
      <x:c r="C464" s="26" t="n">
        <x:v>18</x:v>
      </x:c>
      <x:c r="D464" s="26" t="n">
        <x:v>28</x:v>
      </x:c>
      <x:c r="E464" s="26" t="n">
        <x:v>28</x:v>
      </x:c>
      <x:c r="F464" s="26" t="str">
        <x:v>Dixit</x:v>
      </x:c>
      <x:c r="G464" s="26" t="n">
        <x:v>1985</x:v>
      </x:c>
      <x:c r="H464" s="25" t="str">
        <x:v>Taxpolicyinopeneconomies</x:v>
      </x:c>
      <x:c r="I464" s="25" t="str"/>
      <x:c r="J464" s="25" t="str"/>
      <x:c r="K464" s="25" t="str">
        <x:v>automatic_screen_pass</x:v>
      </x:c>
      <x:c r="L464" s="25" t="str">
        <x:v>accepted</x:v>
      </x:c>
      <x:c r="M464" s="25" t="str">
        <x:v>no</x:v>
      </x:c>
      <x:c r="N464" s="25" t="str">
        <x:v>saki_research/published_papers/bigio_kanzig_sanchez_walsh_carbon_pricing_inequality_normative_pespective.pdf</x:v>
      </x:c>
      <x:c r="O464" s="25" t="str">
        <x:v>Dixit,Avinash(1985).“Taxpolicyinopeneconomies”.Handbookofpubliceconomics.Vol.1. Elsevier, pp. 313–374.</x:v>
      </x:c>
    </x:row>
    <x:row r="465" ht="48" customHeight="1">
      <x:c r="A465" s="24" t="str">
        <x:v>P13-R019</x:v>
      </x:c>
      <x:c r="B465" s="24" t="str">
        <x:v>P13</x:v>
      </x:c>
      <x:c r="C465" s="26" t="n">
        <x:v>19</x:v>
      </x:c>
      <x:c r="D465" s="26" t="n">
        <x:v>28</x:v>
      </x:c>
      <x:c r="E465" s="26" t="n">
        <x:v>28</x:v>
      </x:c>
      <x:c r="F465" s="26" t="str">
        <x:v>Drechsel</x:v>
      </x:c>
      <x:c r="G465" s="26" t="n">
        <x:v>2023</x:v>
      </x:c>
      <x:c r="H465" s="25" t="str">
        <x:v>Earnings-based borrowing constraints and macroeconomic fluctuations</x:v>
      </x:c>
      <x:c r="I465" s="25" t="str"/>
      <x:c r="J465" s="25" t="str"/>
      <x:c r="K465" s="25" t="str">
        <x:v>automatic_screen_pass</x:v>
      </x:c>
      <x:c r="L465" s="25" t="str">
        <x:v>accepted</x:v>
      </x:c>
      <x:c r="M465" s="25" t="str">
        <x:v>no</x:v>
      </x:c>
      <x:c r="N465" s="25" t="str">
        <x:v>saki_research/published_papers/bigio_kanzig_sanchez_walsh_carbon_pricing_inequality_normative_pespective.pdf</x:v>
      </x:c>
      <x:c r="O465" s="25" t="str">
        <x:v>Drechsel, Thomas (2023). “Earnings-based borrowing constraints and macroeconomic fluctuations”.American Economic Journal: Macroeconomics15.2, pp. 1–34.</x:v>
      </x:c>
    </x:row>
    <x:row r="466" ht="48" customHeight="1">
      <x:c r="A466" s="24" t="str">
        <x:v>P13-R020</x:v>
      </x:c>
      <x:c r="B466" s="24" t="str">
        <x:v>P13</x:v>
      </x:c>
      <x:c r="C466" s="26" t="n">
        <x:v>20</x:v>
      </x:c>
      <x:c r="D466" s="26" t="n">
        <x:v>28</x:v>
      </x:c>
      <x:c r="E466" s="26" t="n">
        <x:v>28</x:v>
      </x:c>
      <x:c r="F466" s="26" t="str">
        <x:v>Drews</x:v>
      </x:c>
      <x:c r="G466" s="26" t="n">
        <x:v>2016</x:v>
      </x:c>
      <x:c r="H466" s="25" t="str">
        <x:v>Whatexplainspublicsupportfor climate policies? A review of empirical and experimental studies</x:v>
      </x:c>
      <x:c r="I466" s="25" t="str"/>
      <x:c r="J466" s="25" t="str"/>
      <x:c r="K466" s="25" t="str">
        <x:v>automatic_screen_pass</x:v>
      </x:c>
      <x:c r="L466" s="25" t="str">
        <x:v>accepted</x:v>
      </x:c>
      <x:c r="M466" s="25" t="str">
        <x:v>no</x:v>
      </x:c>
      <x:c r="N466" s="25" t="str">
        <x:v>saki_research/published_papers/bigio_kanzig_sanchez_walsh_carbon_pricing_inequality_normative_pespective.pdf</x:v>
      </x:c>
      <x:c r="O466" s="25" t="str">
        <x:v>Drews,StefanandJeroenCJMVandenBergh(2016).“Whatexplainspublicsupportfor climate policies? A review of empirical and experimental studies”. Climate policy 16.7, pp. 855–876.</x:v>
      </x:c>
    </x:row>
    <x:row r="467" ht="48" customHeight="1">
      <x:c r="A467" s="24" t="str">
        <x:v>P13-R021</x:v>
      </x:c>
      <x:c r="B467" s="24" t="str">
        <x:v>P13</x:v>
      </x:c>
      <x:c r="C467" s="26" t="n">
        <x:v>21</x:v>
      </x:c>
      <x:c r="D467" s="26" t="n">
        <x:v>28</x:v>
      </x:c>
      <x:c r="E467" s="26" t="n">
        <x:v>28</x:v>
      </x:c>
      <x:c r="F467" s="26" t="str">
        <x:v>Ewald</x:v>
      </x:c>
      <x:c r="G467" s="26" t="n">
        <x:v>2022</x:v>
      </x:c>
      <x:c r="H467" s="25" t="str">
        <x:v>Understanding the resistance to carbon taxes: Drivers and barriers among the general public and fuel-tax protesters</x:v>
      </x:c>
      <x:c r="I467" s="25" t="str"/>
      <x:c r="J467" s="25" t="str"/>
      <x:c r="K467" s="25" t="str">
        <x:v>automatic_screen_pass</x:v>
      </x:c>
      <x:c r="L467" s="25" t="str">
        <x:v>accepted</x:v>
      </x:c>
      <x:c r="M467" s="25" t="str">
        <x:v>no</x:v>
      </x:c>
      <x:c r="N467" s="25" t="str">
        <x:v>saki_research/published_papers/bigio_kanzig_sanchez_walsh_carbon_pricing_inequality_normative_pespective.pdf</x:v>
      </x:c>
      <x:c r="O467" s="25" t="str">
        <x:v>Ewald, Jens, Thomas Sterner, and Erik Sterner (2022). “Understanding the resistance to carbon taxes: Drivers and barriers among the general public and fuel-tax protesters”. Resource and Energy Economics70, p. 101331. ISSN: 0928-7655.</x:v>
      </x:c>
    </x:row>
    <x:row r="468" ht="48" customHeight="1">
      <x:c r="A468" s="24" t="str">
        <x:v>P13-R022</x:v>
      </x:c>
      <x:c r="B468" s="24" t="str">
        <x:v>P13</x:v>
      </x:c>
      <x:c r="C468" s="26" t="n">
        <x:v>22</x:v>
      </x:c>
      <x:c r="D468" s="26" t="n">
        <x:v>28</x:v>
      </x:c>
      <x:c r="E468" s="26" t="n">
        <x:v>28</x:v>
      </x:c>
      <x:c r="F468" s="26" t="str">
        <x:v>Fagereng</x:v>
      </x:c>
      <x:c r="G468" s="26" t="n">
        <x:v>2024</x:v>
      </x:c>
      <x:c r="H468" s="25" t="str">
        <x:v>Asset-price redistribution</x:v>
      </x:c>
      <x:c r="I468" s="25" t="str"/>
      <x:c r="J468" s="25" t="str"/>
      <x:c r="K468" s="25" t="str">
        <x:v>automatic_screen_pass</x:v>
      </x:c>
      <x:c r="L468" s="25" t="str">
        <x:v>accepted</x:v>
      </x:c>
      <x:c r="M468" s="25" t="str">
        <x:v>no</x:v>
      </x:c>
      <x:c r="N468" s="25" t="str">
        <x:v>saki_research/published_papers/bigio_kanzig_sanchez_walsh_carbon_pricing_inequality_normative_pespective.pdf</x:v>
      </x:c>
      <x:c r="O468" s="25" t="str">
        <x:v>Fagereng, Andreas, Matthieu Gomez, Emilien Gouin-Bonenfant, Martin Holm, Benjamin Moll, and Gisle Natvik(2024). “Asset-price redistribution”.</x:v>
      </x:c>
    </x:row>
    <x:row r="469" ht="48" customHeight="1">
      <x:c r="A469" s="24" t="str">
        <x:v>P13-R023</x:v>
      </x:c>
      <x:c r="B469" s="24" t="str">
        <x:v>P13</x:v>
      </x:c>
      <x:c r="C469" s="26" t="n">
        <x:v>23</x:v>
      </x:c>
      <x:c r="D469" s="26" t="n">
        <x:v>28</x:v>
      </x:c>
      <x:c r="E469" s="26" t="n">
        <x:v>28</x:v>
      </x:c>
      <x:c r="F469" s="26" t="str">
        <x:v>Fullerton</x:v>
      </x:c>
      <x:c r="G469" s="26" t="n">
        <x:v>1997</x:v>
      </x:c>
      <x:c r="H469" s="25" t="str">
        <x:v>Environmental levies and distortionary taxation: comment</x:v>
      </x:c>
      <x:c r="I469" s="25" t="str"/>
      <x:c r="J469" s="25" t="str"/>
      <x:c r="K469" s="25" t="str">
        <x:v>automatic_screen_pass</x:v>
      </x:c>
      <x:c r="L469" s="25" t="str">
        <x:v>accepted</x:v>
      </x:c>
      <x:c r="M469" s="25" t="str">
        <x:v>no</x:v>
      </x:c>
      <x:c r="N469" s="25" t="str">
        <x:v>saki_research/published_papers/bigio_kanzig_sanchez_walsh_carbon_pricing_inequality_normative_pespective.pdf</x:v>
      </x:c>
      <x:c r="O469" s="25" t="str">
        <x:v>Fullerton, Don (1997). “Environmental levies and distortionary taxation: comment”. The American Economic Review87.1, pp. 245–251.</x:v>
      </x:c>
    </x:row>
    <x:row r="470" ht="48" customHeight="1">
      <x:c r="A470" s="24" t="str">
        <x:v>P13-R024</x:v>
      </x:c>
      <x:c r="B470" s="24" t="str">
        <x:v>P13</x:v>
      </x:c>
      <x:c r="C470" s="26" t="n">
        <x:v>24</x:v>
      </x:c>
      <x:c r="D470" s="26" t="n">
        <x:v>28</x:v>
      </x:c>
      <x:c r="E470" s="26" t="n">
        <x:v>28</x:v>
      </x:c>
      <x:c r="F470" s="26" t="str">
        <x:v>Jaravel</x:v>
      </x:c>
      <x:c r="G470" s="26" t="n">
        <x:v>2022</x:v>
      </x:c>
      <x:c r="H470" s="25" t="str">
        <x:v>Nonparametric measurement of long-run growth in consumer welfare</x:v>
      </x:c>
      <x:c r="I470" s="25" t="str"/>
      <x:c r="J470" s="25" t="str"/>
      <x:c r="K470" s="25" t="str">
        <x:v>automatic_screen_pass</x:v>
      </x:c>
      <x:c r="L470" s="25" t="str">
        <x:v>accepted</x:v>
      </x:c>
      <x:c r="M470" s="25" t="str">
        <x:v>no</x:v>
      </x:c>
      <x:c r="N470" s="25" t="str">
        <x:v>saki_research/published_papers/bigio_kanzig_sanchez_walsh_carbon_pricing_inequality_normative_pespective.pdf</x:v>
      </x:c>
      <x:c r="O470" s="25" t="str">
        <x:v>Jaravel, Xavier and Danial Lashkari (2022). “Nonparametric measurement of long-run growth in consumer welfare”.</x:v>
      </x:c>
    </x:row>
    <x:row r="471" ht="48" customHeight="1">
      <x:c r="A471" s="24" t="str">
        <x:v>P13-R025</x:v>
      </x:c>
      <x:c r="B471" s="24" t="str">
        <x:v>P13</x:v>
      </x:c>
      <x:c r="C471" s="26" t="n">
        <x:v>25</x:v>
      </x:c>
      <x:c r="D471" s="26" t="n">
        <x:v>28</x:v>
      </x:c>
      <x:c r="E471" s="26" t="n">
        <x:v>28</x:v>
      </x:c>
      <x:c r="F471" s="26" t="str">
        <x:v>Jordà</x:v>
      </x:c>
      <x:c r="G471" s="26" t="n">
        <x:v>2005</x:v>
      </x:c>
      <x:c r="H471" s="25" t="str">
        <x:v>Estimationandinferenceofimpulseresponsesbylocalprojections</x:v>
      </x:c>
      <x:c r="I471" s="25" t="str"/>
      <x:c r="J471" s="25" t="str"/>
      <x:c r="K471" s="25" t="str">
        <x:v>automatic_screen_pass</x:v>
      </x:c>
      <x:c r="L471" s="25" t="str">
        <x:v>accepted</x:v>
      </x:c>
      <x:c r="M471" s="25" t="str">
        <x:v>no</x:v>
      </x:c>
      <x:c r="N471" s="25" t="str">
        <x:v>saki_research/published_papers/bigio_kanzig_sanchez_walsh_carbon_pricing_inequality_normative_pespective.pdf</x:v>
      </x:c>
      <x:c r="O471" s="25" t="str">
        <x:v>Jordà,Òscar(2005).“Estimationandinferenceofimpulseresponsesbylocalprojections”. American Economic Review95.1, pp. 161–182.</x:v>
      </x:c>
    </x:row>
    <x:row r="472" ht="48" customHeight="1">
      <x:c r="A472" s="24" t="str">
        <x:v>P13-R026</x:v>
      </x:c>
      <x:c r="B472" s="24" t="str">
        <x:v>P13</x:v>
      </x:c>
      <x:c r="C472" s="26" t="n">
        <x:v>26</x:v>
      </x:c>
      <x:c r="D472" s="26" t="n">
        <x:v>28</x:v>
      </x:c>
      <x:c r="E472" s="26" t="n">
        <x:v>28</x:v>
      </x:c>
      <x:c r="F472" s="26" t="str">
        <x:v>Kahn</x:v>
      </x:c>
      <x:c r="G472" s="26" t="n">
        <x:v>2022</x:v>
      </x:c>
      <x:c r="H472" s="25" t="str">
        <x:v>Will the Developing World’s Growing Middle Class Support Low Carbon Policies?</x:v>
      </x:c>
      <x:c r="I472" s="25" t="str"/>
      <x:c r="J472" s="25" t="str">
        <x:v>local_citation_grammar_v3; exhaustive_title_boundary_audit_2026-09-17</x:v>
      </x:c>
      <x:c r="K472" s="25" t="str">
        <x:v>exhaustive_visual_correction</x:v>
      </x:c>
      <x:c r="L472" s="25" t="str">
        <x:v>corrected</x:v>
      </x:c>
      <x:c r="M472" s="25" t="str">
        <x:v>no</x:v>
      </x:c>
      <x:c r="N472" s="25" t="str">
        <x:v>saki_research/published_papers/bigio_kanzig_sanchez_walsh_carbon_pricing_inequality_normative_pespective.pdf</x:v>
      </x:c>
      <x:c r="O472" s="25" t="str">
        <x:v>Kahn,MatthewE.andSomikLall(July2022).WilltheDevelopingWorld’sGrowingMiddle Class Support Low Carbon Policies? NBER Working Paper 30238. National Bureau of Economic Research.</x:v>
      </x:c>
    </x:row>
    <x:row r="473" ht="48" customHeight="1">
      <x:c r="A473" s="24" t="str">
        <x:v>P13-R027</x:v>
      </x:c>
      <x:c r="B473" s="24" t="str">
        <x:v>P13</x:v>
      </x:c>
      <x:c r="C473" s="26" t="n">
        <x:v>27</x:v>
      </x:c>
      <x:c r="D473" s="26" t="n">
        <x:v>28</x:v>
      </x:c>
      <x:c r="E473" s="26" t="n">
        <x:v>28</x:v>
      </x:c>
      <x:c r="F473" s="26" t="str">
        <x:v>Känzig</x:v>
      </x:c>
      <x:c r="G473" s="26" t="n">
        <x:v>2023</x:v>
      </x:c>
      <x:c r="H473" s="25" t="str">
        <x:v>The unequal economic consequences of carbon pricing</x:v>
      </x:c>
      <x:c r="I473" s="25" t="str"/>
      <x:c r="J473" s="25" t="str"/>
      <x:c r="K473" s="25" t="str">
        <x:v>automatic_screen_pass</x:v>
      </x:c>
      <x:c r="L473" s="25" t="str">
        <x:v>accepted</x:v>
      </x:c>
      <x:c r="M473" s="25" t="str">
        <x:v>no</x:v>
      </x:c>
      <x:c r="N473" s="25" t="str">
        <x:v>saki_research/published_papers/bigio_kanzig_sanchez_walsh_carbon_pricing_inequality_normative_pespective.pdf</x:v>
      </x:c>
      <x:c r="O473" s="25" t="str">
        <x:v>Känzig, Diego R. (2023). The unequal economic consequences of carbon pricing. Tech. rep. National Bureau of Economic Research.</x:v>
      </x:c>
    </x:row>
    <x:row r="474" ht="48" customHeight="1">
      <x:c r="A474" s="24" t="str">
        <x:v>P13-R028</x:v>
      </x:c>
      <x:c r="B474" s="24" t="str">
        <x:v>P13</x:v>
      </x:c>
      <x:c r="C474" s="26" t="n">
        <x:v>28</x:v>
      </x:c>
      <x:c r="D474" s="26" t="n">
        <x:v>28</x:v>
      </x:c>
      <x:c r="E474" s="26" t="n">
        <x:v>28</x:v>
      </x:c>
      <x:c r="F474" s="26" t="str">
        <x:v>Känzig</x:v>
      </x:c>
      <x:c r="G474" s="26" t="n">
        <x:v>2024</x:v>
      </x:c>
      <x:c r="H474" s="25" t="str">
        <x:v>ClimatePolicyandtheEconomy:EvidencefromEurope’sCarbonPricingInitiatives</x:v>
      </x:c>
      <x:c r="I474" s="25" t="str"/>
      <x:c r="J474" s="25" t="str"/>
      <x:c r="K474" s="25" t="str">
        <x:v>automatic_screen_pass</x:v>
      </x:c>
      <x:c r="L474" s="25" t="str">
        <x:v>accepted</x:v>
      </x:c>
      <x:c r="M474" s="25" t="str">
        <x:v>no</x:v>
      </x:c>
      <x:c r="N474" s="25" t="str">
        <x:v>saki_research/published_papers/bigio_kanzig_sanchez_walsh_carbon_pricing_inequality_normative_pespective.pdf</x:v>
      </x:c>
      <x:c r="O474" s="25" t="str">
        <x:v>Känzig,DiegoR.andMaximilianKonradt(2024).“ClimatePolicyandtheEconomy:EvidencefromEurope’sCarbonPricingInitiatives”.IMFEconomicReview72.3,pp.1081– 1124.</x:v>
      </x:c>
    </x:row>
    <x:row r="475" ht="48" customHeight="1">
      <x:c r="A475" s="24" t="str">
        <x:v>P13-R029</x:v>
      </x:c>
      <x:c r="B475" s="24" t="str">
        <x:v>P13</x:v>
      </x:c>
      <x:c r="C475" s="26" t="n">
        <x:v>29</x:v>
      </x:c>
      <x:c r="D475" s="26" t="n">
        <x:v>29</x:v>
      </x:c>
      <x:c r="E475" s="26" t="n">
        <x:v>29</x:v>
      </x:c>
      <x:c r="F475" s="26" t="str">
        <x:v>Konradt</x:v>
      </x:c>
      <x:c r="G475" s="26" t="n">
        <x:v>2021</x:v>
      </x:c>
      <x:c r="H475" s="25" t="str">
        <x:v>Carbon taxation and inflation: evidence from the European and Canadian experience</x:v>
      </x:c>
      <x:c r="I475" s="25" t="str"/>
      <x:c r="J475" s="25" t="str"/>
      <x:c r="K475" s="25" t="str">
        <x:v>automatic_screen_pass</x:v>
      </x:c>
      <x:c r="L475" s="25" t="str">
        <x:v>accepted</x:v>
      </x:c>
      <x:c r="M475" s="25" t="str">
        <x:v>no</x:v>
      </x:c>
      <x:c r="N475" s="25" t="str">
        <x:v>saki_research/published_papers/bigio_kanzig_sanchez_walsh_carbon_pricing_inequality_normative_pespective.pdf</x:v>
      </x:c>
      <x:c r="O475" s="25" t="str">
        <x:v>Konradt, Maximilian and Beatrice Weder di Mauro (2021). Carbon taxation and inflation: evidence from the European and Canadian experience. Tech. rep. Graduate Institute of International and Development Studies Working Paper.</x:v>
      </x:c>
    </x:row>
    <x:row r="476" ht="48" customHeight="1">
      <x:c r="A476" s="24" t="str">
        <x:v>P13-R030</x:v>
      </x:c>
      <x:c r="B476" s="24" t="str">
        <x:v>P13</x:v>
      </x:c>
      <x:c r="C476" s="26" t="n">
        <x:v>30</x:v>
      </x:c>
      <x:c r="D476" s="26" t="n">
        <x:v>29</x:v>
      </x:c>
      <x:c r="E476" s="26" t="n">
        <x:v>29</x:v>
      </x:c>
      <x:c r="F476" s="26" t="str">
        <x:v>Kopczuk</x:v>
      </x:c>
      <x:c r="G476" s="26" t="n">
        <x:v>2003</x:v>
      </x:c>
      <x:c r="H476" s="25" t="str">
        <x:v>A note on optimal taxation in the presence of externalities</x:v>
      </x:c>
      <x:c r="I476" s="25" t="str"/>
      <x:c r="J476" s="25" t="str"/>
      <x:c r="K476" s="25" t="str">
        <x:v>automatic_screen_pass</x:v>
      </x:c>
      <x:c r="L476" s="25" t="str">
        <x:v>accepted</x:v>
      </x:c>
      <x:c r="M476" s="25" t="str">
        <x:v>no</x:v>
      </x:c>
      <x:c r="N476" s="25" t="str">
        <x:v>saki_research/published_papers/bigio_kanzig_sanchez_walsh_carbon_pricing_inequality_normative_pespective.pdf</x:v>
      </x:c>
      <x:c r="O476" s="25" t="str">
        <x:v>Kopczuk, Wojciech (2003). “A note on optimal taxation in the presence of externalities”. Economics Letters80.1, pp. 81–86.</x:v>
      </x:c>
    </x:row>
    <x:row r="477" ht="48" customHeight="1">
      <x:c r="A477" s="24" t="str">
        <x:v>P13-R031</x:v>
      </x:c>
      <x:c r="B477" s="24" t="str">
        <x:v>P13</x:v>
      </x:c>
      <x:c r="C477" s="26" t="n">
        <x:v>31</x:v>
      </x:c>
      <x:c r="D477" s="26" t="n">
        <x:v>29</x:v>
      </x:c>
      <x:c r="E477" s="26" t="n">
        <x:v>29</x:v>
      </x:c>
      <x:c r="F477" s="26" t="str">
        <x:v>Martin</x:v>
      </x:c>
      <x:c r="G477" s="26" t="n">
        <x:v>2014</x:v>
      </x:c>
      <x:c r="H477" s="25" t="str">
        <x:v>Theimpactofacarbontax on manufacturing: Evidence from microdata</x:v>
      </x:c>
      <x:c r="I477" s="25" t="str"/>
      <x:c r="J477" s="25" t="str"/>
      <x:c r="K477" s="25" t="str">
        <x:v>automatic_screen_pass</x:v>
      </x:c>
      <x:c r="L477" s="25" t="str">
        <x:v>accepted</x:v>
      </x:c>
      <x:c r="M477" s="25" t="str">
        <x:v>no</x:v>
      </x:c>
      <x:c r="N477" s="25" t="str">
        <x:v>saki_research/published_papers/bigio_kanzig_sanchez_walsh_carbon_pricing_inequality_normative_pespective.pdf</x:v>
      </x:c>
      <x:c r="O477" s="25" t="str">
        <x:v>Martin,Ralf,LaureB.DePreux,andUlrichJ.Wagner(2014).“Theimpactofacarbontax on manufacturing: Evidence from microdata”. Journal of Public Economics 117, pp. 1– 14.</x:v>
      </x:c>
    </x:row>
    <x:row r="478" ht="48" customHeight="1">
      <x:c r="A478" s="24" t="str">
        <x:v>P13-R032</x:v>
      </x:c>
      <x:c r="B478" s="24" t="str">
        <x:v>P13</x:v>
      </x:c>
      <x:c r="C478" s="26" t="n">
        <x:v>32</x:v>
      </x:c>
      <x:c r="D478" s="26" t="n">
        <x:v>29</x:v>
      </x:c>
      <x:c r="E478" s="26" t="n">
        <x:v>29</x:v>
      </x:c>
      <x:c r="F478" s="26" t="str">
        <x:v>Metcalf</x:v>
      </x:c>
      <x:c r="G478" s="26" t="n">
        <x:v>2019</x:v>
      </x:c>
      <x:c r="H478" s="25" t="str">
        <x:v>On the economics of a carbon tax for the United States</x:v>
      </x:c>
      <x:c r="I478" s="25" t="str"/>
      <x:c r="J478" s="25" t="str"/>
      <x:c r="K478" s="25" t="str">
        <x:v>automatic_screen_pass</x:v>
      </x:c>
      <x:c r="L478" s="25" t="str">
        <x:v>accepted</x:v>
      </x:c>
      <x:c r="M478" s="25" t="str">
        <x:v>no</x:v>
      </x:c>
      <x:c r="N478" s="25" t="str">
        <x:v>saki_research/published_papers/bigio_kanzig_sanchez_walsh_carbon_pricing_inequality_normative_pespective.pdf</x:v>
      </x:c>
      <x:c r="O478" s="25" t="str">
        <x:v>Metcalf, Gilbert E. (2019). “On the economics of a carbon tax for the United States”. Brookings Papers on Economic Activity2019.1, pp. 405–484.</x:v>
      </x:c>
    </x:row>
    <x:row r="479" ht="48" customHeight="1">
      <x:c r="A479" s="24" t="str">
        <x:v>P13-R033</x:v>
      </x:c>
      <x:c r="B479" s="24" t="str">
        <x:v>P13</x:v>
      </x:c>
      <x:c r="C479" s="26" t="n">
        <x:v>33</x:v>
      </x:c>
      <x:c r="D479" s="26" t="n">
        <x:v>29</x:v>
      </x:c>
      <x:c r="E479" s="26" t="n">
        <x:v>29</x:v>
      </x:c>
      <x:c r="F479" s="26" t="str">
        <x:v>Metcalf</x:v>
      </x:c>
      <x:c r="G479" s="26" t="n">
        <x:v>2023</x:v>
      </x:c>
      <x:c r="H479" s="25" t="str">
        <x:v>The macroeconomic impact of Europe’s carbon taxes</x:v>
      </x:c>
      <x:c r="I479" s="25" t="str"/>
      <x:c r="J479" s="25" t="str"/>
      <x:c r="K479" s="25" t="str">
        <x:v>automatic_screen_pass</x:v>
      </x:c>
      <x:c r="L479" s="25" t="str">
        <x:v>accepted</x:v>
      </x:c>
      <x:c r="M479" s="25" t="str">
        <x:v>no</x:v>
      </x:c>
      <x:c r="N479" s="25" t="str">
        <x:v>saki_research/published_papers/bigio_kanzig_sanchez_walsh_carbon_pricing_inequality_normative_pespective.pdf</x:v>
      </x:c>
      <x:c r="O479" s="25" t="str">
        <x:v>Metcalf, Gilbert E. and James H. Stock (2023). “The macroeconomic impact of Europe’s carbon taxes”.American Economic Journal: Macroeconomics15.3, pp. 265–286.</x:v>
      </x:c>
    </x:row>
    <x:row r="480" ht="48" customHeight="1">
      <x:c r="A480" s="24" t="str">
        <x:v>P13-R034</x:v>
      </x:c>
      <x:c r="B480" s="24" t="str">
        <x:v>P13</x:v>
      </x:c>
      <x:c r="C480" s="26" t="n">
        <x:v>34</x:v>
      </x:c>
      <x:c r="D480" s="26" t="n">
        <x:v>29</x:v>
      </x:c>
      <x:c r="E480" s="26" t="n">
        <x:v>29</x:v>
      </x:c>
      <x:c r="F480" s="26" t="str">
        <x:v>MontielOlea</x:v>
      </x:c>
      <x:c r="G480" s="26" t="n">
        <x:v>2021</x:v>
      </x:c>
      <x:c r="H480" s="25" t="str">
        <x:v>Localprojectioninference is simpler and more robust than you think</x:v>
      </x:c>
      <x:c r="I480" s="25" t="str"/>
      <x:c r="J480" s="25" t="str"/>
      <x:c r="K480" s="25" t="str">
        <x:v>automatic_screen_pass</x:v>
      </x:c>
      <x:c r="L480" s="25" t="str">
        <x:v>accepted</x:v>
      </x:c>
      <x:c r="M480" s="25" t="str">
        <x:v>no</x:v>
      </x:c>
      <x:c r="N480" s="25" t="str">
        <x:v>saki_research/published_papers/bigio_kanzig_sanchez_walsh_carbon_pricing_inequality_normative_pespective.pdf</x:v>
      </x:c>
      <x:c r="O480" s="25" t="str">
        <x:v>MontielOlea,JoséLuisandMikkelPlagborg-Møller(2021).“Localprojectioninference is simpler and more robust than you think”.Econometrica89.4, pp. 1789–1823.</x:v>
      </x:c>
    </x:row>
    <x:row r="481" ht="48" customHeight="1">
      <x:c r="A481" s="24" t="str">
        <x:v>P13-R035</x:v>
      </x:c>
      <x:c r="B481" s="24" t="str">
        <x:v>P13</x:v>
      </x:c>
      <x:c r="C481" s="26" t="n">
        <x:v>35</x:v>
      </x:c>
      <x:c r="D481" s="26" t="n">
        <x:v>29</x:v>
      </x:c>
      <x:c r="E481" s="26" t="n">
        <x:v>29</x:v>
      </x:c>
      <x:c r="F481" s="26" t="str">
        <x:v>Poterba</x:v>
      </x:c>
      <x:c r="G481" s="26" t="n">
        <x:v>1989</x:v>
      </x:c>
      <x:c r="H481" s="25" t="str">
        <x:v>Lifetime Incidence and the Distributional Burden of Excise Taxes</x:v>
      </x:c>
      <x:c r="I481" s="25" t="str"/>
      <x:c r="J481" s="25" t="str"/>
      <x:c r="K481" s="25" t="str">
        <x:v>automatic_screen_pass</x:v>
      </x:c>
      <x:c r="L481" s="25" t="str">
        <x:v>accepted</x:v>
      </x:c>
      <x:c r="M481" s="25" t="str">
        <x:v>no</x:v>
      </x:c>
      <x:c r="N481" s="25" t="str">
        <x:v>saki_research/published_papers/bigio_kanzig_sanchez_walsh_carbon_pricing_inequality_normative_pespective.pdf</x:v>
      </x:c>
      <x:c r="O481" s="25" t="str">
        <x:v>Poterba, James M. (May 1989). “Lifetime Incidence and the Distributional Burden of Excise Taxes”.American Economic Review79.2, pp. 325–330.</x:v>
      </x:c>
    </x:row>
    <x:row r="482" ht="48" customHeight="1">
      <x:c r="A482" s="24" t="str">
        <x:v>P13-R036</x:v>
      </x:c>
      <x:c r="B482" s="24" t="str">
        <x:v>P13</x:v>
      </x:c>
      <x:c r="C482" s="26" t="n">
        <x:v>36</x:v>
      </x:c>
      <x:c r="D482" s="26" t="n">
        <x:v>29</x:v>
      </x:c>
      <x:c r="E482" s="26" t="n">
        <x:v>29</x:v>
      </x:c>
      <x:c r="F482" s="26" t="str">
        <x:v>Saez</x:v>
      </x:c>
      <x:c r="G482" s="26" t="n">
        <x:v>2016</x:v>
      </x:c>
      <x:c r="H482" s="25" t="str">
        <x:v>Generalized social marginal welfare weights for optimal tax theory</x:v>
      </x:c>
      <x:c r="I482" s="25" t="str"/>
      <x:c r="J482" s="25" t="str"/>
      <x:c r="K482" s="25" t="str">
        <x:v>prior_manual_sample</x:v>
      </x:c>
      <x:c r="L482" s="25" t="str">
        <x:v>accepted</x:v>
      </x:c>
      <x:c r="M482" s="25" t="str">
        <x:v>no</x:v>
      </x:c>
      <x:c r="N482" s="25" t="str">
        <x:v>saki_research/published_papers/bigio_kanzig_sanchez_walsh_carbon_pricing_inequality_normative_pespective.pdf</x:v>
      </x:c>
      <x:c r="O482" s="25" t="str">
        <x:v>Saez, Emmanuel and Stefanie Stantcheva (2016). “Generalized social marginal welfare weights for optimal tax theory”.American Economic Review106.01, pp. 24–45.</x:v>
      </x:c>
    </x:row>
    <x:row r="483" ht="48" customHeight="1">
      <x:c r="A483" s="24" t="str">
        <x:v>P13-R037</x:v>
      </x:c>
      <x:c r="B483" s="24" t="str">
        <x:v>P13</x:v>
      </x:c>
      <x:c r="C483" s="26" t="n">
        <x:v>37</x:v>
      </x:c>
      <x:c r="D483" s="26" t="n">
        <x:v>29</x:v>
      </x:c>
      <x:c r="E483" s="26" t="n">
        <x:v>29</x:v>
      </x:c>
      <x:c r="F483" s="26" t="str">
        <x:v>Samuelson</x:v>
      </x:c>
      <x:c r="G483" s="26" t="n">
        <x:v>1974</x:v>
      </x:c>
      <x:c r="H483" s="25" t="str">
        <x:v>Complementarity: An essay on the 40th anniversary of the Hicks-Allenrevolutionindemandtheory</x:v>
      </x:c>
      <x:c r="I483" s="25" t="str"/>
      <x:c r="J483" s="25" t="str"/>
      <x:c r="K483" s="25" t="str">
        <x:v>automatic_screen_pass</x:v>
      </x:c>
      <x:c r="L483" s="25" t="str">
        <x:v>accepted</x:v>
      </x:c>
      <x:c r="M483" s="25" t="str">
        <x:v>no</x:v>
      </x:c>
      <x:c r="N483" s="25" t="str">
        <x:v>saki_research/published_papers/bigio_kanzig_sanchez_walsh_carbon_pricing_inequality_normative_pespective.pdf</x:v>
      </x:c>
      <x:c r="O483" s="25" t="str">
        <x:v>Samuelson, Paul A. (1974). “Complementarity: An essay on the 40th anniversary of the Hicks-Allenrevolutionindemandtheory”.JournalofEconomicliterature12.4,pp.1255– 1289.</x:v>
      </x:c>
    </x:row>
    <x:row r="484" ht="48" customHeight="1">
      <x:c r="A484" s="24" t="str">
        <x:v>P13-R038</x:v>
      </x:c>
      <x:c r="B484" s="24" t="str">
        <x:v>P13</x:v>
      </x:c>
      <x:c r="C484" s="26" t="n">
        <x:v>38</x:v>
      </x:c>
      <x:c r="D484" s="26" t="n">
        <x:v>29</x:v>
      </x:c>
      <x:c r="E484" s="26" t="n">
        <x:v>29</x:v>
      </x:c>
      <x:c r="F484" s="26" t="str">
        <x:v>Sandmo</x:v>
      </x:c>
      <x:c r="G484" s="26" t="n">
        <x:v>1975</x:v>
      </x:c>
      <x:c r="H484" s="25" t="str">
        <x:v>Optimal taxation in the presence of externalities</x:v>
      </x:c>
      <x:c r="I484" s="25" t="str"/>
      <x:c r="J484" s="25" t="str"/>
      <x:c r="K484" s="25" t="str">
        <x:v>automatic_screen_pass</x:v>
      </x:c>
      <x:c r="L484" s="25" t="str">
        <x:v>accepted</x:v>
      </x:c>
      <x:c r="M484" s="25" t="str">
        <x:v>no</x:v>
      </x:c>
      <x:c r="N484" s="25" t="str">
        <x:v>saki_research/published_papers/bigio_kanzig_sanchez_walsh_carbon_pricing_inequality_normative_pespective.pdf</x:v>
      </x:c>
      <x:c r="O484" s="25" t="str">
        <x:v>Sandmo, Agnar (1975). “Optimal taxation in the presence of externalities”. The Swedish Journal of Economics, pp. 86–98.</x:v>
      </x:c>
    </x:row>
    <x:row r="485" ht="48" customHeight="1">
      <x:c r="A485" s="24" t="str">
        <x:v>P05-R001</x:v>
      </x:c>
      <x:c r="B485" s="24" t="str">
        <x:v>P05</x:v>
      </x:c>
      <x:c r="C485" s="26" t="n">
        <x:v>1</x:v>
      </x:c>
      <x:c r="D485" s="26" t="n">
        <x:v>50</x:v>
      </x:c>
      <x:c r="E485" s="26" t="n">
        <x:v>50</x:v>
      </x:c>
      <x:c r="F485" s="26" t="str">
        <x:v>Acemoglu</x:v>
      </x:c>
      <x:c r="G485" s="26" t="n">
        <x:v>2012</x:v>
      </x:c>
      <x:c r="H485" s="25" t="str">
        <x:v>The Network Origins of Aggregate Fluctuations</x:v>
      </x:c>
      <x:c r="I485" s="25" t="str"/>
      <x:c r="J485" s="25" t="str"/>
      <x:c r="K485" s="25" t="str">
        <x:v>exhaustive_visual_multiwork_pattern_accepted</x:v>
      </x:c>
      <x:c r="L485" s="25" t="str">
        <x:v>accepted</x:v>
      </x:c>
      <x:c r="M485" s="25" t="str">
        <x:v>sí</x:v>
      </x:c>
      <x:c r="N485" s="25" t="str">
        <x:v>saki_research/published_papers/bigio_lao_distortions_production_networks.pdf</x:v>
      </x:c>
      <x:c r="O485" s="25" t="str">
        <x:v>Acemoglu, Daron, Vasco M. Carvalho, Asuman Ozdaglar, and Alireza Tahbaz-Salehi. “The Network Origins of Aggregate Fluctuations.” Econometrica, 80(2012), 1977–2016.</x:v>
      </x:c>
    </x:row>
    <x:row r="486" ht="48" customHeight="1">
      <x:c r="A486" s="24" t="str">
        <x:v>P05-R002</x:v>
      </x:c>
      <x:c r="B486" s="24" t="str">
        <x:v>P05</x:v>
      </x:c>
      <x:c r="C486" s="26" t="n">
        <x:v>2</x:v>
      </x:c>
      <x:c r="D486" s="26" t="n">
        <x:v>50</x:v>
      </x:c>
      <x:c r="E486" s="26" t="n">
        <x:v>50</x:v>
      </x:c>
      <x:c r="F486" s="26" t="str">
        <x:v>Altinoglu</x:v>
      </x:c>
      <x:c r="G486" s="26" t="n">
        <x:v>2020</x:v>
      </x:c>
      <x:c r="H486" s="25" t="str">
        <x:v>The origins of aggregate fluctuations in a credit network economy</x:v>
      </x:c>
      <x:c r="I486" s="25" t="str"/>
      <x:c r="J486" s="25" t="str"/>
      <x:c r="K486" s="25" t="str">
        <x:v>prior_manual_sample</x:v>
      </x:c>
      <x:c r="L486" s="25" t="str">
        <x:v>accepted</x:v>
      </x:c>
      <x:c r="M486" s="25" t="str">
        <x:v>no</x:v>
      </x:c>
      <x:c r="N486" s="25" t="str">
        <x:v>saki_research/published_papers/bigio_lao_distortions_production_networks.pdf</x:v>
      </x:c>
      <x:c r="O486" s="25" t="str">
        <x:v>Altinoglu, Levent. “The origins of aggregate fluctuations in a credit network economy.” Journal of Monetary Economics, (2020).</x:v>
      </x:c>
    </x:row>
    <x:row r="487" ht="48" customHeight="1">
      <x:c r="A487" s="24" t="str">
        <x:v>P05-R003</x:v>
      </x:c>
      <x:c r="B487" s="24" t="str">
        <x:v>P05</x:v>
      </x:c>
      <x:c r="C487" s="26" t="n">
        <x:v>3</x:v>
      </x:c>
      <x:c r="D487" s="26" t="n">
        <x:v>50</x:v>
      </x:c>
      <x:c r="E487" s="26" t="n">
        <x:v>50</x:v>
      </x:c>
      <x:c r="F487" s="26" t="str">
        <x:v>Antràs</x:v>
      </x:c>
      <x:c r="G487" s="26" t="n">
        <x:v>2017</x:v>
      </x:c>
      <x:c r="H487" s="25" t="str">
        <x:v>On the Geography of Global Value Chains</x:v>
      </x:c>
      <x:c r="I487" s="25" t="str"/>
      <x:c r="J487" s="25" t="str">
        <x:v>exhaustive_ai_audit_2026-09-17</x:v>
      </x:c>
      <x:c r="K487" s="25" t="str">
        <x:v>exhaustive_visual_correction</x:v>
      </x:c>
      <x:c r="L487" s="25" t="str">
        <x:v>corrected</x:v>
      </x:c>
      <x:c r="M487" s="25" t="str">
        <x:v>no</x:v>
      </x:c>
      <x:c r="N487" s="25" t="str">
        <x:v>saki_research/published_papers/bigio_lao_distortions_production_networks.pdf</x:v>
      </x:c>
      <x:c r="O487" s="25" t="str">
        <x:v>Antr`as, Pol and Alonso de Gortari. “On the Geography of Global Value Chains.” (2017).</x:v>
      </x:c>
    </x:row>
    <x:row r="488" ht="48" customHeight="1">
      <x:c r="A488" s="24" t="str">
        <x:v>P05-R004</x:v>
      </x:c>
      <x:c r="B488" s="24" t="str">
        <x:v>P05</x:v>
      </x:c>
      <x:c r="C488" s="26" t="n">
        <x:v>4</x:v>
      </x:c>
      <x:c r="D488" s="26" t="n">
        <x:v>50</x:v>
      </x:c>
      <x:c r="E488" s="26" t="n">
        <x:v>50</x:v>
      </x:c>
      <x:c r="F488" s="26" t="str">
        <x:v>Antràs</x:v>
      </x:c>
      <x:c r="G488" s="26" t="n">
        <x:v>2017</x:v>
      </x:c>
      <x:c r="H488" s="25" t="str">
        <x:v>The Margins of Global Sourcing: Theory and Evidence from U.S. Firms</x:v>
      </x:c>
      <x:c r="I488" s="25" t="str"/>
      <x:c r="J488" s="25" t="str">
        <x:v>exhaustive_ai_audit_2026-09-17</x:v>
      </x:c>
      <x:c r="K488" s="25" t="str">
        <x:v>exhaustive_visual_correction</x:v>
      </x:c>
      <x:c r="L488" s="25" t="str">
        <x:v>corrected</x:v>
      </x:c>
      <x:c r="M488" s="25" t="str">
        <x:v>no</x:v>
      </x:c>
      <x:c r="N488" s="25" t="str">
        <x:v>saki_research/published_papers/bigio_lao_distortions_production_networks.pdf</x:v>
      </x:c>
      <x:c r="O488" s="25" t="str">
        <x:v>Antr`as, Pol, Teresa C. Fort, and Felix Tintelnot. “The Margins of Global Sourcing: Theory and Evidence from U.S. Firms.” American Economic Review, 107(2017), 2514–64.</x:v>
      </x:c>
    </x:row>
    <x:row r="489" ht="48" customHeight="1">
      <x:c r="A489" s="24" t="str">
        <x:v>P05-R005</x:v>
      </x:c>
      <x:c r="B489" s="24" t="str">
        <x:v>P05</x:v>
      </x:c>
      <x:c r="C489" s="26" t="n">
        <x:v>5</x:v>
      </x:c>
      <x:c r="D489" s="26" t="n">
        <x:v>50</x:v>
      </x:c>
      <x:c r="E489" s="26" t="n">
        <x:v>50</x:v>
      </x:c>
      <x:c r="F489" s="26" t="str">
        <x:v>Asker</x:v>
      </x:c>
      <x:c r="G489" s="26" t="n">
        <x:v>2014</x:v>
      </x:c>
      <x:c r="H489" s="25" t="str">
        <x:v>Dynamic Inputs and Resource (Mis)Allocation</x:v>
      </x:c>
      <x:c r="I489" s="25" t="str"/>
      <x:c r="J489" s="25" t="str"/>
      <x:c r="K489" s="25" t="str">
        <x:v>prior_manual_sample</x:v>
      </x:c>
      <x:c r="L489" s="25" t="str">
        <x:v>accepted</x:v>
      </x:c>
      <x:c r="M489" s="25" t="str">
        <x:v>no</x:v>
      </x:c>
      <x:c r="N489" s="25" t="str">
        <x:v>saki_research/published_papers/bigio_lao_distortions_production_networks.pdf</x:v>
      </x:c>
      <x:c r="O489" s="25" t="str">
        <x:v>Asker, John, Allan Collard-Wexler, and Jan De Loecker. “Dynamic Inputs and Resource (Mis)Allocation.” Journal of Political Economy, 122(2014), 1013–1063.</x:v>
      </x:c>
    </x:row>
    <x:row r="490" ht="48" customHeight="1">
      <x:c r="A490" s="24" t="str">
        <x:v>P05-R006</x:v>
      </x:c>
      <x:c r="B490" s="24" t="str">
        <x:v>P05</x:v>
      </x:c>
      <x:c r="C490" s="26" t="n">
        <x:v>6</x:v>
      </x:c>
      <x:c r="D490" s="26" t="n">
        <x:v>50</x:v>
      </x:c>
      <x:c r="E490" s="26" t="n">
        <x:v>50</x:v>
      </x:c>
      <x:c r="F490" s="26" t="str">
        <x:v>Atalay</x:v>
      </x:c>
      <x:c r="G490" s="26" t="n">
        <x:v>2017</x:v>
      </x:c>
      <x:c r="H490" s="25" t="str">
        <x:v>How Important Are Sectoral Shocks?</x:v>
      </x:c>
      <x:c r="I490" s="25" t="str"/>
      <x:c r="J490" s="25" t="str"/>
      <x:c r="K490" s="25" t="str">
        <x:v>automatic_screen_pass</x:v>
      </x:c>
      <x:c r="L490" s="25" t="str">
        <x:v>accepted</x:v>
      </x:c>
      <x:c r="M490" s="25" t="str">
        <x:v>no</x:v>
      </x:c>
      <x:c r="N490" s="25" t="str">
        <x:v>saki_research/published_papers/bigio_lao_distortions_production_networks.pdf</x:v>
      </x:c>
      <x:c r="O490" s="25" t="str">
        <x:v>Atalay, Enghin. “How Important Are Sectoral Shocks?” American Economic Journal: Macroeconomics, 9(2017), 254–80.</x:v>
      </x:c>
    </x:row>
    <x:row r="491" ht="48" customHeight="1">
      <x:c r="A491" s="24" t="str">
        <x:v>P05-R007</x:v>
      </x:c>
      <x:c r="B491" s="24" t="str">
        <x:v>P05</x:v>
      </x:c>
      <x:c r="C491" s="26" t="n">
        <x:v>7</x:v>
      </x:c>
      <x:c r="D491" s="26" t="n">
        <x:v>50</x:v>
      </x:c>
      <x:c r="E491" s="26" t="n">
        <x:v>50</x:v>
      </x:c>
      <x:c r="F491" s="26" t="str">
        <x:v>Baldwin</x:v>
      </x:c>
      <x:c r="G491" s="26" t="n">
        <x:v>2013</x:v>
      </x:c>
      <x:c r="H491" s="25" t="str">
        <x:v>Spidersandsnakes: Offshoringandagglomeration in the global economy</x:v>
      </x:c>
      <x:c r="I491" s="25" t="str"/>
      <x:c r="J491" s="25" t="str"/>
      <x:c r="K491" s="25" t="str">
        <x:v>automatic_screen_pass</x:v>
      </x:c>
      <x:c r="L491" s="25" t="str">
        <x:v>accepted</x:v>
      </x:c>
      <x:c r="M491" s="25" t="str">
        <x:v>no</x:v>
      </x:c>
      <x:c r="N491" s="25" t="str">
        <x:v>saki_research/published_papers/bigio_lao_distortions_production_networks.pdf</x:v>
      </x:c>
      <x:c r="O491" s="25" t="str">
        <x:v>Baldwin,RichardandAnthonyJ.Venables. “Spidersandsnakes: Offshoringandagglomeration in the global economy.” Journal of International Economics, 90(2013), 245 – 254.</x:v>
      </x:c>
    </x:row>
    <x:row r="492" ht="48" customHeight="1">
      <x:c r="A492" s="24" t="str">
        <x:v>P05-R008</x:v>
      </x:c>
      <x:c r="B492" s="24" t="str">
        <x:v>P05</x:v>
      </x:c>
      <x:c r="C492" s="26" t="n">
        <x:v>8</x:v>
      </x:c>
      <x:c r="D492" s="26" t="n">
        <x:v>51</x:v>
      </x:c>
      <x:c r="E492" s="26" t="n">
        <x:v>51</x:v>
      </x:c>
      <x:c r="F492" s="26" t="str">
        <x:v>Baqaee</x:v>
      </x:c>
      <x:c r="G492" s="26" t="n">
        <x:v>2019</x:v>
      </x:c>
      <x:c r="H492" s="25" t="str">
        <x:v>The Macroeconomic Impact of Microeconomic Shocks: Beyond Hulten’s Theorem</x:v>
      </x:c>
      <x:c r="I492" s="25" t="str"/>
      <x:c r="J492" s="25" t="str"/>
      <x:c r="K492" s="25" t="str">
        <x:v>automatic_screen_pass</x:v>
      </x:c>
      <x:c r="L492" s="25" t="str">
        <x:v>accepted</x:v>
      </x:c>
      <x:c r="M492" s="25" t="str">
        <x:v>no</x:v>
      </x:c>
      <x:c r="N492" s="25" t="str">
        <x:v>saki_research/published_papers/bigio_lao_distortions_production_networks.pdf</x:v>
      </x:c>
      <x:c r="O492" s="25" t="str">
        <x:v>Baqaee, David Rezza and Emmanuel Farhi. “The Macroeconomic Impact of Microeconomic Shocks: Beyond Hulten’s Theorem.” Econometrica, 87(2019), 1155–1203.</x:v>
      </x:c>
    </x:row>
    <x:row r="493" ht="48" customHeight="1">
      <x:c r="A493" s="24" t="str">
        <x:v>P05-R009</x:v>
      </x:c>
      <x:c r="B493" s="24" t="str">
        <x:v>P05</x:v>
      </x:c>
      <x:c r="C493" s="26" t="n">
        <x:v>9</x:v>
      </x:c>
      <x:c r="D493" s="26" t="n">
        <x:v>51</x:v>
      </x:c>
      <x:c r="E493" s="26" t="n">
        <x:v>51</x:v>
      </x:c>
      <x:c r="F493" s="26" t="str">
        <x:v>Baqaee</x:v>
      </x:c>
      <x:c r="G493" s="26" t="n">
        <x:v>2020</x:v>
      </x:c>
      <x:c r="H493" s="25" t="str">
        <x:v>Productivity and Misallocation in General Equilibrium</x:v>
      </x:c>
      <x:c r="I493" s="25" t="str">
        <x:v>inherited_author_notation</x:v>
      </x:c>
      <x:c r="J493" s="25" t="str"/>
      <x:c r="K493" s="25" t="str">
        <x:v>automatic_screen_pass</x:v>
      </x:c>
      <x:c r="L493" s="25" t="str">
        <x:v>accepted</x:v>
      </x:c>
      <x:c r="M493" s="25" t="str">
        <x:v>no</x:v>
      </x:c>
      <x:c r="N493" s="25" t="str">
        <x:v>saki_research/published_papers/bigio_lao_distortions_production_networks.pdf</x:v>
      </x:c>
      <x:c r="O493" s="25" t="str">
        <x:v>———. “Productivity and Misallocation in General Equilibrium.” The Quarterly Journal of Economics, 135(2020), 105–163.</x:v>
      </x:c>
    </x:row>
    <x:row r="494" ht="48" customHeight="1">
      <x:c r="A494" s="24" t="str">
        <x:v>P05-R010</x:v>
      </x:c>
      <x:c r="B494" s="24" t="str">
        <x:v>P05</x:v>
      </x:c>
      <x:c r="C494" s="26" t="n">
        <x:v>10</x:v>
      </x:c>
      <x:c r="D494" s="26" t="n">
        <x:v>51</x:v>
      </x:c>
      <x:c r="E494" s="26" t="n">
        <x:v>51</x:v>
      </x:c>
      <x:c r="F494" s="26" t="str">
        <x:v>Basu</x:v>
      </x:c>
      <x:c r="G494" s="26" t="n">
        <x:v>1995</x:v>
      </x:c>
      <x:c r="H494" s="25" t="str">
        <x:v>Intermediate Goods and Business Cycles: Implications for Productivity and Welfare</x:v>
      </x:c>
      <x:c r="I494" s="25" t="str"/>
      <x:c r="J494" s="25" t="str"/>
      <x:c r="K494" s="25" t="str">
        <x:v>automatic_screen_pass</x:v>
      </x:c>
      <x:c r="L494" s="25" t="str">
        <x:v>accepted</x:v>
      </x:c>
      <x:c r="M494" s="25" t="str">
        <x:v>no</x:v>
      </x:c>
      <x:c r="N494" s="25" t="str">
        <x:v>saki_research/published_papers/bigio_lao_distortions_production_networks.pdf</x:v>
      </x:c>
      <x:c r="O494" s="25" t="str">
        <x:v>Basu, Susanto. “Intermediate Goods and Business Cycles: Implications for Productivity and Welfare.” American Economic Review, 85(1995), 512–31.</x:v>
      </x:c>
    </x:row>
    <x:row r="495" ht="48" customHeight="1">
      <x:c r="A495" s="24" t="str">
        <x:v>P05-R011</x:v>
      </x:c>
      <x:c r="B495" s="24" t="str">
        <x:v>P05</x:v>
      </x:c>
      <x:c r="C495" s="26" t="n">
        <x:v>11</x:v>
      </x:c>
      <x:c r="D495" s="26" t="n">
        <x:v>51</x:v>
      </x:c>
      <x:c r="E495" s="26" t="n">
        <x:v>51</x:v>
      </x:c>
      <x:c r="F495" s="26" t="str">
        <x:v>Bernanke</x:v>
      </x:c>
      <x:c r="G495" s="26" t="n">
        <x:v>1989</x:v>
      </x:c>
      <x:c r="H495" s="25" t="str">
        <x:v>Agency Costs, Net Worth, and Business Fluctuations</x:v>
      </x:c>
      <x:c r="I495" s="25" t="str"/>
      <x:c r="J495" s="25" t="str"/>
      <x:c r="K495" s="25" t="str">
        <x:v>automatic_screen_pass</x:v>
      </x:c>
      <x:c r="L495" s="25" t="str">
        <x:v>accepted</x:v>
      </x:c>
      <x:c r="M495" s="25" t="str">
        <x:v>no</x:v>
      </x:c>
      <x:c r="N495" s="25" t="str">
        <x:v>saki_research/published_papers/bigio_lao_distortions_production_networks.pdf</x:v>
      </x:c>
      <x:c r="O495" s="25" t="str">
        <x:v>Bernanke, Ben and Mark Gertler. “Agency Costs, Net Worth, and Business Fluctuations.” American Economic Review, 79(1989), 14–31.</x:v>
      </x:c>
    </x:row>
    <x:row r="496" ht="48" customHeight="1">
      <x:c r="A496" s="24" t="str">
        <x:v>P05-R012</x:v>
      </x:c>
      <x:c r="B496" s="24" t="str">
        <x:v>P05</x:v>
      </x:c>
      <x:c r="C496" s="26" t="n">
        <x:v>12</x:v>
      </x:c>
      <x:c r="D496" s="26" t="n">
        <x:v>51</x:v>
      </x:c>
      <x:c r="E496" s="26" t="n">
        <x:v>51</x:v>
      </x:c>
      <x:c r="F496" s="26" t="str">
        <x:v>Bernanke</x:v>
      </x:c>
      <x:c r="G496" s="26" t="n">
        <x:v>1999</x:v>
      </x:c>
      <x:c r="H496" s="25" t="str">
        <x:v>Thefinancialacceleratorinaquantitative business cycle framework</x:v>
      </x:c>
      <x:c r="I496" s="25" t="str"/>
      <x:c r="J496" s="25" t="str"/>
      <x:c r="K496" s="25" t="str">
        <x:v>exhaustive_visual_multiwork_pattern_accepted</x:v>
      </x:c>
      <x:c r="L496" s="25" t="str">
        <x:v>accepted</x:v>
      </x:c>
      <x:c r="M496" s="25" t="str">
        <x:v>sí</x:v>
      </x:c>
      <x:c r="N496" s="25" t="str">
        <x:v>saki_research/published_papers/bigio_lao_distortions_production_networks.pdf</x:v>
      </x:c>
      <x:c r="O496" s="25" t="str">
        <x:v>Bernanke,BenS.,MarkGertler,andSimonGilchrist. “Thefinancialacceleratorinaquantitative business cycle framework.” In J. B. Taylor and M. Woodford, editors, “Handbook of Macroeconomics,” volume 1 of Handbook of Macroeconomics, chapter 21. Elsevier (1999). 1341–1393.</x:v>
      </x:c>
    </x:row>
    <x:row r="497" ht="48" customHeight="1">
      <x:c r="A497" s="24" t="str">
        <x:v>P05-R013</x:v>
      </x:c>
      <x:c r="B497" s="24" t="str">
        <x:v>P05</x:v>
      </x:c>
      <x:c r="C497" s="26" t="n">
        <x:v>13</x:v>
      </x:c>
      <x:c r="D497" s="26" t="n">
        <x:v>51</x:v>
      </x:c>
      <x:c r="E497" s="26" t="n">
        <x:v>51</x:v>
      </x:c>
      <x:c r="F497" s="26" t="str">
        <x:v>Bigio</x:v>
      </x:c>
      <x:c r="G497" s="26" t="n">
        <x:v>2015</x:v>
      </x:c>
      <x:c r="H497" s="25" t="str">
        <x:v>Endogenous Liquidity and the Business Cycle</x:v>
      </x:c>
      <x:c r="I497" s="25" t="str"/>
      <x:c r="J497" s="25" t="str"/>
      <x:c r="K497" s="25" t="str">
        <x:v>exhaustive_visual_multiwork_pattern_accepted</x:v>
      </x:c>
      <x:c r="L497" s="25" t="str">
        <x:v>accepted</x:v>
      </x:c>
      <x:c r="M497" s="25" t="str">
        <x:v>sí</x:v>
      </x:c>
      <x:c r="N497" s="25" t="str">
        <x:v>saki_research/published_papers/bigio_lao_distortions_production_networks.pdf</x:v>
      </x:c>
      <x:c r="O497" s="25" t="str">
        <x:v>Bigio, Saki. “Endogenous Liquidity and the Business Cycle.” American Economic Review, 105(2015), 1883–1927.</x:v>
      </x:c>
    </x:row>
    <x:row r="498" ht="48" customHeight="1">
      <x:c r="A498" s="24" t="str">
        <x:v>P05-R014</x:v>
      </x:c>
      <x:c r="B498" s="24" t="str">
        <x:v>P05</x:v>
      </x:c>
      <x:c r="C498" s="26" t="n">
        <x:v>14</x:v>
      </x:c>
      <x:c r="D498" s="26" t="n">
        <x:v>51</x:v>
      </x:c>
      <x:c r="E498" s="26" t="n">
        <x:v>51</x:v>
      </x:c>
      <x:c r="F498" s="26" t="str">
        <x:v>Bigio</x:v>
      </x:c>
      <x:c r="G498" s="26" t="n">
        <x:v>2020</x:v>
      </x:c>
      <x:c r="H498" s="25" t="str">
        <x:v>Replication Data for: ‘Distortions in Production Networks’</x:v>
      </x:c>
      <x:c r="I498" s="25" t="str"/>
      <x:c r="J498" s="25" t="str"/>
      <x:c r="K498" s="25" t="str">
        <x:v>prior_manual_sample</x:v>
      </x:c>
      <x:c r="L498" s="25" t="str">
        <x:v>accepted</x:v>
      </x:c>
      <x:c r="M498" s="25" t="str">
        <x:v>no</x:v>
      </x:c>
      <x:c r="N498" s="25" t="str">
        <x:v>saki_research/published_papers/bigio_lao_distortions_production_networks.pdf</x:v>
      </x:c>
      <x:c r="O498" s="25" t="str">
        <x:v>Bigio, Saki and Jennifer La’O. “Replication Data for: ‘Distortions in Production Networks’.” (2020). Harvard Dataverse, doi: 10.7910/DVN/2DQ5KG.</x:v>
      </x:c>
    </x:row>
    <x:row r="499" ht="48" customHeight="1">
      <x:c r="A499" s="24" t="str">
        <x:v>P05-R015</x:v>
      </x:c>
      <x:c r="B499" s="24" t="str">
        <x:v>P05</x:v>
      </x:c>
      <x:c r="C499" s="26" t="n">
        <x:v>15</x:v>
      </x:c>
      <x:c r="D499" s="26" t="n">
        <x:v>51</x:v>
      </x:c>
      <x:c r="E499" s="26" t="n">
        <x:v>51</x:v>
      </x:c>
      <x:c r="F499" s="26" t="str">
        <x:v>Burress</x:v>
      </x:c>
      <x:c r="G499" s="26" t="n">
        <x:v>1994</x:v>
      </x:c>
      <x:c r="H499" s="25" t="str">
        <x:v>HomeomorphismbetweenLeontiefandCobb-Douglasinput-outputmodels</x:v>
      </x:c>
      <x:c r="I499" s="25" t="str"/>
      <x:c r="J499" s="25" t="str"/>
      <x:c r="K499" s="25" t="str">
        <x:v>prior_manual_sample</x:v>
      </x:c>
      <x:c r="L499" s="25" t="str">
        <x:v>accepted</x:v>
      </x:c>
      <x:c r="M499" s="25" t="str">
        <x:v>no</x:v>
      </x:c>
      <x:c r="N499" s="25" t="str">
        <x:v>saki_research/published_papers/bigio_lao_distortions_production_networks.pdf</x:v>
      </x:c>
      <x:c r="O499" s="25" t="str">
        <x:v>Burress,David. “HomeomorphismbetweenLeontiefandCobb-Douglasinput-outputmodels.” Economics Letters, 44(1994), 49–53.</x:v>
      </x:c>
    </x:row>
    <x:row r="500" ht="48" customHeight="1">
      <x:c r="A500" s="24" t="str">
        <x:v>P05-R016</x:v>
      </x:c>
      <x:c r="B500" s="24" t="str">
        <x:v>P05</x:v>
      </x:c>
      <x:c r="C500" s="26" t="n">
        <x:v>16</x:v>
      </x:c>
      <x:c r="D500" s="26" t="n">
        <x:v>51</x:v>
      </x:c>
      <x:c r="E500" s="26" t="n">
        <x:v>51</x:v>
      </x:c>
      <x:c r="F500" s="26" t="str">
        <x:v>Carvalho</x:v>
      </x:c>
      <x:c r="G500" s="26" t="n">
        <x:v>2013</x:v>
      </x:c>
      <x:c r="H500" s="25" t="str">
        <x:v>The Great Diversification and Its Undoing</x:v>
      </x:c>
      <x:c r="I500" s="25" t="str"/>
      <x:c r="J500" s="25" t="str"/>
      <x:c r="K500" s="25" t="str">
        <x:v>prior_manual_sample</x:v>
      </x:c>
      <x:c r="L500" s="25" t="str">
        <x:v>accepted</x:v>
      </x:c>
      <x:c r="M500" s="25" t="str">
        <x:v>no</x:v>
      </x:c>
      <x:c r="N500" s="25" t="str">
        <x:v>saki_research/published_papers/bigio_lao_distortions_production_networks.pdf</x:v>
      </x:c>
      <x:c r="O500" s="25" t="str">
        <x:v>Carvalho, Vasco and Xavier Gabaix. “The Great Diversification and Its Undoing.” American Economic Review, 103(2013), 1697–1727.</x:v>
      </x:c>
    </x:row>
    <x:row r="501" ht="48" customHeight="1">
      <x:c r="A501" s="24" t="str">
        <x:v>P05-R017</x:v>
      </x:c>
      <x:c r="B501" s="24" t="str">
        <x:v>P05</x:v>
      </x:c>
      <x:c r="C501" s="26" t="n">
        <x:v>17</x:v>
      </x:c>
      <x:c r="D501" s="26" t="n">
        <x:v>51</x:v>
      </x:c>
      <x:c r="E501" s="26" t="n">
        <x:v>51</x:v>
      </x:c>
      <x:c r="F501" s="26" t="str">
        <x:v>Carvalho</x:v>
      </x:c>
      <x:c r="G501" s="26" t="n">
        <x:v>2014</x:v>
      </x:c>
      <x:c r="H501" s="25" t="str">
        <x:v>From Micro to Macro via Production Networks</x:v>
      </x:c>
      <x:c r="I501" s="25" t="str"/>
      <x:c r="J501" s="25" t="str"/>
      <x:c r="K501" s="25" t="str">
        <x:v>automatic_screen_pass</x:v>
      </x:c>
      <x:c r="L501" s="25" t="str">
        <x:v>accepted</x:v>
      </x:c>
      <x:c r="M501" s="25" t="str">
        <x:v>no</x:v>
      </x:c>
      <x:c r="N501" s="25" t="str">
        <x:v>saki_research/published_papers/bigio_lao_distortions_production_networks.pdf</x:v>
      </x:c>
      <x:c r="O501" s="25" t="str">
        <x:v>Carvalho, Vasco M. “From Micro to Macro via Production Networks.” The Journal of Economic Perspectives, 28(2014), 23–47.</x:v>
      </x:c>
    </x:row>
    <x:row r="502" ht="48" customHeight="1">
      <x:c r="A502" s="24" t="str">
        <x:v>P05-R018</x:v>
      </x:c>
      <x:c r="B502" s="24" t="str">
        <x:v>P05</x:v>
      </x:c>
      <x:c r="C502" s="26" t="n">
        <x:v>18</x:v>
      </x:c>
      <x:c r="D502" s="26" t="n">
        <x:v>51</x:v>
      </x:c>
      <x:c r="E502" s="26" t="n">
        <x:v>51</x:v>
      </x:c>
      <x:c r="F502" s="26" t="str">
        <x:v>Carvalho</x:v>
      </x:c>
      <x:c r="G502" s="26" t="n">
        <x:v>2019</x:v>
      </x:c>
      <x:c r="H502" s="25" t="str">
        <x:v>ProductionNetworks: APrimer</x:v>
      </x:c>
      <x:c r="I502" s="25" t="str"/>
      <x:c r="J502" s="25" t="str"/>
      <x:c r="K502" s="25" t="str">
        <x:v>prior_manual_sample</x:v>
      </x:c>
      <x:c r="L502" s="25" t="str">
        <x:v>accepted</x:v>
      </x:c>
      <x:c r="M502" s="25" t="str">
        <x:v>no</x:v>
      </x:c>
      <x:c r="N502" s="25" t="str">
        <x:v>saki_research/published_papers/bigio_lao_distortions_production_networks.pdf</x:v>
      </x:c>
      <x:c r="O502" s="25" t="str">
        <x:v>Carvalho,VascoM.andAlirezaTahbaz-Salehi. “ProductionNetworks: APrimer.” AnnualReview of Economics, 11(2019), 635–663.</x:v>
      </x:c>
    </x:row>
    <x:row r="503" ht="48" customHeight="1">
      <x:c r="A503" s="24" t="str">
        <x:v>P05-R019</x:v>
      </x:c>
      <x:c r="B503" s="24" t="str">
        <x:v>P05</x:v>
      </x:c>
      <x:c r="C503" s="26" t="n">
        <x:v>19</x:v>
      </x:c>
      <x:c r="D503" s="26" t="n">
        <x:v>51</x:v>
      </x:c>
      <x:c r="E503" s="26" t="n">
        <x:v>51</x:v>
      </x:c>
      <x:c r="F503" s="26" t="str">
        <x:v>Chari</x:v>
      </x:c>
      <x:c r="G503" s="26" t="n">
        <x:v>2007</x:v>
      </x:c>
      <x:c r="H503" s="25" t="str">
        <x:v>Business Cycle Accounting</x:v>
      </x:c>
      <x:c r="I503" s="25" t="str"/>
      <x:c r="J503" s="25" t="str"/>
      <x:c r="K503" s="25" t="str">
        <x:v>automatic_screen_pass</x:v>
      </x:c>
      <x:c r="L503" s="25" t="str">
        <x:v>accepted</x:v>
      </x:c>
      <x:c r="M503" s="25" t="str">
        <x:v>no</x:v>
      </x:c>
      <x:c r="N503" s="25" t="str">
        <x:v>saki_research/published_papers/bigio_lao_distortions_production_networks.pdf</x:v>
      </x:c>
      <x:c r="O503" s="25" t="str">
        <x:v>Chari, V. V., Patrick J. Kehoe, and Ellen R. McGrattan. “Business Cycle Accounting.” Econometrica, 75(2007), 781–836.</x:v>
      </x:c>
    </x:row>
    <x:row r="504" ht="48" customHeight="1">
      <x:c r="A504" s="24" t="str">
        <x:v>P05-R020</x:v>
      </x:c>
      <x:c r="B504" s="24" t="str">
        <x:v>P05</x:v>
      </x:c>
      <x:c r="C504" s="26" t="n">
        <x:v>20</x:v>
      </x:c>
      <x:c r="D504" s="26" t="n">
        <x:v>51</x:v>
      </x:c>
      <x:c r="E504" s="26" t="n">
        <x:v>51</x:v>
      </x:c>
      <x:c r="F504" s="26" t="str">
        <x:v>Ciccone</x:v>
      </x:c>
      <x:c r="G504" s="26" t="n">
        <x:v>2002</x:v>
      </x:c>
      <x:c r="H504" s="25" t="str">
        <x:v>Input Chains and Industrialization</x:v>
      </x:c>
      <x:c r="I504" s="25" t="str"/>
      <x:c r="J504" s="25" t="str"/>
      <x:c r="K504" s="25" t="str">
        <x:v>automatic_screen_pass</x:v>
      </x:c>
      <x:c r="L504" s="25" t="str">
        <x:v>accepted</x:v>
      </x:c>
      <x:c r="M504" s="25" t="str">
        <x:v>no</x:v>
      </x:c>
      <x:c r="N504" s="25" t="str">
        <x:v>saki_research/published_papers/bigio_lao_distortions_production_networks.pdf</x:v>
      </x:c>
      <x:c r="O504" s="25" t="str">
        <x:v>Ciccone, Antonio. “Input Chains and Industrialization.” The Review of Economic Studies, 69(2002), 565–587.</x:v>
      </x:c>
    </x:row>
    <x:row r="505" ht="48" customHeight="1">
      <x:c r="A505" s="24" t="str">
        <x:v>P05-R021</x:v>
      </x:c>
      <x:c r="B505" s="24" t="str">
        <x:v>P05</x:v>
      </x:c>
      <x:c r="C505" s="26" t="n">
        <x:v>21</x:v>
      </x:c>
      <x:c r="D505" s="26" t="n">
        <x:v>51</x:v>
      </x:c>
      <x:c r="E505" s="26" t="n">
        <x:v>52</x:v>
      </x:c>
      <x:c r="F505" s="26" t="str">
        <x:v>Costello</x:v>
      </x:c>
      <x:c r="G505" s="26" t="n">
        <x:v>2020</x:v>
      </x:c>
      <x:c r="H505" s="25" t="str">
        <x:v>Credit Market Disruptions and Liquidity Spillover Effects in the Supply Chain</x:v>
      </x:c>
      <x:c r="I505" s="25" t="str"/>
      <x:c r="J505" s="25" t="str">
        <x:v>exhaustive_ai_audit_2026-09-17</x:v>
      </x:c>
      <x:c r="K505" s="25" t="str">
        <x:v>exhaustive_visual_correction</x:v>
      </x:c>
      <x:c r="L505" s="25" t="str">
        <x:v>corrected</x:v>
      </x:c>
      <x:c r="M505" s="25" t="str">
        <x:v>no</x:v>
      </x:c>
      <x:c r="N505" s="25" t="str">
        <x:v>saki_research/published_papers/bigio_lao_distortions_production_networks.pdf</x:v>
      </x:c>
      <x:c r="O505" s="25" t="str">
        <x:v>Costello, Anna Marie. “Credit Market Disruptions and Liquidity Spillover Effects in the Supply Chain.” Journal of Political Economy, forthcoming, (2020).</x:v>
      </x:c>
    </x:row>
    <x:row r="506" ht="48" customHeight="1">
      <x:c r="A506" s="24" t="str">
        <x:v>P05-R022</x:v>
      </x:c>
      <x:c r="B506" s="24" t="str">
        <x:v>P05</x:v>
      </x:c>
      <x:c r="C506" s="26" t="n">
        <x:v>22</x:v>
      </x:c>
      <x:c r="D506" s="26" t="n">
        <x:v>51</x:v>
      </x:c>
      <x:c r="E506" s="26" t="n">
        <x:v>52</x:v>
      </x:c>
      <x:c r="F506" s="26" t="str">
        <x:v>di Giovanni</x:v>
      </x:c>
      <x:c r="G506" s="26" t="n">
        <x:v>2014</x:v>
      </x:c>
      <x:c r="H506" s="25" t="str">
        <x:v>Firms, Destinations, and Aggregate Fluctuations</x:v>
      </x:c>
      <x:c r="I506" s="25" t="str"/>
      <x:c r="J506" s="25" t="str">
        <x:v>exhaustive_ai_audit_2026-09-17</x:v>
      </x:c>
      <x:c r="K506" s="25" t="str">
        <x:v>exhaustive_visual_correction</x:v>
      </x:c>
      <x:c r="L506" s="25" t="str">
        <x:v>corrected</x:v>
      </x:c>
      <x:c r="M506" s="25" t="str">
        <x:v>no</x:v>
      </x:c>
      <x:c r="N506" s="25" t="str">
        <x:v>saki_research/published_papers/bigio_lao_distortions_production_networks.pdf</x:v>
      </x:c>
      <x:c r="O506" s="25" t="str">
        <x:v>di Giovanni, Julian, Andrei A. Levchenko, and Isabelle Mejean. “Firms, Destinations, and Aggregate Fluctuations.” Econometrica, 82(2014), 1303–1340.</x:v>
      </x:c>
    </x:row>
    <x:row r="507" ht="48" customHeight="1">
      <x:c r="A507" s="24" t="str">
        <x:v>P05-R023</x:v>
      </x:c>
      <x:c r="B507" s="24" t="str">
        <x:v>P05</x:v>
      </x:c>
      <x:c r="C507" s="26" t="n">
        <x:v>23</x:v>
      </x:c>
      <x:c r="D507" s="26" t="n">
        <x:v>52</x:v>
      </x:c>
      <x:c r="E507" s="26" t="n">
        <x:v>52</x:v>
      </x:c>
      <x:c r="F507" s="26" t="str">
        <x:v>di Giovanni</x:v>
      </x:c>
      <x:c r="G507" s="26" t="n">
        <x:v>2018</x:v>
      </x:c>
      <x:c r="H507" s="25" t="str">
        <x:v>TheMicroOriginsofInternationalBusiness-CycleComovement</x:v>
      </x:c>
      <x:c r="I507" s="25" t="str">
        <x:v>inherited_author_notation</x:v>
      </x:c>
      <x:c r="J507" s="25" t="str">
        <x:v>C-027</x:v>
      </x:c>
      <x:c r="K507" s="25" t="str">
        <x:v>prior_manual_sample</x:v>
      </x:c>
      <x:c r="L507" s="25" t="str">
        <x:v>accepted</x:v>
      </x:c>
      <x:c r="M507" s="25" t="str">
        <x:v>no</x:v>
      </x:c>
      <x:c r="N507" s="25" t="str">
        <x:v>saki_research/published_papers/bigio_lao_distortions_production_networks.pdf</x:v>
      </x:c>
      <x:c r="O507" s="25" t="str">
        <x:v>———. “TheMicroOriginsofInternationalBusiness-CycleComovement.” AmericanEconomic Review, 108(2018), 82–108.</x:v>
      </x:c>
    </x:row>
    <x:row r="508" ht="48" customHeight="1">
      <x:c r="A508" s="24" t="str">
        <x:v>P05-R024</x:v>
      </x:c>
      <x:c r="B508" s="24" t="str">
        <x:v>P05</x:v>
      </x:c>
      <x:c r="C508" s="26" t="n">
        <x:v>24</x:v>
      </x:c>
      <x:c r="D508" s="26" t="n">
        <x:v>52</x:v>
      </x:c>
      <x:c r="E508" s="26" t="n">
        <x:v>52</x:v>
      </x:c>
      <x:c r="F508" s="26" t="str">
        <x:v>Diamond</x:v>
      </x:c>
      <x:c r="G508" s="26" t="n">
        <x:v>1971</x:v>
      </x:c>
      <x:c r="H508" s="25" t="str">
        <x:v>Optimal Taxation and Public Production I: Production Efficiency</x:v>
      </x:c>
      <x:c r="I508" s="25" t="str"/>
      <x:c r="J508" s="25" t="str"/>
      <x:c r="K508" s="25" t="str">
        <x:v>automatic_screen_pass</x:v>
      </x:c>
      <x:c r="L508" s="25" t="str">
        <x:v>accepted</x:v>
      </x:c>
      <x:c r="M508" s="25" t="str">
        <x:v>no</x:v>
      </x:c>
      <x:c r="N508" s="25" t="str">
        <x:v>saki_research/published_papers/bigio_lao_distortions_production_networks.pdf</x:v>
      </x:c>
      <x:c r="O508" s="25" t="str">
        <x:v>Diamond, Peter A. and James A. Mirrlees. “Optimal Taxation and Public Production I: Production Efficiency.” The American Economic Review, 61(1971), 8–27.</x:v>
      </x:c>
    </x:row>
    <x:row r="509" ht="48" customHeight="1">
      <x:c r="A509" s="24" t="str">
        <x:v>P05-R025</x:v>
      </x:c>
      <x:c r="B509" s="24" t="str">
        <x:v>P05</x:v>
      </x:c>
      <x:c r="C509" s="26" t="n">
        <x:v>25</x:v>
      </x:c>
      <x:c r="D509" s="26" t="n">
        <x:v>52</x:v>
      </x:c>
      <x:c r="E509" s="26" t="n">
        <x:v>52</x:v>
      </x:c>
      <x:c r="F509" s="26" t="str">
        <x:v>Dupor</x:v>
      </x:c>
      <x:c r="G509" s="26" t="n">
        <x:v>1999</x:v>
      </x:c>
      <x:c r="H509" s="25" t="str">
        <x:v>Aggregation and irrelevance in multi-sector models</x:v>
      </x:c>
      <x:c r="I509" s="25" t="str"/>
      <x:c r="J509" s="25" t="str"/>
      <x:c r="K509" s="25" t="str">
        <x:v>automatic_screen_pass</x:v>
      </x:c>
      <x:c r="L509" s="25" t="str">
        <x:v>accepted</x:v>
      </x:c>
      <x:c r="M509" s="25" t="str">
        <x:v>no</x:v>
      </x:c>
      <x:c r="N509" s="25" t="str">
        <x:v>saki_research/published_papers/bigio_lao_distortions_production_networks.pdf</x:v>
      </x:c>
      <x:c r="O509" s="25" t="str">
        <x:v>Dupor, Bill. “Aggregation and irrelevance in multi-sector models.” Journal of Monetary Economics, 43(1999), 391 – 409.</x:v>
      </x:c>
    </x:row>
    <x:row r="510" ht="48" customHeight="1">
      <x:c r="A510" s="24" t="str">
        <x:v>P05-R026</x:v>
      </x:c>
      <x:c r="B510" s="24" t="str">
        <x:v>P05</x:v>
      </x:c>
      <x:c r="C510" s="26" t="n">
        <x:v>26</x:v>
      </x:c>
      <x:c r="D510" s="26" t="n">
        <x:v>52</x:v>
      </x:c>
      <x:c r="E510" s="26" t="n">
        <x:v>52</x:v>
      </x:c>
      <x:c r="F510" s="26" t="str">
        <x:v>Foerster</x:v>
      </x:c>
      <x:c r="G510" s="26" t="n">
        <x:v>2011</x:v>
      </x:c>
      <x:c r="H510" s="25" t="str">
        <x:v>Sectoral versus Aggregate Shocks: A Structural Factor Analysis of Industrial Production</x:v>
      </x:c>
      <x:c r="I510" s="25" t="str"/>
      <x:c r="J510" s="25" t="str"/>
      <x:c r="K510" s="25" t="str">
        <x:v>automatic_screen_pass</x:v>
      </x:c>
      <x:c r="L510" s="25" t="str">
        <x:v>accepted</x:v>
      </x:c>
      <x:c r="M510" s="25" t="str">
        <x:v>no</x:v>
      </x:c>
      <x:c r="N510" s="25" t="str">
        <x:v>saki_research/published_papers/bigio_lao_distortions_production_networks.pdf</x:v>
      </x:c>
      <x:c r="O510" s="25" t="str">
        <x:v>Foerster, Andrew T., Pierre-Daniel G. Sarte, and Mark W. Watson. “Sectoral versus Aggregate Shocks: A Structural Factor Analysis of Industrial Production.” Journal of Political Economy, 119(2011), 1–38.</x:v>
      </x:c>
    </x:row>
    <x:row r="511" ht="48" customHeight="1">
      <x:c r="A511" s="24" t="str">
        <x:v>P05-R027</x:v>
      </x:c>
      <x:c r="B511" s="24" t="str">
        <x:v>P05</x:v>
      </x:c>
      <x:c r="C511" s="26" t="n">
        <x:v>27</x:v>
      </x:c>
      <x:c r="D511" s="26" t="n">
        <x:v>52</x:v>
      </x:c>
      <x:c r="E511" s="26" t="n">
        <x:v>52</x:v>
      </x:c>
      <x:c r="F511" s="26" t="str">
        <x:v>Gabaix</x:v>
      </x:c>
      <x:c r="G511" s="26" t="n">
        <x:v>2011</x:v>
      </x:c>
      <x:c r="H511" s="25" t="str">
        <x:v>TheGranularOriginsofAggregateFluctuations</x:v>
      </x:c>
      <x:c r="I511" s="25" t="str"/>
      <x:c r="J511" s="25" t="str"/>
      <x:c r="K511" s="25" t="str">
        <x:v>automatic_screen_pass</x:v>
      </x:c>
      <x:c r="L511" s="25" t="str">
        <x:v>accepted</x:v>
      </x:c>
      <x:c r="M511" s="25" t="str">
        <x:v>no</x:v>
      </x:c>
      <x:c r="N511" s="25" t="str">
        <x:v>saki_research/published_papers/bigio_lao_distortions_production_networks.pdf</x:v>
      </x:c>
      <x:c r="O511" s="25" t="str">
        <x:v>Gabaix,Xavier. “TheGranularOriginsofAggregateFluctuations.” Econometrica,79(2011),733– 772.</x:v>
      </x:c>
    </x:row>
    <x:row r="512" ht="48" customHeight="1">
      <x:c r="A512" s="24" t="str">
        <x:v>P05-R028</x:v>
      </x:c>
      <x:c r="B512" s="24" t="str">
        <x:v>P05</x:v>
      </x:c>
      <x:c r="C512" s="26" t="n">
        <x:v>28</x:v>
      </x:c>
      <x:c r="D512" s="26" t="n">
        <x:v>52</x:v>
      </x:c>
      <x:c r="E512" s="26" t="n">
        <x:v>52</x:v>
      </x:c>
      <x:c r="F512" s="26" t="str">
        <x:v>Gertler</x:v>
      </x:c>
      <x:c r="G512" s="26" t="n">
        <x:v>2011</x:v>
      </x:c>
      <x:c r="H512" s="25" t="str">
        <x:v>A model of unconventional monetary policy</x:v>
      </x:c>
      <x:c r="I512" s="25" t="str"/>
      <x:c r="J512" s="25" t="str"/>
      <x:c r="K512" s="25" t="str">
        <x:v>automatic_screen_pass</x:v>
      </x:c>
      <x:c r="L512" s="25" t="str">
        <x:v>accepted</x:v>
      </x:c>
      <x:c r="M512" s="25" t="str">
        <x:v>no</x:v>
      </x:c>
      <x:c r="N512" s="25" t="str">
        <x:v>saki_research/published_papers/bigio_lao_distortions_production_networks.pdf</x:v>
      </x:c>
      <x:c r="O512" s="25" t="str">
        <x:v>Gertler, Mark and Peter Karadi. “A model of unconventional monetary policy.” Journal of Monetary Economics, 58(2011), 17–34.</x:v>
      </x:c>
    </x:row>
    <x:row r="513" ht="48" customHeight="1">
      <x:c r="A513" s="24" t="str">
        <x:v>P05-R029</x:v>
      </x:c>
      <x:c r="B513" s="24" t="str">
        <x:v>P05</x:v>
      </x:c>
      <x:c r="C513" s="26" t="n">
        <x:v>29</x:v>
      </x:c>
      <x:c r="D513" s="26" t="n">
        <x:v>52</x:v>
      </x:c>
      <x:c r="E513" s="26" t="n">
        <x:v>52</x:v>
      </x:c>
      <x:c r="F513" s="26" t="str">
        <x:v>Gilchrist</x:v>
      </x:c>
      <x:c r="G513" s="26" t="n">
        <x:v>2012</x:v>
      </x:c>
      <x:c r="H513" s="25" t="str">
        <x:v>Credit Spreads and Business Cycle Fluctuations</x:v>
      </x:c>
      <x:c r="I513" s="25" t="str"/>
      <x:c r="J513" s="25" t="str"/>
      <x:c r="K513" s="25" t="str">
        <x:v>automatic_screen_pass</x:v>
      </x:c>
      <x:c r="L513" s="25" t="str">
        <x:v>accepted</x:v>
      </x:c>
      <x:c r="M513" s="25" t="str">
        <x:v>no</x:v>
      </x:c>
      <x:c r="N513" s="25" t="str">
        <x:v>saki_research/published_papers/bigio_lao_distortions_production_networks.pdf</x:v>
      </x:c>
      <x:c r="O513" s="25" t="str">
        <x:v>Gilchrist, Simon and Egon Zakrajˇsek. “Credit Spreads and Business Cycle Fluctuations.” American Economic Review, 102(2012), 1692–1720.</x:v>
      </x:c>
    </x:row>
    <x:row r="514" ht="48" customHeight="1">
      <x:c r="A514" s="24" t="str">
        <x:v>P05-R030</x:v>
      </x:c>
      <x:c r="B514" s="24" t="str">
        <x:v>P05</x:v>
      </x:c>
      <x:c r="C514" s="26" t="n">
        <x:v>30</x:v>
      </x:c>
      <x:c r="D514" s="26" t="n">
        <x:v>52</x:v>
      </x:c>
      <x:c r="E514" s="26" t="n">
        <x:v>52</x:v>
      </x:c>
      <x:c r="F514" s="26" t="str">
        <x:v>Hall</x:v>
      </x:c>
      <x:c r="G514" s="26" t="n">
        <x:v>1997</x:v>
      </x:c>
      <x:c r="H514" s="25" t="str">
        <x:v>Macroeconomic Fluctuations and the Allocation of Time</x:v>
      </x:c>
      <x:c r="I514" s="25" t="str"/>
      <x:c r="J514" s="25" t="str"/>
      <x:c r="K514" s="25" t="str">
        <x:v>automatic_screen_pass</x:v>
      </x:c>
      <x:c r="L514" s="25" t="str">
        <x:v>accepted</x:v>
      </x:c>
      <x:c r="M514" s="25" t="str">
        <x:v>no</x:v>
      </x:c>
      <x:c r="N514" s="25" t="str">
        <x:v>saki_research/published_papers/bigio_lao_distortions_production_networks.pdf</x:v>
      </x:c>
      <x:c r="O514" s="25" t="str">
        <x:v>Hall, Robert E. “Macroeconomic Fluctuations and the Allocation of Time.” Journal of Labor Economics, 15(1997), pp. S223–S250.</x:v>
      </x:c>
    </x:row>
    <x:row r="515" ht="48" customHeight="1">
      <x:c r="A515" s="24" t="str">
        <x:v>P05-R031</x:v>
      </x:c>
      <x:c r="B515" s="24" t="str">
        <x:v>P05</x:v>
      </x:c>
      <x:c r="C515" s="26" t="n">
        <x:v>31</x:v>
      </x:c>
      <x:c r="D515" s="26" t="n">
        <x:v>52</x:v>
      </x:c>
      <x:c r="E515" s="26" t="n">
        <x:v>52</x:v>
      </x:c>
      <x:c r="F515" s="26" t="str">
        <x:v>Horvath</x:v>
      </x:c>
      <x:c r="G515" s="26" t="n">
        <x:v>1998</x:v>
      </x:c>
      <x:c r="H515" s="25" t="str">
        <x:v>CyclicalityandSectoralLinkages: AggregateFluctuationsfromIndependent Sectoral Shocks</x:v>
      </x:c>
      <x:c r="I515" s="25" t="str"/>
      <x:c r="J515" s="25" t="str"/>
      <x:c r="K515" s="25" t="str">
        <x:v>prior_manual_sample</x:v>
      </x:c>
      <x:c r="L515" s="25" t="str">
        <x:v>accepted</x:v>
      </x:c>
      <x:c r="M515" s="25" t="str">
        <x:v>no</x:v>
      </x:c>
      <x:c r="N515" s="25" t="str">
        <x:v>saki_research/published_papers/bigio_lao_distortions_production_networks.pdf</x:v>
      </x:c>
      <x:c r="O515" s="25" t="str">
        <x:v>Horvath,Michael. “CyclicalityandSectoralLinkages: AggregateFluctuationsfromIndependent Sectoral Shocks.” Review of Economic Dynamics, 1(1998), 781 – 808.</x:v>
      </x:c>
    </x:row>
    <x:row r="516" ht="48" customHeight="1">
      <x:c r="A516" s="24" t="str">
        <x:v>P05-R032</x:v>
      </x:c>
      <x:c r="B516" s="24" t="str">
        <x:v>P05</x:v>
      </x:c>
      <x:c r="C516" s="26" t="n">
        <x:v>32</x:v>
      </x:c>
      <x:c r="D516" s="26" t="n">
        <x:v>52</x:v>
      </x:c>
      <x:c r="E516" s="26" t="n">
        <x:v>52</x:v>
      </x:c>
      <x:c r="F516" s="26" t="str">
        <x:v>Horvath</x:v>
      </x:c>
      <x:c r="G516" s="26" t="n">
        <x:v>2000</x:v>
      </x:c>
      <x:c r="H516" s="25" t="str">
        <x:v>Sectoralshocksandaggregatefluctuations</x:v>
      </x:c>
      <x:c r="I516" s="25" t="str">
        <x:v>inherited_author_notation</x:v>
      </x:c>
      <x:c r="J516" s="25" t="str"/>
      <x:c r="K516" s="25" t="str">
        <x:v>automatic_screen_pass</x:v>
      </x:c>
      <x:c r="L516" s="25" t="str">
        <x:v>accepted</x:v>
      </x:c>
      <x:c r="M516" s="25" t="str">
        <x:v>no</x:v>
      </x:c>
      <x:c r="N516" s="25" t="str">
        <x:v>saki_research/published_papers/bigio_lao_distortions_production_networks.pdf</x:v>
      </x:c>
      <x:c r="O516" s="25" t="str">
        <x:v>———. “Sectoralshocksandaggregatefluctuations.” JournalofMonetaryEconomics,45(2000), 69 – 106.</x:v>
      </x:c>
    </x:row>
    <x:row r="517" ht="48" customHeight="1">
      <x:c r="A517" s="24" t="str">
        <x:v>P05-R033</x:v>
      </x:c>
      <x:c r="B517" s="24" t="str">
        <x:v>P05</x:v>
      </x:c>
      <x:c r="C517" s="26" t="n">
        <x:v>33</x:v>
      </x:c>
      <x:c r="D517" s="26" t="n">
        <x:v>52</x:v>
      </x:c>
      <x:c r="E517" s="26" t="n">
        <x:v>52</x:v>
      </x:c>
      <x:c r="F517" s="26" t="str">
        <x:v>Hsieh</x:v>
      </x:c>
      <x:c r="G517" s="26" t="n">
        <x:v>2009</x:v>
      </x:c>
      <x:c r="H517" s="25" t="str">
        <x:v>Misallocation and Manufacturing TFP in China and India</x:v>
      </x:c>
      <x:c r="I517" s="25" t="str"/>
      <x:c r="J517" s="25" t="str"/>
      <x:c r="K517" s="25" t="str">
        <x:v>automatic_screen_pass</x:v>
      </x:c>
      <x:c r="L517" s="25" t="str">
        <x:v>accepted</x:v>
      </x:c>
      <x:c r="M517" s="25" t="str">
        <x:v>no</x:v>
      </x:c>
      <x:c r="N517" s="25" t="str">
        <x:v>saki_research/published_papers/bigio_lao_distortions_production_networks.pdf</x:v>
      </x:c>
      <x:c r="O517" s="25" t="str">
        <x:v>Hsieh, Chang-Tai and Peter J. Klenow. “Misallocation and Manufacturing TFP in China and India.” The Quarterly Journal of Economics, 124(2009), 1403–1448.</x:v>
      </x:c>
    </x:row>
    <x:row r="518" ht="48" customHeight="1">
      <x:c r="A518" s="24" t="str">
        <x:v>P05-R034</x:v>
      </x:c>
      <x:c r="B518" s="24" t="str">
        <x:v>P05</x:v>
      </x:c>
      <x:c r="C518" s="26" t="n">
        <x:v>34</x:v>
      </x:c>
      <x:c r="D518" s="26" t="n">
        <x:v>52</x:v>
      </x:c>
      <x:c r="E518" s="26" t="n">
        <x:v>52</x:v>
      </x:c>
      <x:c r="F518" s="26" t="str">
        <x:v>Hulten</x:v>
      </x:c>
      <x:c r="G518" s="26" t="n">
        <x:v>1978</x:v>
      </x:c>
      <x:c r="H518" s="25" t="str">
        <x:v>Growth Accounting with Intermediate Inputs</x:v>
      </x:c>
      <x:c r="I518" s="25" t="str"/>
      <x:c r="J518" s="25" t="str"/>
      <x:c r="K518" s="25" t="str">
        <x:v>automatic_screen_pass</x:v>
      </x:c>
      <x:c r="L518" s="25" t="str">
        <x:v>accepted</x:v>
      </x:c>
      <x:c r="M518" s="25" t="str">
        <x:v>no</x:v>
      </x:c>
      <x:c r="N518" s="25" t="str">
        <x:v>saki_research/published_papers/bigio_lao_distortions_production_networks.pdf</x:v>
      </x:c>
      <x:c r="O518" s="25" t="str">
        <x:v>Hulten, Charles R. “Growth Accounting with Intermediate Inputs.” The Review of Economic Studies, 45(1978), pp. 511–518.</x:v>
      </x:c>
    </x:row>
    <x:row r="519" ht="48" customHeight="1">
      <x:c r="A519" s="24" t="str">
        <x:v>P05-R035</x:v>
      </x:c>
      <x:c r="B519" s="24" t="str">
        <x:v>P05</x:v>
      </x:c>
      <x:c r="C519" s="26" t="n">
        <x:v>35</x:v>
      </x:c>
      <x:c r="D519" s="26" t="n">
        <x:v>52</x:v>
      </x:c>
      <x:c r="E519" s="26" t="n">
        <x:v>52</x:v>
      </x:c>
      <x:c r="F519" s="26" t="str">
        <x:v>Jermann</x:v>
      </x:c>
      <x:c r="G519" s="26" t="n">
        <x:v>2012</x:v>
      </x:c>
      <x:c r="H519" s="25" t="str">
        <x:v>Macroeconomic Effects of Financial Shocks</x:v>
      </x:c>
      <x:c r="I519" s="25" t="str"/>
      <x:c r="J519" s="25" t="str"/>
      <x:c r="K519" s="25" t="str">
        <x:v>prior_manual_sample</x:v>
      </x:c>
      <x:c r="L519" s="25" t="str">
        <x:v>accepted</x:v>
      </x:c>
      <x:c r="M519" s="25" t="str">
        <x:v>no</x:v>
      </x:c>
      <x:c r="N519" s="25" t="str">
        <x:v>saki_research/published_papers/bigio_lao_distortions_production_networks.pdf</x:v>
      </x:c>
      <x:c r="O519" s="25" t="str">
        <x:v>Jermann, Urban and Vincenzo Quadrini. “Macroeconomic Effects of Financial Shocks.” American Economic Review, 102(2012), 238–71.</x:v>
      </x:c>
    </x:row>
    <x:row r="520" ht="48" customHeight="1">
      <x:c r="A520" s="24" t="str">
        <x:v>P05-R036</x:v>
      </x:c>
      <x:c r="B520" s="24" t="str">
        <x:v>P05</x:v>
      </x:c>
      <x:c r="C520" s="26" t="n">
        <x:v>36</x:v>
      </x:c>
      <x:c r="D520" s="26" t="n">
        <x:v>53</x:v>
      </x:c>
      <x:c r="E520" s="26" t="n">
        <x:v>53</x:v>
      </x:c>
      <x:c r="F520" s="26" t="str">
        <x:v>Jones</x:v>
      </x:c>
      <x:c r="G520" s="26" t="n">
        <x:v>2011</x:v>
      </x:c>
      <x:c r="H520" s="25" t="str">
        <x:v>Intermediate Goods and Weak Links in the Theory of Economic Development</x:v>
      </x:c>
      <x:c r="I520" s="25" t="str"/>
      <x:c r="J520" s="25" t="str"/>
      <x:c r="K520" s="25" t="str">
        <x:v>prior_manual_sample</x:v>
      </x:c>
      <x:c r="L520" s="25" t="str">
        <x:v>accepted</x:v>
      </x:c>
      <x:c r="M520" s="25" t="str">
        <x:v>no</x:v>
      </x:c>
      <x:c r="N520" s="25" t="str">
        <x:v>saki_research/published_papers/bigio_lao_distortions_production_networks.pdf</x:v>
      </x:c>
      <x:c r="O520" s="25" t="str">
        <x:v>Jones, Charles I. “Intermediate Goods and Weak Links in the Theory of Economic Development.” American Economic Journal: Macroeconomics, 3(2011), pp. 1–28.</x:v>
      </x:c>
    </x:row>
    <x:row r="521" ht="48" customHeight="1">
      <x:c r="A521" s="24" t="str">
        <x:v>P05-R037</x:v>
      </x:c>
      <x:c r="B521" s="24" t="str">
        <x:v>P05</x:v>
      </x:c>
      <x:c r="C521" s="26" t="n">
        <x:v>37</x:v>
      </x:c>
      <x:c r="D521" s="26" t="n">
        <x:v>53</x:v>
      </x:c>
      <x:c r="E521" s="26" t="n">
        <x:v>53</x:v>
      </x:c>
      <x:c r="F521" s="26" t="str">
        <x:v>Jones</x:v>
      </x:c>
      <x:c r="G521" s="26" t="n">
        <x:v>2013</x:v>
      </x:c>
      <x:c r="H521" s="25" t="str">
        <x:v>Misallocation, Economic Growth, and Input-Output Economies</x:v>
      </x:c>
      <x:c r="I521" s="25" t="str">
        <x:v>inherited_author_notation</x:v>
      </x:c>
      <x:c r="J521" s="25" t="str"/>
      <x:c r="K521" s="25" t="str">
        <x:v>exhaustive_visual_multiwork_pattern_accepted</x:v>
      </x:c>
      <x:c r="L521" s="25" t="str">
        <x:v>accepted</x:v>
      </x:c>
      <x:c r="M521" s="25" t="str">
        <x:v>sí</x:v>
      </x:c>
      <x:c r="N521" s="25" t="str">
        <x:v>saki_research/published_papers/bigio_lao_distortions_production_networks.pdf</x:v>
      </x:c>
      <x:c r="O521" s="25" t="str">
        <x:v>———. “Misallocation, Economic Growth, and Input-Output Economies.” In “Advances in EconomicsandEconometrics,TenthWorldCongress,VolumeII,”CambridgeUniversityPress (2013).</x:v>
      </x:c>
    </x:row>
    <x:row r="522" ht="48" customHeight="1">
      <x:c r="A522" s="24" t="str">
        <x:v>P05-R038</x:v>
      </x:c>
      <x:c r="B522" s="24" t="str">
        <x:v>P05</x:v>
      </x:c>
      <x:c r="C522" s="26" t="n">
        <x:v>38</x:v>
      </x:c>
      <x:c r="D522" s="26" t="n">
        <x:v>53</x:v>
      </x:c>
      <x:c r="E522" s="26" t="n">
        <x:v>53</x:v>
      </x:c>
      <x:c r="F522" s="26" t="str">
        <x:v>Karabarbounis</x:v>
      </x:c>
      <x:c r="G522" s="26" t="n">
        <x:v>2014</x:v>
      </x:c>
      <x:c r="H522" s="25" t="str">
        <x:v>The Labor Wedge: MRS vs. MPN</x:v>
      </x:c>
      <x:c r="I522" s="25" t="str"/>
      <x:c r="J522" s="25" t="str"/>
      <x:c r="K522" s="25" t="str">
        <x:v>automatic_screen_pass</x:v>
      </x:c>
      <x:c r="L522" s="25" t="str">
        <x:v>accepted</x:v>
      </x:c>
      <x:c r="M522" s="25" t="str">
        <x:v>no</x:v>
      </x:c>
      <x:c r="N522" s="25" t="str">
        <x:v>saki_research/published_papers/bigio_lao_distortions_production_networks.pdf</x:v>
      </x:c>
      <x:c r="O522" s="25" t="str">
        <x:v>Karabarbounis, Loukas. “The Labor Wedge: MRS vs. MPN.” Review of Economic Dynamics, 17(2014), 206–223.</x:v>
      </x:c>
    </x:row>
    <x:row r="523" ht="48" customHeight="1">
      <x:c r="A523" s="24" t="str">
        <x:v>P05-R039</x:v>
      </x:c>
      <x:c r="B523" s="24" t="str">
        <x:v>P05</x:v>
      </x:c>
      <x:c r="C523" s="26" t="n">
        <x:v>39</x:v>
      </x:c>
      <x:c r="D523" s="26" t="n">
        <x:v>53</x:v>
      </x:c>
      <x:c r="E523" s="26" t="n">
        <x:v>53</x:v>
      </x:c>
      <x:c r="F523" s="26" t="str">
        <x:v>Kiyotaki</x:v>
      </x:c>
      <x:c r="G523" s="26" t="n">
        <x:v>1997</x:v>
      </x:c>
      <x:c r="H523" s="25" t="str">
        <x:v>Credit Cycles</x:v>
      </x:c>
      <x:c r="I523" s="25" t="str"/>
      <x:c r="J523" s="25" t="str"/>
      <x:c r="K523" s="25" t="str">
        <x:v>automatic_screen_pass</x:v>
      </x:c>
      <x:c r="L523" s="25" t="str">
        <x:v>accepted</x:v>
      </x:c>
      <x:c r="M523" s="25" t="str">
        <x:v>no</x:v>
      </x:c>
      <x:c r="N523" s="25" t="str">
        <x:v>saki_research/published_papers/bigio_lao_distortions_production_networks.pdf</x:v>
      </x:c>
      <x:c r="O523" s="25" t="str">
        <x:v>Kiyotaki, Nobuhiro and John Moore. “Credit Cycles.” Journal of Political Economy, 105(1997), 211–48.</x:v>
      </x:c>
    </x:row>
    <x:row r="524" ht="48" customHeight="1">
      <x:c r="A524" s="24" t="str">
        <x:v>P05-R040</x:v>
      </x:c>
      <x:c r="B524" s="24" t="str">
        <x:v>P05</x:v>
      </x:c>
      <x:c r="C524" s="26" t="n">
        <x:v>40</x:v>
      </x:c>
      <x:c r="D524" s="26" t="n">
        <x:v>53</x:v>
      </x:c>
      <x:c r="E524" s="26" t="n">
        <x:v>53</x:v>
      </x:c>
      <x:c r="F524" s="26" t="str">
        <x:v>Liu</x:v>
      </x:c>
      <x:c r="G524" s="26" t="n">
        <x:v>2019</x:v>
      </x:c>
      <x:c r="H524" s="25" t="str">
        <x:v>Industrial Policies in Production Networks</x:v>
      </x:c>
      <x:c r="I524" s="25" t="str"/>
      <x:c r="J524" s="25" t="str"/>
      <x:c r="K524" s="25" t="str">
        <x:v>exhaustive_visual_multiwork_pattern_accepted</x:v>
      </x:c>
      <x:c r="L524" s="25" t="str">
        <x:v>accepted</x:v>
      </x:c>
      <x:c r="M524" s="25" t="str">
        <x:v>sí</x:v>
      </x:c>
      <x:c r="N524" s="25" t="str">
        <x:v>saki_research/published_papers/bigio_lao_distortions_production_networks.pdf</x:v>
      </x:c>
      <x:c r="O524" s="25" t="str">
        <x:v>Liu, Ernest. “Industrial Policies in Production Networks.” The Quarterly Journal of Economics, 134(2019), 1883–1948.</x:v>
      </x:c>
    </x:row>
    <x:row r="525" ht="48" customHeight="1">
      <x:c r="A525" s="24" t="str">
        <x:v>P05-R041</x:v>
      </x:c>
      <x:c r="B525" s="24" t="str">
        <x:v>P05</x:v>
      </x:c>
      <x:c r="C525" s="26" t="n">
        <x:v>41</x:v>
      </x:c>
      <x:c r="D525" s="26" t="n">
        <x:v>53</x:v>
      </x:c>
      <x:c r="E525" s="26" t="n">
        <x:v>53</x:v>
      </x:c>
      <x:c r="F525" s="26" t="str">
        <x:v>Long</x:v>
      </x:c>
      <x:c r="G525" s="26" t="n">
        <x:v>1983</x:v>
      </x:c>
      <x:c r="H525" s="25" t="str">
        <x:v>Real Business Cycles</x:v>
      </x:c>
      <x:c r="I525" s="25" t="str"/>
      <x:c r="J525" s="25" t="str"/>
      <x:c r="K525" s="25" t="str">
        <x:v>automatic_screen_pass</x:v>
      </x:c>
      <x:c r="L525" s="25" t="str">
        <x:v>accepted</x:v>
      </x:c>
      <x:c r="M525" s="25" t="str">
        <x:v>no</x:v>
      </x:c>
      <x:c r="N525" s="25" t="str">
        <x:v>saki_research/published_papers/bigio_lao_distortions_production_networks.pdf</x:v>
      </x:c>
      <x:c r="O525" s="25" t="str">
        <x:v>Long, John B. Jr and Charles I Plosser. “Real Business Cycles.” Journal of Political Economy, 91(1983), 39–69.</x:v>
      </x:c>
    </x:row>
    <x:row r="526" ht="48" customHeight="1">
      <x:c r="A526" s="24" t="str">
        <x:v>P05-R042</x:v>
      </x:c>
      <x:c r="B526" s="24" t="str">
        <x:v>P05</x:v>
      </x:c>
      <x:c r="C526" s="26" t="n">
        <x:v>42</x:v>
      </x:c>
      <x:c r="D526" s="26" t="n">
        <x:v>53</x:v>
      </x:c>
      <x:c r="E526" s="26" t="n">
        <x:v>53</x:v>
      </x:c>
      <x:c r="F526" s="26" t="str">
        <x:v>Luo</x:v>
      </x:c>
      <x:c r="G526" s="26" t="n">
        <x:v>2020</x:v>
      </x:c>
      <x:c r="H526" s="25" t="str">
        <x:v>Propagation of Financial Shocks in an Input-Output Economy with Trade and Financial Linkages of Firms</x:v>
      </x:c>
      <x:c r="I526" s="25" t="str"/>
      <x:c r="J526" s="25" t="str"/>
      <x:c r="K526" s="25" t="str">
        <x:v>automatic_screen_pass</x:v>
      </x:c>
      <x:c r="L526" s="25" t="str">
        <x:v>accepted</x:v>
      </x:c>
      <x:c r="M526" s="25" t="str">
        <x:v>no</x:v>
      </x:c>
      <x:c r="N526" s="25" t="str">
        <x:v>saki_research/published_papers/bigio_lao_distortions_production_networks.pdf</x:v>
      </x:c>
      <x:c r="O526" s="25" t="str">
        <x:v>Luo, Shaowen. “Propagation of Financial Shocks in an Input-Output Economy with Trade and Financial Linkages of Firms.” Review of Economic Dynamics, 36(2020), 246–269.</x:v>
      </x:c>
    </x:row>
    <x:row r="527" ht="48" customHeight="1">
      <x:c r="A527" s="24" t="str">
        <x:v>P05-R043</x:v>
      </x:c>
      <x:c r="B527" s="24" t="str">
        <x:v>P05</x:v>
      </x:c>
      <x:c r="C527" s="26" t="n">
        <x:v>43</x:v>
      </x:c>
      <x:c r="D527" s="26" t="n">
        <x:v>53</x:v>
      </x:c>
      <x:c r="E527" s="26" t="n">
        <x:v>53</x:v>
      </x:c>
      <x:c r="F527" s="26" t="str">
        <x:v>Merton</x:v>
      </x:c>
      <x:c r="G527" s="26" t="n">
        <x:v>1974</x:v>
      </x:c>
      <x:c r="H527" s="25" t="str">
        <x:v>On the pricing of corporate debt: the risk structure of interest rates</x:v>
      </x:c>
      <x:c r="I527" s="25" t="str"/>
      <x:c r="J527" s="25" t="str"/>
      <x:c r="K527" s="25" t="str">
        <x:v>automatic_screen_pass</x:v>
      </x:c>
      <x:c r="L527" s="25" t="str">
        <x:v>accepted</x:v>
      </x:c>
      <x:c r="M527" s="25" t="str">
        <x:v>no</x:v>
      </x:c>
      <x:c r="N527" s="25" t="str">
        <x:v>saki_research/published_papers/bigio_lao_distortions_production_networks.pdf</x:v>
      </x:c>
      <x:c r="O527" s="25" t="str">
        <x:v>Merton, Robert C. “On the pricing of corporate debt: the risk structure of interest rates.” The Journal of Finance, 29(1974), 449–470.</x:v>
      </x:c>
    </x:row>
    <x:row r="528" ht="48" customHeight="1">
      <x:c r="A528" s="24" t="str">
        <x:v>P05-R044</x:v>
      </x:c>
      <x:c r="B528" s="24" t="str">
        <x:v>P05</x:v>
      </x:c>
      <x:c r="C528" s="26" t="n">
        <x:v>44</x:v>
      </x:c>
      <x:c r="D528" s="26" t="n">
        <x:v>53</x:v>
      </x:c>
      <x:c r="E528" s="26" t="n">
        <x:v>53</x:v>
      </x:c>
      <x:c r="F528" s="26" t="str">
        <x:v>Reischer</x:v>
      </x:c>
      <x:c r="G528" s="26" t="n">
        <x:v>2019</x:v>
      </x:c>
      <x:c r="H528" s="25" t="str">
        <x:v>Finance-Thy-Neighbor: Trade Credit Origins of Aggregate Fluctuations</x:v>
      </x:c>
      <x:c r="I528" s="25" t="str"/>
      <x:c r="J528" s="25" t="str"/>
      <x:c r="K528" s="25" t="str">
        <x:v>automatic_screen_pass</x:v>
      </x:c>
      <x:c r="L528" s="25" t="str">
        <x:v>accepted</x:v>
      </x:c>
      <x:c r="M528" s="25" t="str">
        <x:v>no</x:v>
      </x:c>
      <x:c r="N528" s="25" t="str">
        <x:v>saki_research/published_papers/bigio_lao_distortions_production_networks.pdf</x:v>
      </x:c>
      <x:c r="O528" s="25" t="str">
        <x:v>Reischer, Margit. “Finance-Thy-Neighbor: Trade Credit Origins of Aggregate Fluctuations.” (2019). University of Cambridge Job Market Paper.</x:v>
      </x:c>
    </x:row>
    <x:row r="529" ht="48" customHeight="1">
      <x:c r="A529" s="24" t="str">
        <x:v>P05-R045</x:v>
      </x:c>
      <x:c r="B529" s="24" t="str">
        <x:v>P05</x:v>
      </x:c>
      <x:c r="C529" s="26" t="n">
        <x:v>45</x:v>
      </x:c>
      <x:c r="D529" s="26" t="n">
        <x:v>53</x:v>
      </x:c>
      <x:c r="E529" s="26" t="n">
        <x:v>53</x:v>
      </x:c>
      <x:c r="F529" s="26" t="str">
        <x:v>Restuccia</x:v>
      </x:c>
      <x:c r="G529" s="26" t="n">
        <x:v>2008</x:v>
      </x:c>
      <x:c r="H529" s="25" t="str">
        <x:v>Policy Distortions and Aggregate Productivity with Heterogeneous Plants</x:v>
      </x:c>
      <x:c r="I529" s="25" t="str"/>
      <x:c r="J529" s="25" t="str"/>
      <x:c r="K529" s="25" t="str">
        <x:v>automatic_screen_pass</x:v>
      </x:c>
      <x:c r="L529" s="25" t="str">
        <x:v>accepted</x:v>
      </x:c>
      <x:c r="M529" s="25" t="str">
        <x:v>no</x:v>
      </x:c>
      <x:c r="N529" s="25" t="str">
        <x:v>saki_research/published_papers/bigio_lao_distortions_production_networks.pdf</x:v>
      </x:c>
      <x:c r="O529" s="25" t="str">
        <x:v>Restuccia, Diego and Richard Rogerson. “Policy Distortions and Aggregate Productivity with Heterogeneous Plants.” Review of Economic Dynamics, 11(2008), 707–720.</x:v>
      </x:c>
    </x:row>
    <x:row r="530" ht="48" customHeight="1">
      <x:c r="A530" s="24" t="str">
        <x:v>P05-R046</x:v>
      </x:c>
      <x:c r="B530" s="24" t="str">
        <x:v>P05</x:v>
      </x:c>
      <x:c r="C530" s="26" t="n">
        <x:v>46</x:v>
      </x:c>
      <x:c r="D530" s="26" t="n">
        <x:v>53</x:v>
      </x:c>
      <x:c r="E530" s="26" t="n">
        <x:v>53</x:v>
      </x:c>
      <x:c r="F530" s="26" t="str">
        <x:v>Rotemberg</x:v>
      </x:c>
      <x:c r="G530" s="26" t="n">
        <x:v>1999</x:v>
      </x:c>
      <x:c r="H530" s="25" t="str">
        <x:v>The cyclical behavior of prices and costs</x:v>
      </x:c>
      <x:c r="I530" s="25" t="str"/>
      <x:c r="J530" s="25" t="str"/>
      <x:c r="K530" s="25" t="str">
        <x:v>exhaustive_visual_multiwork_pattern_accepted</x:v>
      </x:c>
      <x:c r="L530" s="25" t="str">
        <x:v>accepted</x:v>
      </x:c>
      <x:c r="M530" s="25" t="str">
        <x:v>sí</x:v>
      </x:c>
      <x:c r="N530" s="25" t="str">
        <x:v>saki_research/published_papers/bigio_lao_distortions_production_networks.pdf</x:v>
      </x:c>
      <x:c r="O530" s="25" t="str">
        <x:v>Rotemberg, Julio J. and Michael Woodford. “The cyclical behavior of prices and costs.” In J. B. Taylorand M.Woodford, editors, “Handbook ofMacroeconomics,” volume1 ofHandbookof Macroeconomics, chapter 16. Elsevier (1999). 1051–1135.</x:v>
      </x:c>
    </x:row>
    <x:row r="531" ht="48" customHeight="1">
      <x:c r="A531" s="24" t="str">
        <x:v>P05-R047</x:v>
      </x:c>
      <x:c r="B531" s="24" t="str">
        <x:v>P05</x:v>
      </x:c>
      <x:c r="C531" s="26" t="n">
        <x:v>47</x:v>
      </x:c>
      <x:c r="D531" s="26" t="n">
        <x:v>53</x:v>
      </x:c>
      <x:c r="E531" s="26" t="n">
        <x:v>53</x:v>
      </x:c>
      <x:c r="F531" s="26" t="str">
        <x:v>Shimer</x:v>
      </x:c>
      <x:c r="G531" s="26" t="n">
        <x:v>2009</x:v>
      </x:c>
      <x:c r="H531" s="25" t="str">
        <x:v>Convergence in Macroeconomics: The Labor Wedge</x:v>
      </x:c>
      <x:c r="I531" s="25" t="str"/>
      <x:c r="J531" s="25" t="str"/>
      <x:c r="K531" s="25" t="str">
        <x:v>automatic_screen_pass</x:v>
      </x:c>
      <x:c r="L531" s="25" t="str">
        <x:v>accepted</x:v>
      </x:c>
      <x:c r="M531" s="25" t="str">
        <x:v>no</x:v>
      </x:c>
      <x:c r="N531" s="25" t="str">
        <x:v>saki_research/published_papers/bigio_lao_distortions_production_networks.pdf</x:v>
      </x:c>
      <x:c r="O531" s="25" t="str">
        <x:v>Shimer, Robert. “Convergence in Macroeconomics: The Labor Wedge.” American Economic Journal: Macroeconomics, 1(2009), 280–97.</x:v>
      </x:c>
    </x:row>
    <x:row r="532" ht="48" customHeight="1">
      <x:c r="A532" s="24" t="str">
        <x:v>P05-R048</x:v>
      </x:c>
      <x:c r="B532" s="24" t="str">
        <x:v>P05</x:v>
      </x:c>
      <x:c r="C532" s="26" t="n">
        <x:v>48</x:v>
      </x:c>
      <x:c r="D532" s="26" t="n">
        <x:v>53</x:v>
      </x:c>
      <x:c r="E532" s="26" t="n">
        <x:v>53</x:v>
      </x:c>
      <x:c r="F532" s="26" t="str">
        <x:v>Yi</x:v>
      </x:c>
      <x:c r="G532" s="26" t="n">
        <x:v>2003</x:v>
      </x:c>
      <x:c r="H532" s="25" t="str">
        <x:v>CanVerticalSpecializationExplaintheGrowthofWorldTrade?</x:v>
      </x:c>
      <x:c r="I532" s="25" t="str"/>
      <x:c r="J532" s="25" t="str"/>
      <x:c r="K532" s="25" t="str">
        <x:v>automatic_screen_pass</x:v>
      </x:c>
      <x:c r="L532" s="25" t="str">
        <x:v>accepted</x:v>
      </x:c>
      <x:c r="M532" s="25" t="str">
        <x:v>no</x:v>
      </x:c>
      <x:c r="N532" s="25" t="str">
        <x:v>saki_research/published_papers/bigio_lao_distortions_production_networks.pdf</x:v>
      </x:c>
      <x:c r="O532" s="25" t="str">
        <x:v>Yi,Kei-Mu. “CanVerticalSpecializationExplaintheGrowthofWorldTrade?” JournalofPolitical Economy, 111(2003), 52–102.</x:v>
      </x:c>
    </x:row>
    <x:row r="533" ht="48" customHeight="1">
      <x:c r="A533" s="24" t="str">
        <x:v>P01-R001</x:v>
      </x:c>
      <x:c r="B533" s="24" t="str">
        <x:v>P01</x:v>
      </x:c>
      <x:c r="C533" s="26" t="n">
        <x:v>1</x:v>
      </x:c>
      <x:c r="D533" s="26" t="n">
        <x:v>28</x:v>
      </x:c>
      <x:c r="E533" s="26" t="n">
        <x:v>28</x:v>
      </x:c>
      <x:c r="F533" s="26" t="str">
        <x:v>Adam</x:v>
      </x:c>
      <x:c r="G533" s="26" t="n">
        <x:v>2004</x:v>
      </x:c>
      <x:c r="H533" s="25" t="str">
        <x:v>On the relation between robust and Bayesian decision making</x:v>
      </x:c>
      <x:c r="I533" s="25" t="str"/>
      <x:c r="J533" s="25" t="str">
        <x:v>local_citation_grammar_v3</x:v>
      </x:c>
      <x:c r="K533" s="25" t="str">
        <x:v>prior_manual_sample</x:v>
      </x:c>
      <x:c r="L533" s="25" t="str">
        <x:v>accepted</x:v>
      </x:c>
      <x:c r="M533" s="25" t="str">
        <x:v>no</x:v>
      </x:c>
      <x:c r="N533" s="25" t="str">
        <x:v>saki_research/published_papers/bigio_learning_under_fear_floating.pdf</x:v>
      </x:c>
      <x:c r="O533" s="25" t="str">
        <x:v>Adam, K., 2004. On the relation between robust and Bayesian decision making. Journal of Economic Dynamics and Control 28, 2050–2117.</x:v>
      </x:c>
    </x:row>
    <x:row r="534" ht="48" customHeight="1">
      <x:c r="A534" s="24" t="str">
        <x:v>P01-R002</x:v>
      </x:c>
      <x:c r="B534" s="24" t="str">
        <x:v>P01</x:v>
      </x:c>
      <x:c r="C534" s="26" t="n">
        <x:v>2</x:v>
      </x:c>
      <x:c r="D534" s="26" t="n">
        <x:v>28</x:v>
      </x:c>
      <x:c r="E534" s="26" t="n">
        <x:v>28</x:v>
      </x:c>
      <x:c r="F534" s="26" t="str">
        <x:v>Aghion</x:v>
      </x:c>
      <x:c r="G534" s="26" t="n">
        <x:v>2000</x:v>
      </x:c>
      <x:c r="H534" s="25" t="str">
        <x:v>A simple model of monetary policy and currency crises</x:v>
      </x:c>
      <x:c r="I534" s="25" t="str"/>
      <x:c r="J534" s="25" t="str">
        <x:v>local_citation_grammar_v3</x:v>
      </x:c>
      <x:c r="K534" s="25" t="str">
        <x:v>automatic_screen_pass</x:v>
      </x:c>
      <x:c r="L534" s="25" t="str">
        <x:v>accepted</x:v>
      </x:c>
      <x:c r="M534" s="25" t="str">
        <x:v>no</x:v>
      </x:c>
      <x:c r="N534" s="25" t="str">
        <x:v>saki_research/published_papers/bigio_learning_under_fear_floating.pdf</x:v>
      </x:c>
      <x:c r="O534" s="25" t="str">
        <x:v>Aghion, P., Bacchetta, P., Banerjee, A., 2000. A simple model of monetary policy and currency crises. European Economic Review 44, 728–738.</x:v>
      </x:c>
    </x:row>
    <x:row r="535" ht="48" customHeight="1">
      <x:c r="A535" s="24" t="str">
        <x:v>P01-R003</x:v>
      </x:c>
      <x:c r="B535" s="24" t="str">
        <x:v>P01</x:v>
      </x:c>
      <x:c r="C535" s="26" t="n">
        <x:v>3</x:v>
      </x:c>
      <x:c r="D535" s="26" t="n">
        <x:v>28</x:v>
      </x:c>
      <x:c r="E535" s="26" t="n">
        <x:v>28</x:v>
      </x:c>
      <x:c r="F535" s="26" t="str">
        <x:v>Aghion</x:v>
      </x:c>
      <x:c r="G535" s="26" t="n">
        <x:v>2001</x:v>
      </x:c>
      <x:c r="H535" s="25" t="str">
        <x:v>Currency crises and monetary policy in an economy with credit constraints</x:v>
      </x:c>
      <x:c r="I535" s="25" t="str"/>
      <x:c r="J535" s="25" t="str">
        <x:v>local_citation_grammar_v3</x:v>
      </x:c>
      <x:c r="K535" s="25" t="str">
        <x:v>automatic_screen_pass</x:v>
      </x:c>
      <x:c r="L535" s="25" t="str">
        <x:v>accepted</x:v>
      </x:c>
      <x:c r="M535" s="25" t="str">
        <x:v>no</x:v>
      </x:c>
      <x:c r="N535" s="25" t="str">
        <x:v>saki_research/published_papers/bigio_learning_under_fear_floating.pdf</x:v>
      </x:c>
      <x:c r="O535" s="25" t="str">
        <x:v>Aghion, P., Bacchetta, P., Banerjee, A., 2001. Currency crises and monetary policy in an economy with credit constraints. European Economic Review 45, 1121–1150.</x:v>
      </x:c>
    </x:row>
    <x:row r="536" ht="48" customHeight="1">
      <x:c r="A536" s="24" t="str">
        <x:v>P01-R004</x:v>
      </x:c>
      <x:c r="B536" s="24" t="str">
        <x:v>P01</x:v>
      </x:c>
      <x:c r="C536" s="26" t="n">
        <x:v>4</x:v>
      </x:c>
      <x:c r="D536" s="26" t="n">
        <x:v>28</x:v>
      </x:c>
      <x:c r="E536" s="26" t="n">
        <x:v>28</x:v>
      </x:c>
      <x:c r="F536" s="26" t="str">
        <x:v>Aumann</x:v>
      </x:c>
      <x:c r="G536" s="26" t="n">
        <x:v>1979</x:v>
      </x:c>
      <x:c r="H536" s="25" t="str">
        <x:v>Agreeing to disagree</x:v>
      </x:c>
      <x:c r="I536" s="25" t="str"/>
      <x:c r="J536" s="25" t="str">
        <x:v>local_citation_grammar_v3</x:v>
      </x:c>
      <x:c r="K536" s="25" t="str">
        <x:v>automatic_screen_pass</x:v>
      </x:c>
      <x:c r="L536" s="25" t="str">
        <x:v>accepted</x:v>
      </x:c>
      <x:c r="M536" s="25" t="str">
        <x:v>no</x:v>
      </x:c>
      <x:c r="N536" s="25" t="str">
        <x:v>saki_research/published_papers/bigio_learning_under_fear_floating.pdf</x:v>
      </x:c>
      <x:c r="O536" s="25" t="str">
        <x:v>Aumann, R., 1979. Agreeing to disagree. Annals of Statistics 4, 1236–1239.</x:v>
      </x:c>
    </x:row>
    <x:row r="537" ht="48" customHeight="1">
      <x:c r="A537" s="24" t="str">
        <x:v>P01-R005</x:v>
      </x:c>
      <x:c r="B537" s="24" t="str">
        <x:v>P01</x:v>
      </x:c>
      <x:c r="C537" s="26" t="n">
        <x:v>5</x:v>
      </x:c>
      <x:c r="D537" s="26" t="n">
        <x:v>28</x:v>
      </x:c>
      <x:c r="E537" s="26" t="n">
        <x:v>28</x:v>
      </x:c>
      <x:c r="F537" s="26" t="str">
        <x:v>Ball</x:v>
      </x:c>
      <x:c r="G537" s="26" t="n">
        <x:v>1999</x:v>
      </x:c>
      <x:c r="H537" s="25" t="str">
        <x:v>Policy Rules for Open Economies</x:v>
      </x:c>
      <x:c r="I537" s="25" t="str"/>
      <x:c r="J537" s="25" t="str">
        <x:v>local_citation_grammar_v3; exhaustive_title_boundary_audit_2026-09-17</x:v>
      </x:c>
      <x:c r="K537" s="25" t="str">
        <x:v>exhaustive_visual_correction</x:v>
      </x:c>
      <x:c r="L537" s="25" t="str">
        <x:v>corrected</x:v>
      </x:c>
      <x:c r="M537" s="25" t="str">
        <x:v>no</x:v>
      </x:c>
      <x:c r="N537" s="25" t="str">
        <x:v>saki_research/published_papers/bigio_learning_under_fear_floating.pdf</x:v>
      </x:c>
      <x:c r="O537" s="25" t="str">
        <x:v>Ball, L., 1999. Policy Rules for Open Economies, Monetary Policy Rules. University of Chicago Press, Chicago.</x:v>
      </x:c>
    </x:row>
    <x:row r="538" ht="48" customHeight="1">
      <x:c r="A538" s="24" t="str">
        <x:v>P01-R006</x:v>
      </x:c>
      <x:c r="B538" s="24" t="str">
        <x:v>P01</x:v>
      </x:c>
      <x:c r="C538" s="26" t="n">
        <x:v>6</x:v>
      </x:c>
      <x:c r="D538" s="26" t="n">
        <x:v>28</x:v>
      </x:c>
      <x:c r="E538" s="26" t="n">
        <x:v>28</x:v>
      </x:c>
      <x:c r="F538" s="26" t="str">
        <x:v>Bigio</x:v>
      </x:c>
      <x:c r="G538" s="26" t="n">
        <x:v>2006</x:v>
      </x:c>
      <x:c r="H538" s="25" t="str">
        <x:v>Optimal monetary policy under balance sheet uncertainty</x:v>
      </x:c>
      <x:c r="I538" s="25" t="str"/>
      <x:c r="J538" s="25" t="str">
        <x:v>local_citation_grammar_v3</x:v>
      </x:c>
      <x:c r="K538" s="25" t="str">
        <x:v>automatic_screen_pass</x:v>
      </x:c>
      <x:c r="L538" s="25" t="str">
        <x:v>accepted</x:v>
      </x:c>
      <x:c r="M538" s="25" t="str">
        <x:v>no</x:v>
      </x:c>
      <x:c r="N538" s="25" t="str">
        <x:v>saki_research/published_papers/bigio_learning_under_fear_floating.pdf</x:v>
      </x:c>
      <x:c r="O538" s="25" t="str">
        <x:v>Bigio, S., Vega, M., 2006. Optimal monetary policy under balance sheet uncertainty. Unpublished manuscript.</x:v>
      </x:c>
    </x:row>
    <x:row r="539" ht="48" customHeight="1">
      <x:c r="A539" s="24" t="str">
        <x:v>P01-R007</x:v>
      </x:c>
      <x:c r="B539" s="24" t="str">
        <x:v>P01</x:v>
      </x:c>
      <x:c r="C539" s="26" t="n">
        <x:v>7</x:v>
      </x:c>
      <x:c r="D539" s="26" t="n">
        <x:v>28</x:v>
      </x:c>
      <x:c r="E539" s="26" t="n">
        <x:v>28</x:v>
      </x:c>
      <x:c r="F539" s="26" t="str">
        <x:v>Brainard</x:v>
      </x:c>
      <x:c r="G539" s="26" t="n">
        <x:v>1967</x:v>
      </x:c>
      <x:c r="H539" s="25" t="str">
        <x:v>Uncertainty and the effectiveness of policy</x:v>
      </x:c>
      <x:c r="I539" s="25" t="str"/>
      <x:c r="J539" s="25" t="str">
        <x:v>local_citation_grammar_v3</x:v>
      </x:c>
      <x:c r="K539" s="25" t="str">
        <x:v>prior_manual_sample</x:v>
      </x:c>
      <x:c r="L539" s="25" t="str">
        <x:v>accepted</x:v>
      </x:c>
      <x:c r="M539" s="25" t="str">
        <x:v>no</x:v>
      </x:c>
      <x:c r="N539" s="25" t="str">
        <x:v>saki_research/published_papers/bigio_learning_under_fear_floating.pdf</x:v>
      </x:c>
      <x:c r="O539" s="25" t="str">
        <x:v>Brainard, W., 1967. Uncertainty and the effectiveness of policy. American Economic Review Papers and Proceedings 57, 411–425.</x:v>
      </x:c>
    </x:row>
    <x:row r="540" ht="48" customHeight="1">
      <x:c r="A540" s="24" t="str">
        <x:v>P01-R008</x:v>
      </x:c>
      <x:c r="B540" s="24" t="str">
        <x:v>P01</x:v>
      </x:c>
      <x:c r="C540" s="26" t="n">
        <x:v>8</x:v>
      </x:c>
      <x:c r="D540" s="26" t="n">
        <x:v>28</x:v>
      </x:c>
      <x:c r="E540" s="26" t="n">
        <x:v>28</x:v>
      </x:c>
      <x:c r="F540" s="26" t="str">
        <x:v>Caballero</x:v>
      </x:c>
      <x:c r="G540" s="26" t="n">
        <x:v>2001</x:v>
      </x:c>
      <x:c r="H540" s="25" t="str">
        <x:v>International and domestic collateral constraints in a model of emerging market crises</x:v>
      </x:c>
      <x:c r="I540" s="25" t="str"/>
      <x:c r="J540" s="25" t="str">
        <x:v>local_citation_grammar_v3</x:v>
      </x:c>
      <x:c r="K540" s="25" t="str">
        <x:v>automatic_screen_pass</x:v>
      </x:c>
      <x:c r="L540" s="25" t="str">
        <x:v>accepted</x:v>
      </x:c>
      <x:c r="M540" s="25" t="str">
        <x:v>no</x:v>
      </x:c>
      <x:c r="N540" s="25" t="str">
        <x:v>saki_research/published_papers/bigio_learning_under_fear_floating.pdf</x:v>
      </x:c>
      <x:c r="O540" s="25" t="str">
        <x:v>Caballero, R.J., Krishnamurthy, A., 2001. International and domestic collateral constraints in a model of emerging market crises. Journal of Monetary Economics 48, 513–548.</x:v>
      </x:c>
    </x:row>
    <x:row r="541" ht="48" customHeight="1">
      <x:c r="A541" s="24" t="str">
        <x:v>P01-R009</x:v>
      </x:c>
      <x:c r="B541" s="24" t="str">
        <x:v>P01</x:v>
      </x:c>
      <x:c r="C541" s="26" t="n">
        <x:v>9</x:v>
      </x:c>
      <x:c r="D541" s="26" t="n">
        <x:v>28</x:v>
      </x:c>
      <x:c r="E541" s="26" t="n">
        <x:v>28</x:v>
      </x:c>
      <x:c r="F541" s="26" t="str">
        <x:v>Calvo</x:v>
      </x:c>
      <x:c r="G541" s="26" t="n">
        <x:v>2002</x:v>
      </x:c>
      <x:c r="H541" s="25" t="str">
        <x:v>Fear of floating</x:v>
      </x:c>
      <x:c r="I541" s="25" t="str"/>
      <x:c r="J541" s="25" t="str">
        <x:v>local_citation_grammar_v3</x:v>
      </x:c>
      <x:c r="K541" s="25" t="str">
        <x:v>prior_manual_sample</x:v>
      </x:c>
      <x:c r="L541" s="25" t="str">
        <x:v>accepted</x:v>
      </x:c>
      <x:c r="M541" s="25" t="str">
        <x:v>no</x:v>
      </x:c>
      <x:c r="N541" s="25" t="str">
        <x:v>saki_research/published_papers/bigio_learning_under_fear_floating.pdf</x:v>
      </x:c>
      <x:c r="O541" s="25" t="str">
        <x:v>Calvo, G., Reinhart, C., 2002. Fear of floating. Quarterly Journal of Economics 117, 379–408.</x:v>
      </x:c>
    </x:row>
    <x:row r="542" ht="48" customHeight="1">
      <x:c r="A542" s="24" t="str">
        <x:v>P01-R010</x:v>
      </x:c>
      <x:c r="B542" s="24" t="str">
        <x:v>P01</x:v>
      </x:c>
      <x:c r="C542" s="26" t="n">
        <x:v>10</x:v>
      </x:c>
      <x:c r="D542" s="26" t="n">
        <x:v>28</x:v>
      </x:c>
      <x:c r="E542" s="26" t="n">
        <x:v>28</x:v>
      </x:c>
      <x:c r="F542" s="26" t="str">
        <x:v>Caplin</x:v>
      </x:c>
      <x:c r="G542" s="26" t="n">
        <x:v>1996</x:v>
      </x:c>
      <x:c r="H542" s="25" t="str">
        <x:v>Monetary policy as a process of search</x:v>
      </x:c>
      <x:c r="I542" s="25" t="str"/>
      <x:c r="J542" s="25" t="str">
        <x:v>local_citation_grammar_v3</x:v>
      </x:c>
      <x:c r="K542" s="25" t="str">
        <x:v>automatic_screen_pass</x:v>
      </x:c>
      <x:c r="L542" s="25" t="str">
        <x:v>accepted</x:v>
      </x:c>
      <x:c r="M542" s="25" t="str">
        <x:v>no</x:v>
      </x:c>
      <x:c r="N542" s="25" t="str">
        <x:v>saki_research/published_papers/bigio_learning_under_fear_floating.pdf</x:v>
      </x:c>
      <x:c r="O542" s="25" t="str">
        <x:v>Caplin, A., Leahy, J., 1996. Monetary policy as a process of search. American Economic Review 86, 689–702.</x:v>
      </x:c>
    </x:row>
    <x:row r="543" ht="48" customHeight="1">
      <x:c r="A543" s="24" t="str">
        <x:v>P01-R011</x:v>
      </x:c>
      <x:c r="B543" s="24" t="str">
        <x:v>P01</x:v>
      </x:c>
      <x:c r="C543" s="26" t="n">
        <x:v>11</x:v>
      </x:c>
      <x:c r="D543" s="26" t="n">
        <x:v>28</x:v>
      </x:c>
      <x:c r="E543" s="26" t="n">
        <x:v>28</x:v>
      </x:c>
      <x:c r="F543" s="26" t="str">
        <x:v>Cespedes</x:v>
      </x:c>
      <x:c r="G543" s="26" t="n">
        <x:v>2002</x:v>
      </x:c>
      <x:c r="H543" s="25" t="str">
        <x:v>Balance sheets and exchange rate policy</x:v>
      </x:c>
      <x:c r="I543" s="25" t="str"/>
      <x:c r="J543" s="25" t="str">
        <x:v>local_citation_grammar_v3</x:v>
      </x:c>
      <x:c r="K543" s="25" t="str">
        <x:v>automatic_screen_pass</x:v>
      </x:c>
      <x:c r="L543" s="25" t="str">
        <x:v>accepted</x:v>
      </x:c>
      <x:c r="M543" s="25" t="str">
        <x:v>no</x:v>
      </x:c>
      <x:c r="N543" s="25" t="str">
        <x:v>saki_research/published_papers/bigio_learning_under_fear_floating.pdf</x:v>
      </x:c>
      <x:c r="O543" s="25" t="str">
        <x:v>Cespedes, L.F., Chang, R., Velasco, A., 2002. Balance sheets and exchange rate policy. American Economic Review 94, 1183–1193.</x:v>
      </x:c>
    </x:row>
    <x:row r="544" ht="48" customHeight="1">
      <x:c r="A544" s="24" t="str">
        <x:v>P01-R012</x:v>
      </x:c>
      <x:c r="B544" s="24" t="str">
        <x:v>P01</x:v>
      </x:c>
      <x:c r="C544" s="26" t="n">
        <x:v>12</x:v>
      </x:c>
      <x:c r="D544" s="26" t="n">
        <x:v>28</x:v>
      </x:c>
      <x:c r="E544" s="26" t="n">
        <x:v>28</x:v>
      </x:c>
      <x:c r="F544" s="26" t="str">
        <x:v>Chang</x:v>
      </x:c>
      <x:c r="G544" s="26" t="n">
        <x:v>2000</x:v>
      </x:c>
      <x:c r="H544" s="25" t="str">
        <x:v>Exchange rate policy for developing countries</x:v>
      </x:c>
      <x:c r="I544" s="25" t="str"/>
      <x:c r="J544" s="25" t="str">
        <x:v>local_citation_grammar_v3</x:v>
      </x:c>
      <x:c r="K544" s="25" t="str">
        <x:v>prior_manual_sample</x:v>
      </x:c>
      <x:c r="L544" s="25" t="str">
        <x:v>accepted</x:v>
      </x:c>
      <x:c r="M544" s="25" t="str">
        <x:v>no</x:v>
      </x:c>
      <x:c r="N544" s="25" t="str">
        <x:v>saki_research/published_papers/bigio_learning_under_fear_floating.pdf</x:v>
      </x:c>
      <x:c r="O544" s="25" t="str">
        <x:v>Chang, R., Velasco, A., 2000. Exchange rate policy for developing countries. American Economic Review 90, 71–75.</x:v>
      </x:c>
    </x:row>
    <x:row r="545" ht="48" customHeight="1">
      <x:c r="A545" s="24" t="str">
        <x:v>P01-R013</x:v>
      </x:c>
      <x:c r="B545" s="24" t="str">
        <x:v>P01</x:v>
      </x:c>
      <x:c r="C545" s="26" t="n">
        <x:v>13</x:v>
      </x:c>
      <x:c r="D545" s="26" t="n">
        <x:v>28</x:v>
      </x:c>
      <x:c r="E545" s="26" t="n">
        <x:v>28</x:v>
      </x:c>
      <x:c r="F545" s="26" t="str">
        <x:v>Chang</x:v>
      </x:c>
      <x:c r="G545" s="26" t="n">
        <x:v>2006</x:v>
      </x:c>
      <x:c r="H545" s="25" t="str">
        <x:v>Monetary policy and the currency denomination of debt: a tale of two equilibria</x:v>
      </x:c>
      <x:c r="I545" s="25" t="str"/>
      <x:c r="J545" s="25" t="str">
        <x:v>local_citation_grammar_v3</x:v>
      </x:c>
      <x:c r="K545" s="25" t="str">
        <x:v>automatic_screen_pass</x:v>
      </x:c>
      <x:c r="L545" s="25" t="str">
        <x:v>accepted</x:v>
      </x:c>
      <x:c r="M545" s="25" t="str">
        <x:v>no</x:v>
      </x:c>
      <x:c r="N545" s="25" t="str">
        <x:v>saki_research/published_papers/bigio_learning_under_fear_floating.pdf</x:v>
      </x:c>
      <x:c r="O545" s="25" t="str">
        <x:v>Chang, R., Velasco, A., 2006. Monetary policy and the currency denomination of debt: a tale of two equilibria. Journal of International Economics 69,150–175.</x:v>
      </x:c>
    </x:row>
    <x:row r="546" ht="48" customHeight="1">
      <x:c r="A546" s="24" t="str">
        <x:v>P01-R014</x:v>
      </x:c>
      <x:c r="B546" s="24" t="str">
        <x:v>P01</x:v>
      </x:c>
      <x:c r="C546" s="26" t="n">
        <x:v>14</x:v>
      </x:c>
      <x:c r="D546" s="26" t="n">
        <x:v>28</x:v>
      </x:c>
      <x:c r="E546" s="26" t="n">
        <x:v>28</x:v>
      </x:c>
      <x:c r="F546" s="26" t="str">
        <x:v>Chari</x:v>
      </x:c>
      <x:c r="G546" s="26" t="n">
        <x:v>2002</x:v>
      </x:c>
      <x:c r="H546" s="25" t="str">
        <x:v>Can sticky price models generate volatile and persistent real exchange rates?</x:v>
      </x:c>
      <x:c r="I546" s="25" t="str"/>
      <x:c r="J546" s="25" t="str">
        <x:v>literal_citation_review_2026-09-16</x:v>
      </x:c>
      <x:c r="K546" s="25" t="str">
        <x:v>automatic_screen_pass</x:v>
      </x:c>
      <x:c r="L546" s="25" t="str">
        <x:v>accepted</x:v>
      </x:c>
      <x:c r="M546" s="25" t="str">
        <x:v>no</x:v>
      </x:c>
      <x:c r="N546" s="25" t="str">
        <x:v>saki_research/published_papers/bigio_learning_under_fear_floating.pdf</x:v>
      </x:c>
      <x:c r="O546" s="25" t="str">
        <x:v>Chari, V.V., Kehoe, P.J., McGrattan, E.R., 2002. Can sticky price models generate volatile and persistent real exchange rates? Review of Economic Studies 69, 533–</x:v>
      </x:c>
    </x:row>
    <x:row r="547" ht="48" customHeight="1">
      <x:c r="A547" s="24" t="str">
        <x:v>P01-R015</x:v>
      </x:c>
      <x:c r="B547" s="24" t="str">
        <x:v>P01</x:v>
      </x:c>
      <x:c r="C547" s="26" t="n">
        <x:v>15</x:v>
      </x:c>
      <x:c r="D547" s="26" t="n">
        <x:v>28</x:v>
      </x:c>
      <x:c r="E547" s="26" t="n">
        <x:v>28</x:v>
      </x:c>
      <x:c r="F547" s="26" t="str">
        <x:v>Cho</x:v>
      </x:c>
      <x:c r="G547" s="26" t="n">
        <x:v>2008</x:v>
      </x:c>
      <x:c r="H547" s="25" t="str">
        <x:v>Learning dynamics and endogenous currency crises</x:v>
      </x:c>
      <x:c r="I547" s="25" t="str"/>
      <x:c r="J547" s="25" t="str">
        <x:v>local_citation_grammar_v3</x:v>
      </x:c>
      <x:c r="K547" s="25" t="str">
        <x:v>prior_manual_sample</x:v>
      </x:c>
      <x:c r="L547" s="25" t="str">
        <x:v>accepted</x:v>
      </x:c>
      <x:c r="M547" s="25" t="str">
        <x:v>no</x:v>
      </x:c>
      <x:c r="N547" s="25" t="str">
        <x:v>saki_research/published_papers/bigio_learning_under_fear_floating.pdf</x:v>
      </x:c>
      <x:c r="O547" s="25" t="str">
        <x:v>Cho, I.-K., Kasa, K., 2008. Learning dynamics and endogenous currency crises. Macroeconomic Dynamics 12, 257–285.</x:v>
      </x:c>
    </x:row>
    <x:row r="548" ht="48" customHeight="1">
      <x:c r="A548" s="24" t="str">
        <x:v>P01-R016</x:v>
      </x:c>
      <x:c r="B548" s="24" t="str">
        <x:v>P01</x:v>
      </x:c>
      <x:c r="C548" s="26" t="n">
        <x:v>16</x:v>
      </x:c>
      <x:c r="D548" s="26" t="n">
        <x:v>28</x:v>
      </x:c>
      <x:c r="E548" s="26" t="n">
        <x:v>28</x:v>
      </x:c>
      <x:c r="F548" s="26" t="str">
        <x:v>Cho</x:v>
      </x:c>
      <x:c r="G548" s="26" t="n">
        <x:v>2002</x:v>
      </x:c>
      <x:c r="H548" s="25" t="str">
        <x:v>Escaping Nash inflation</x:v>
      </x:c>
      <x:c r="I548" s="25" t="str"/>
      <x:c r="J548" s="25" t="str">
        <x:v>local_citation_grammar_v3</x:v>
      </x:c>
      <x:c r="K548" s="25" t="str">
        <x:v>prior_manual_sample</x:v>
      </x:c>
      <x:c r="L548" s="25" t="str">
        <x:v>accepted</x:v>
      </x:c>
      <x:c r="M548" s="25" t="str">
        <x:v>no</x:v>
      </x:c>
      <x:c r="N548" s="25" t="str">
        <x:v>saki_research/published_papers/bigio_learning_under_fear_floating.pdf</x:v>
      </x:c>
      <x:c r="O548" s="25" t="str">
        <x:v>Cho, I.-K., Williams, N., Sargent, T.J., 2002. Escaping Nash inflation. Review of Economic Studies 69, 1–40.</x:v>
      </x:c>
    </x:row>
    <x:row r="549" ht="48" customHeight="1">
      <x:c r="A549" s="24" t="str">
        <x:v>P01-R017</x:v>
      </x:c>
      <x:c r="B549" s="24" t="str">
        <x:v>P01</x:v>
      </x:c>
      <x:c r="C549" s="26" t="n">
        <x:v>17</x:v>
      </x:c>
      <x:c r="D549" s="26" t="n">
        <x:v>28</x:v>
      </x:c>
      <x:c r="E549" s="26" t="n">
        <x:v>28</x:v>
      </x:c>
      <x:c r="F549" s="26" t="str">
        <x:v>Clarida</x:v>
      </x:c>
      <x:c r="G549" s="26" t="n">
        <x:v>2001</x:v>
      </x:c>
      <x:c r="H549" s="25" t="str">
        <x:v>Optimal monetary policy in open versus closed economies: an integrated approach</x:v>
      </x:c>
      <x:c r="I549" s="25" t="str"/>
      <x:c r="J549" s="25" t="str">
        <x:v>local_citation_grammar_v3</x:v>
      </x:c>
      <x:c r="K549" s="25" t="str">
        <x:v>automatic_screen_pass</x:v>
      </x:c>
      <x:c r="L549" s="25" t="str">
        <x:v>accepted</x:v>
      </x:c>
      <x:c r="M549" s="25" t="str">
        <x:v>no</x:v>
      </x:c>
      <x:c r="N549" s="25" t="str">
        <x:v>saki_research/published_papers/bigio_learning_under_fear_floating.pdf</x:v>
      </x:c>
      <x:c r="O549" s="25" t="str">
        <x:v>Clarida, R., Gali, J., Gertler, M., 2001. Optimal monetary policy in open versus closed economies: an integrated approach. American Economic Review Papers and Proceedings 91, 248–252.</x:v>
      </x:c>
    </x:row>
    <x:row r="550" ht="48" customHeight="1">
      <x:c r="A550" s="24" t="str">
        <x:v>P01-R018</x:v>
      </x:c>
      <x:c r="B550" s="24" t="str">
        <x:v>P01</x:v>
      </x:c>
      <x:c r="C550" s="26" t="n">
        <x:v>18</x:v>
      </x:c>
      <x:c r="D550" s="26" t="n">
        <x:v>28</x:v>
      </x:c>
      <x:c r="E550" s="26" t="n">
        <x:v>28</x:v>
      </x:c>
      <x:c r="F550" s="26" t="str">
        <x:v>Clarida</x:v>
      </x:c>
      <x:c r="G550" s="26" t="n">
        <x:v>2002</x:v>
      </x:c>
      <x:c r="H550" s="25" t="str">
        <x:v>A simple framework for international monetary policy analysis</x:v>
      </x:c>
      <x:c r="I550" s="25" t="str"/>
      <x:c r="J550" s="25" t="str">
        <x:v>local_citation_grammar_v3</x:v>
      </x:c>
      <x:c r="K550" s="25" t="str">
        <x:v>automatic_screen_pass</x:v>
      </x:c>
      <x:c r="L550" s="25" t="str">
        <x:v>accepted</x:v>
      </x:c>
      <x:c r="M550" s="25" t="str">
        <x:v>no</x:v>
      </x:c>
      <x:c r="N550" s="25" t="str">
        <x:v>saki_research/published_papers/bigio_learning_under_fear_floating.pdf</x:v>
      </x:c>
      <x:c r="O550" s="25" t="str">
        <x:v>Clarida, R., Gali, J., Gertler, M., 2002. A simple framework for international monetary policy analysis. Journal of Monetary Economics 49, 879–904.</x:v>
      </x:c>
    </x:row>
    <x:row r="551" ht="48" customHeight="1">
      <x:c r="A551" s="24" t="str">
        <x:v>P01-R019</x:v>
      </x:c>
      <x:c r="B551" s="24" t="str">
        <x:v>P01</x:v>
      </x:c>
      <x:c r="C551" s="26" t="n">
        <x:v>19</x:v>
      </x:c>
      <x:c r="D551" s="26" t="n">
        <x:v>28</x:v>
      </x:c>
      <x:c r="E551" s="26" t="n">
        <x:v>28</x:v>
      </x:c>
      <x:c r="F551" s="26" t="str">
        <x:v>Cogley</x:v>
      </x:c>
      <x:c r="G551" s="26" t="n">
        <x:v>2007</x:v>
      </x:c>
      <x:c r="H551" s="25" t="str">
        <x:v>Benefits from U</x:v>
      </x:c>
      <x:c r="I551" s="25" t="str"/>
      <x:c r="J551" s="25" t="str">
        <x:v>local_citation_grammar_v3</x:v>
      </x:c>
      <x:c r="K551" s="25" t="str">
        <x:v>automatic_screen_pass</x:v>
      </x:c>
      <x:c r="L551" s="25" t="str">
        <x:v>accepted</x:v>
      </x:c>
      <x:c r="M551" s="25" t="str">
        <x:v>no</x:v>
      </x:c>
      <x:c r="N551" s="25" t="str">
        <x:v>saki_research/published_papers/bigio_learning_under_fear_floating.pdf</x:v>
      </x:c>
      <x:c r="O551" s="25" t="str">
        <x:v>Cogley, T., Colacito, R., Sargent, T., 2007. Benefits from U.S. monetary policy experimentation in the days of Samuelson and Solow and Lucas. Journal o f Money, Credit and Banking 39, 67–99.</x:v>
      </x:c>
    </x:row>
    <x:row r="552" ht="48" customHeight="1">
      <x:c r="A552" s="24" t="str">
        <x:v>P01-R020</x:v>
      </x:c>
      <x:c r="B552" s="24" t="str">
        <x:v>P01</x:v>
      </x:c>
      <x:c r="C552" s="26" t="n">
        <x:v>20</x:v>
      </x:c>
      <x:c r="D552" s="26" t="n">
        <x:v>28</x:v>
      </x:c>
      <x:c r="E552" s="26" t="n">
        <x:v>28</x:v>
      </x:c>
      <x:c r="F552" s="26" t="str">
        <x:v>Cogley</x:v>
      </x:c>
      <x:c r="G552" s="26" t="n">
        <x:v>2008</x:v>
      </x:c>
      <x:c r="H552" s="25" t="str">
        <x:v>Robustness and U</x:v>
      </x:c>
      <x:c r="I552" s="25" t="str"/>
      <x:c r="J552" s="25" t="str">
        <x:v>local_citation_grammar_v3</x:v>
      </x:c>
      <x:c r="K552" s="25" t="str">
        <x:v>automatic_screen_pass</x:v>
      </x:c>
      <x:c r="L552" s="25" t="str">
        <x:v>accepted</x:v>
      </x:c>
      <x:c r="M552" s="25" t="str">
        <x:v>no</x:v>
      </x:c>
      <x:c r="N552" s="25" t="str">
        <x:v>saki_research/published_papers/bigio_learning_under_fear_floating.pdf</x:v>
      </x:c>
      <x:c r="O552" s="25" t="str">
        <x:v>Cogley, T., Colacito, R., Hansen, L.P., Sargent, T., 2008. Robustness and U.S. monetary policy experimentation. Unpublished manuscript.</x:v>
      </x:c>
    </x:row>
    <x:row r="553" ht="48" customHeight="1">
      <x:c r="A553" s="24" t="str">
        <x:v>P01-R021</x:v>
      </x:c>
      <x:c r="B553" s="24" t="str">
        <x:v>P01</x:v>
      </x:c>
      <x:c r="C553" s="26" t="n">
        <x:v>21</x:v>
      </x:c>
      <x:c r="D553" s="26" t="n">
        <x:v>28</x:v>
      </x:c>
      <x:c r="E553" s="26" t="n">
        <x:v>28</x:v>
      </x:c>
      <x:c r="F553" s="26" t="str">
        <x:v>De Paoli</x:v>
      </x:c>
      <x:c r="G553" s="26" t="n">
        <x:v>2009</x:v>
      </x:c>
      <x:c r="H553" s="25" t="str">
        <x:v>Monetary policy and welfare in a small open economy</x:v>
      </x:c>
      <x:c r="I553" s="25" t="str"/>
      <x:c r="J553" s="25" t="str">
        <x:v>local_citation_grammar_v3</x:v>
      </x:c>
      <x:c r="K553" s="25" t="str">
        <x:v>automatic_screen_pass</x:v>
      </x:c>
      <x:c r="L553" s="25" t="str">
        <x:v>accepted</x:v>
      </x:c>
      <x:c r="M553" s="25" t="str">
        <x:v>no</x:v>
      </x:c>
      <x:c r="N553" s="25" t="str">
        <x:v>saki_research/published_papers/bigio_learning_under_fear_floating.pdf</x:v>
      </x:c>
      <x:c r="O553" s="25" t="str">
        <x:v>De Paoli, B., 2009. Monetary policy and welfare in a small open economy. Journal of International Economics 77, 11–22.</x:v>
      </x:c>
    </x:row>
    <x:row r="554" ht="48" customHeight="1">
      <x:c r="A554" s="24" t="str">
        <x:v>P01-R022</x:v>
      </x:c>
      <x:c r="B554" s="24" t="str">
        <x:v>P01</x:v>
      </x:c>
      <x:c r="C554" s="26" t="n">
        <x:v>22</x:v>
      </x:c>
      <x:c r="D554" s="26" t="n">
        <x:v>28</x:v>
      </x:c>
      <x:c r="E554" s="26" t="n">
        <x:v>28</x:v>
      </x:c>
      <x:c r="F554" s="26" t="str">
        <x:v>Ellison</x:v>
      </x:c>
      <x:c r="G554" s="26" t="n">
        <x:v>2006</x:v>
      </x:c>
      <x:c r="H554" s="25" t="str">
        <x:v>The learning cost of interest rate reversals</x:v>
      </x:c>
      <x:c r="I554" s="25" t="str"/>
      <x:c r="J554" s="25" t="str">
        <x:v>local_citation_grammar_v3</x:v>
      </x:c>
      <x:c r="K554" s="25" t="str">
        <x:v>prior_manual_sample</x:v>
      </x:c>
      <x:c r="L554" s="25" t="str">
        <x:v>accepted</x:v>
      </x:c>
      <x:c r="M554" s="25" t="str">
        <x:v>sí</x:v>
      </x:c>
      <x:c r="N554" s="25" t="str">
        <x:v>saki_research/published_papers/bigio_learning_under_fear_floating.pdf</x:v>
      </x:c>
      <x:c r="O554" s="25" t="str">
        <x:v>Ellison, M., 2006. The learning cost of interest rate reversals. Journal of Monetary Economics 53, 1895–1907.</x:v>
      </x:c>
    </x:row>
    <x:row r="555" ht="48" customHeight="1">
      <x:c r="A555" s="24" t="str">
        <x:v>P01-R023</x:v>
      </x:c>
      <x:c r="B555" s="24" t="str">
        <x:v>P01</x:v>
      </x:c>
      <x:c r="C555" s="26" t="n">
        <x:v>23</x:v>
      </x:c>
      <x:c r="D555" s="26" t="n">
        <x:v>28</x:v>
      </x:c>
      <x:c r="E555" s="26" t="n">
        <x:v>28</x:v>
      </x:c>
      <x:c r="F555" s="26" t="str">
        <x:v>Ellison</x:v>
      </x:c>
      <x:c r="G555" s="26" t="n">
        <x:v>2007</x:v>
      </x:c>
      <x:c r="H555" s="25" t="str">
        <x:v>Caution or activism? Monetary policy strategies in an open economy</x:v>
      </x:c>
      <x:c r="I555" s="25" t="str"/>
      <x:c r="J555" s="25" t="str">
        <x:v>local_citation_grammar_v3</x:v>
      </x:c>
      <x:c r="K555" s="25" t="str">
        <x:v>automatic_screen_pass</x:v>
      </x:c>
      <x:c r="L555" s="25" t="str">
        <x:v>accepted</x:v>
      </x:c>
      <x:c r="M555" s="25" t="str">
        <x:v>no</x:v>
      </x:c>
      <x:c r="N555" s="25" t="str">
        <x:v>saki_research/published_papers/bigio_learning_under_fear_floating.pdf</x:v>
      </x:c>
      <x:c r="O555" s="25" t="str">
        <x:v>Ellison, M., Sarno, L., Vilmunen, J., 2007. Caution or activism? Monetary policy strategies in an open economy. Macroeconomic Dynamics 11, 519–541.</x:v>
      </x:c>
    </x:row>
    <x:row r="556" ht="48" customHeight="1">
      <x:c r="A556" s="24" t="str">
        <x:v>P01-R024</x:v>
      </x:c>
      <x:c r="B556" s="24" t="str">
        <x:v>P01</x:v>
      </x:c>
      <x:c r="C556" s="26" t="n">
        <x:v>24</x:v>
      </x:c>
      <x:c r="D556" s="26" t="n">
        <x:v>28</x:v>
      </x:c>
      <x:c r="E556" s="26" t="n">
        <x:v>28</x:v>
      </x:c>
      <x:c r="F556" s="26" t="str">
        <x:v>Faia</x:v>
      </x:c>
      <x:c r="G556" s="26" t="n">
        <x:v>2008</x:v>
      </x:c>
      <x:c r="H556" s="25" t="str">
        <x:v>Optimal monetary policy in a small open economy with home bias</x:v>
      </x:c>
      <x:c r="I556" s="25" t="str"/>
      <x:c r="J556" s="25" t="str">
        <x:v>local_citation_grammar_v3</x:v>
      </x:c>
      <x:c r="K556" s="25" t="str">
        <x:v>automatic_screen_pass</x:v>
      </x:c>
      <x:c r="L556" s="25" t="str">
        <x:v>accepted</x:v>
      </x:c>
      <x:c r="M556" s="25" t="str">
        <x:v>no</x:v>
      </x:c>
      <x:c r="N556" s="25" t="str">
        <x:v>saki_research/published_papers/bigio_learning_under_fear_floating.pdf</x:v>
      </x:c>
      <x:c r="O556" s="25" t="str">
        <x:v>Faia, E., Monacelli, T., 2008. Optimal monetary policy in a small open economy with home bias. Journal of Money, Credit and Banking 40, 721–750.</x:v>
      </x:c>
    </x:row>
    <x:row r="557" ht="48" customHeight="1">
      <x:c r="A557" s="24" t="str">
        <x:v>P01-R025</x:v>
      </x:c>
      <x:c r="B557" s="24" t="str">
        <x:v>P01</x:v>
      </x:c>
      <x:c r="C557" s="26" t="n">
        <x:v>25</x:v>
      </x:c>
      <x:c r="D557" s="26" t="n">
        <x:v>28</x:v>
      </x:c>
      <x:c r="E557" s="26" t="n">
        <x:v>28</x:v>
      </x:c>
      <x:c r="F557" s="26" t="str">
        <x:v>Frankel</x:v>
      </x:c>
      <x:c r="G557" s="26" t="n">
        <x:v>2005</x:v>
      </x:c>
      <x:c r="H557" s="25" t="str">
        <x:v>Contractionary currency crashes in developing countries</x:v>
      </x:c>
      <x:c r="I557" s="25" t="str"/>
      <x:c r="J557" s="25" t="str">
        <x:v>local_citation_grammar_v3</x:v>
      </x:c>
      <x:c r="K557" s="25" t="str">
        <x:v>automatic_screen_pass</x:v>
      </x:c>
      <x:c r="L557" s="25" t="str">
        <x:v>accepted</x:v>
      </x:c>
      <x:c r="M557" s="25" t="str">
        <x:v>no</x:v>
      </x:c>
      <x:c r="N557" s="25" t="str">
        <x:v>saki_research/published_papers/bigio_learning_under_fear_floating.pdf</x:v>
      </x:c>
      <x:c r="O557" s="25" t="str">
        <x:v>Frankel, J., 2005. Contractionary currency crashes in developing countries. IMF Staff Papers, 52, No. 2.</x:v>
      </x:c>
    </x:row>
    <x:row r="558" ht="48" customHeight="1">
      <x:c r="A558" s="24" t="str">
        <x:v>P01-R026</x:v>
      </x:c>
      <x:c r="B558" s="24" t="str">
        <x:v>P01</x:v>
      </x:c>
      <x:c r="C558" s="26" t="n">
        <x:v>26</x:v>
      </x:c>
      <x:c r="D558" s="26" t="n">
        <x:v>28</x:v>
      </x:c>
      <x:c r="E558" s="26" t="n">
        <x:v>28</x:v>
      </x:c>
      <x:c r="F558" s="26" t="str">
        <x:v>Gali</x:v>
      </x:c>
      <x:c r="G558" s="26" t="n">
        <x:v>2005</x:v>
      </x:c>
      <x:c r="H558" s="25" t="str">
        <x:v>Monetary policy and exchange rate volatility in a small open economy</x:v>
      </x:c>
      <x:c r="I558" s="25" t="str"/>
      <x:c r="J558" s="25" t="str">
        <x:v>local_citation_grammar_v3</x:v>
      </x:c>
      <x:c r="K558" s="25" t="str">
        <x:v>prior_manual_sample</x:v>
      </x:c>
      <x:c r="L558" s="25" t="str">
        <x:v>accepted</x:v>
      </x:c>
      <x:c r="M558" s="25" t="str">
        <x:v>no</x:v>
      </x:c>
      <x:c r="N558" s="25" t="str">
        <x:v>saki_research/published_papers/bigio_learning_under_fear_floating.pdf</x:v>
      </x:c>
      <x:c r="O558" s="25" t="str">
        <x:v>Gali, J., Monacelli, T., 2005. Monetary policy and exchange rate volatility in a small open economy. Review of Economic Studies 72, 707–734.</x:v>
      </x:c>
    </x:row>
    <x:row r="559" ht="48" customHeight="1">
      <x:c r="A559" s="24" t="str">
        <x:v>P01-R027</x:v>
      </x:c>
      <x:c r="B559" s="24" t="str">
        <x:v>P01</x:v>
      </x:c>
      <x:c r="C559" s="26" t="n">
        <x:v>27</x:v>
      </x:c>
      <x:c r="D559" s="26" t="n">
        <x:v>28</x:v>
      </x:c>
      <x:c r="E559" s="26" t="n">
        <x:v>28</x:v>
      </x:c>
      <x:c r="F559" s="26" t="str">
        <x:v>Goodhart</x:v>
      </x:c>
      <x:c r="G559" s="26" t="n">
        <x:v>2005</x:v>
      </x:c>
      <x:c r="H559" s="25" t="str">
        <x:v>The future of central banking</x:v>
      </x:c>
      <x:c r="I559" s="25" t="str"/>
      <x:c r="J559" s="25" t="str">
        <x:v>local_citation_grammar_v3</x:v>
      </x:c>
      <x:c r="K559" s="25" t="str">
        <x:v>automatic_screen_pass</x:v>
      </x:c>
      <x:c r="L559" s="25" t="str">
        <x:v>accepted</x:v>
      </x:c>
      <x:c r="M559" s="25" t="str">
        <x:v>no</x:v>
      </x:c>
      <x:c r="N559" s="25" t="str">
        <x:v>saki_research/published_papers/bigio_learning_under_fear_floating.pdf</x:v>
      </x:c>
      <x:c r="O559" s="25" t="str">
        <x:v>Goodhart, C., 2005. The future of central banking. FMG Special Paper No. 162.</x:v>
      </x:c>
    </x:row>
    <x:row r="560" ht="48" customHeight="1">
      <x:c r="A560" s="24" t="str">
        <x:v>P01-R028</x:v>
      </x:c>
      <x:c r="B560" s="24" t="str">
        <x:v>P01</x:v>
      </x:c>
      <x:c r="C560" s="26" t="n">
        <x:v>28</x:v>
      </x:c>
      <x:c r="D560" s="26" t="n">
        <x:v>28</x:v>
      </x:c>
      <x:c r="E560" s="26" t="n">
        <x:v>28</x:v>
      </x:c>
      <x:c r="F560" s="26" t="str">
        <x:v>Hansen</x:v>
      </x:c>
      <x:c r="G560" s="26" t="n">
        <x:v>2006</x:v>
      </x:c>
      <x:c r="H560" s="25" t="str">
        <x:v>Wanting robustness in macroeconomics</x:v>
      </x:c>
      <x:c r="I560" s="25" t="str"/>
      <x:c r="J560" s="25" t="str">
        <x:v>local_citation_grammar_v3</x:v>
      </x:c>
      <x:c r="K560" s="25" t="str">
        <x:v>automatic_screen_pass</x:v>
      </x:c>
      <x:c r="L560" s="25" t="str">
        <x:v>accepted</x:v>
      </x:c>
      <x:c r="M560" s="25" t="str">
        <x:v>no</x:v>
      </x:c>
      <x:c r="N560" s="25" t="str">
        <x:v>saki_research/published_papers/bigio_learning_under_fear_floating.pdf</x:v>
      </x:c>
      <x:c r="O560" s="25" t="str">
        <x:v>Hansen, L.P., Sargent, T.J., 2006. Wanting robustness in macroeconomics. Unpublished manuscript.</x:v>
      </x:c>
    </x:row>
    <x:row r="561" ht="48" customHeight="1">
      <x:c r="A561" s="24" t="str">
        <x:v>P01-R029</x:v>
      </x:c>
      <x:c r="B561" s="24" t="str">
        <x:v>P01</x:v>
      </x:c>
      <x:c r="C561" s="26" t="n">
        <x:v>29</x:v>
      </x:c>
      <x:c r="D561" s="26" t="n">
        <x:v>28</x:v>
      </x:c>
      <x:c r="E561" s="26" t="n">
        <x:v>28</x:v>
      </x:c>
      <x:c r="F561" s="26" t="str">
        <x:v>Hansen</x:v>
      </x:c>
      <x:c r="G561" s="26" t="n">
        <x:v>2007</x:v>
      </x:c>
      <x:c r="H561" s="25" t="str">
        <x:v>Robustness</x:v>
      </x:c>
      <x:c r="I561" s="25" t="str"/>
      <x:c r="J561" s="25" t="str">
        <x:v>local_citation_grammar_v3</x:v>
      </x:c>
      <x:c r="K561" s="25" t="str">
        <x:v>automatic_screen_pass</x:v>
      </x:c>
      <x:c r="L561" s="25" t="str">
        <x:v>accepted</x:v>
      </x:c>
      <x:c r="M561" s="25" t="str">
        <x:v>no</x:v>
      </x:c>
      <x:c r="N561" s="25" t="str">
        <x:v>saki_research/published_papers/bigio_learning_under_fear_floating.pdf</x:v>
      </x:c>
      <x:c r="O561" s="25" t="str">
        <x:v>Hansen, L.P., Sargent, T.J., 2007. Robustness. Princeton University Press, Princeton.</x:v>
      </x:c>
    </x:row>
    <x:row r="562" ht="48" customHeight="1">
      <x:c r="A562" s="24" t="str">
        <x:v>P01-R030</x:v>
      </x:c>
      <x:c r="B562" s="24" t="str">
        <x:v>P01</x:v>
      </x:c>
      <x:c r="C562" s="26" t="n">
        <x:v>30</x:v>
      </x:c>
      <x:c r="D562" s="26" t="n">
        <x:v>28</x:v>
      </x:c>
      <x:c r="E562" s="26" t="n">
        <x:v>28</x:v>
      </x:c>
      <x:c r="F562" s="26" t="str">
        <x:v>Hansen</x:v>
      </x:c>
      <x:c r="G562" s="26" t="n">
        <x:v>1999</x:v>
      </x:c>
      <x:c r="H562" s="25" t="str">
        <x:v>Robust permanent income and pricing</x:v>
      </x:c>
      <x:c r="I562" s="25" t="str"/>
      <x:c r="J562" s="25" t="str">
        <x:v>local_citation_grammar_v3</x:v>
      </x:c>
      <x:c r="K562" s="25" t="str">
        <x:v>automatic_screen_pass</x:v>
      </x:c>
      <x:c r="L562" s="25" t="str">
        <x:v>accepted</x:v>
      </x:c>
      <x:c r="M562" s="25" t="str">
        <x:v>no</x:v>
      </x:c>
      <x:c r="N562" s="25" t="str">
        <x:v>saki_research/published_papers/bigio_learning_under_fear_floating.pdf</x:v>
      </x:c>
      <x:c r="O562" s="25" t="str">
        <x:v>Hansen, L.P., Sargent, T.J., Tallarini, T.D., 1999. Robust permanent income and pricing. Review of Economic Studies 66, 873–907.</x:v>
      </x:c>
    </x:row>
    <x:row r="563" ht="48" customHeight="1">
      <x:c r="A563" s="24" t="str">
        <x:v>P01-R031</x:v>
      </x:c>
      <x:c r="B563" s="24" t="str">
        <x:v>P01</x:v>
      </x:c>
      <x:c r="C563" s="26" t="n">
        <x:v>31</x:v>
      </x:c>
      <x:c r="D563" s="26" t="n">
        <x:v>28</x:v>
      </x:c>
      <x:c r="E563" s="26" t="n">
        <x:v>28</x:v>
      </x:c>
      <x:c r="F563" s="26" t="str">
        <x:v>Hausmann</x:v>
      </x:c>
      <x:c r="G563" s="26" t="n">
        <x:v>2001</x:v>
      </x:c>
      <x:c r="H563" s="25" t="str">
        <x:v>Why do countries float the way they float?</x:v>
      </x:c>
      <x:c r="I563" s="25" t="str"/>
      <x:c r="J563" s="25" t="str">
        <x:v>local_citation_grammar_v3; exhaustive_title_boundary_audit_2026-09-17</x:v>
      </x:c>
      <x:c r="K563" s="25" t="str">
        <x:v>exhaustive_visual_correction</x:v>
      </x:c>
      <x:c r="L563" s="25" t="str">
        <x:v>corrected</x:v>
      </x:c>
      <x:c r="M563" s="25" t="str">
        <x:v>no</x:v>
      </x:c>
      <x:c r="N563" s="25" t="str">
        <x:v>saki_research/published_papers/bigio_learning_under_fear_floating.pdf</x:v>
      </x:c>
      <x:c r="O563" s="25" t="str">
        <x:v>Hausmann, R., Panizza, U., Stein, E., 2001. Why do countries float the way they float? Journal of Development Economics 66, 387–414</x:v>
      </x:c>
    </x:row>
    <x:row r="564" ht="48" customHeight="1">
      <x:c r="A564" s="24" t="str">
        <x:v>P01-R032</x:v>
      </x:c>
      <x:c r="B564" s="24" t="str">
        <x:v>P01</x:v>
      </x:c>
      <x:c r="C564" s="26" t="n">
        <x:v>32</x:v>
      </x:c>
      <x:c r="D564" s="26" t="n">
        <x:v>28</x:v>
      </x:c>
      <x:c r="E564" s="26" t="n">
        <x:v>28</x:v>
      </x:c>
      <x:c r="F564" s="26" t="str">
        <x:v>Ize</x:v>
      </x:c>
      <x:c r="G564" s="26" t="n">
        <x:v>2003</x:v>
      </x:c>
      <x:c r="H564" s="25" t="str">
        <x:v>Financial dollarization: causes and consequences</x:v>
      </x:c>
      <x:c r="I564" s="25" t="str"/>
      <x:c r="J564" s="25" t="str">
        <x:v>local_citation_grammar_v3</x:v>
      </x:c>
      <x:c r="K564" s="25" t="str">
        <x:v>automatic_screen_pass</x:v>
      </x:c>
      <x:c r="L564" s="25" t="str">
        <x:v>accepted</x:v>
      </x:c>
      <x:c r="M564" s="25" t="str">
        <x:v>no</x:v>
      </x:c>
      <x:c r="N564" s="25" t="str">
        <x:v>saki_research/published_papers/bigio_learning_under_fear_floating.pdf</x:v>
      </x:c>
      <x:c r="O564" s="25" t="str">
        <x:v>Ize, A., Levy-Yeyati, E., 2003. Financial dollarization: causes and consequences. Journal of International Economics 59, 323–347.</x:v>
      </x:c>
    </x:row>
    <x:row r="565" ht="48" customHeight="1">
      <x:c r="A565" s="24" t="str">
        <x:v>P01-R033</x:v>
      </x:c>
      <x:c r="B565" s="24" t="str">
        <x:v>P01</x:v>
      </x:c>
      <x:c r="C565" s="26" t="n">
        <x:v>33</x:v>
      </x:c>
      <x:c r="D565" s="26" t="n">
        <x:v>28</x:v>
      </x:c>
      <x:c r="E565" s="26" t="n">
        <x:v>28</x:v>
      </x:c>
      <x:c r="F565" s="26" t="str">
        <x:v>Kasa</x:v>
      </x:c>
      <x:c r="G565" s="26" t="n">
        <x:v>1999</x:v>
      </x:c>
      <x:c r="H565" s="25" t="str">
        <x:v>Will the fed ever learn?</x:v>
      </x:c>
      <x:c r="I565" s="25" t="str"/>
      <x:c r="J565" s="25" t="str">
        <x:v>local_citation_grammar_v3; literal_citation_review_2026-09-16</x:v>
      </x:c>
      <x:c r="K565" s="25" t="str">
        <x:v>prior_manual_sample</x:v>
      </x:c>
      <x:c r="L565" s="25" t="str">
        <x:v>accepted</x:v>
      </x:c>
      <x:c r="M565" s="25" t="str">
        <x:v>no</x:v>
      </x:c>
      <x:c r="N565" s="25" t="str">
        <x:v>saki_research/published_papers/bigio_learning_under_fear_floating.pdf</x:v>
      </x:c>
      <x:c r="O565" s="25" t="str">
        <x:v>Kasa, K., 1999. Will the fed ever learn? Journal of Macroeconomics 21, 279–292</x:v>
      </x:c>
    </x:row>
    <x:row r="566" ht="48" customHeight="1">
      <x:c r="A566" s="24" t="str">
        <x:v>P01-R034</x:v>
      </x:c>
      <x:c r="B566" s="24" t="str">
        <x:v>P01</x:v>
      </x:c>
      <x:c r="C566" s="26" t="n">
        <x:v>34</x:v>
      </x:c>
      <x:c r="D566" s="26" t="n">
        <x:v>28</x:v>
      </x:c>
      <x:c r="E566" s="26" t="n">
        <x:v>28</x:v>
      </x:c>
      <x:c r="F566" s="26" t="str">
        <x:v>Krugman</x:v>
      </x:c>
      <x:c r="G566" s="26" t="n">
        <x:v>1999</x:v>
      </x:c>
      <x:c r="H566" s="25" t="str">
        <x:v>Balance sheets effects, the transfer problem and financial crises</x:v>
      </x:c>
      <x:c r="I566" s="25" t="str"/>
      <x:c r="J566" s="25" t="str">
        <x:v>local_citation_grammar_v3</x:v>
      </x:c>
      <x:c r="K566" s="25" t="str">
        <x:v>automatic_screen_pass</x:v>
      </x:c>
      <x:c r="L566" s="25" t="str">
        <x:v>accepted</x:v>
      </x:c>
      <x:c r="M566" s="25" t="str">
        <x:v>no</x:v>
      </x:c>
      <x:c r="N566" s="25" t="str">
        <x:v>saki_research/published_papers/bigio_learning_under_fear_floating.pdf</x:v>
      </x:c>
      <x:c r="O566" s="25" t="str">
        <x:v>Krugman, P., 1999. Balance sheets effects, the transfer problem and financial crises. In: Isard, P., Razin, A., Rose, A.K. (Eds.), International Fina nce and Financial Crises: Essays in Honour of Robert P. Flood, Jr.. Kluwer Academic Publishers, New York, pp. 31–44.</x:v>
      </x:c>
    </x:row>
    <x:row r="567" ht="48" customHeight="1">
      <x:c r="A567" s="24" t="str">
        <x:v>P01-R035</x:v>
      </x:c>
      <x:c r="B567" s="24" t="str">
        <x:v>P01</x:v>
      </x:c>
      <x:c r="C567" s="26" t="n">
        <x:v>35</x:v>
      </x:c>
      <x:c r="D567" s="26" t="n">
        <x:v>28</x:v>
      </x:c>
      <x:c r="E567" s="26" t="n">
        <x:v>28</x:v>
      </x:c>
      <x:c r="F567" s="26" t="str">
        <x:v>Levy-Yeyati</x:v>
      </x:c>
      <x:c r="G567" s="26" t="n">
        <x:v>2003</x:v>
      </x:c>
      <x:c r="H567" s="25" t="str">
        <x:v>To float or to fix: evidence of the impact of exchange rate regimes on economic growth</x:v>
      </x:c>
      <x:c r="I567" s="25" t="str"/>
      <x:c r="J567" s="25" t="str">
        <x:v>local_citation_grammar_v3</x:v>
      </x:c>
      <x:c r="K567" s="25" t="str">
        <x:v>prior_manual_sample</x:v>
      </x:c>
      <x:c r="L567" s="25" t="str">
        <x:v>accepted</x:v>
      </x:c>
      <x:c r="M567" s="25" t="str">
        <x:v>no</x:v>
      </x:c>
      <x:c r="N567" s="25" t="str">
        <x:v>saki_research/published_papers/bigio_learning_under_fear_floating.pdf</x:v>
      </x:c>
      <x:c r="O567" s="25" t="str">
        <x:v>Levy-Yeyati, E., Sturzenegger, F., 2003a. To float or to fix: evidence of the impact of exchange rate regimes on economic growth. American Economic Review 93, 1173–1193.</x:v>
      </x:c>
    </x:row>
    <x:row r="568" ht="48" customHeight="1">
      <x:c r="A568" s="24" t="str">
        <x:v>P01-R036</x:v>
      </x:c>
      <x:c r="B568" s="24" t="str">
        <x:v>P01</x:v>
      </x:c>
      <x:c r="C568" s="26" t="n">
        <x:v>36</x:v>
      </x:c>
      <x:c r="D568" s="26" t="n">
        <x:v>28</x:v>
      </x:c>
      <x:c r="E568" s="26" t="n">
        <x:v>28</x:v>
      </x:c>
      <x:c r="F568" s="26" t="str">
        <x:v>Levy-Yeyati</x:v>
      </x:c>
      <x:c r="G568" s="26" t="n">
        <x:v>2003</x:v>
      </x:c>
      <x:c r="H568" s="25" t="str">
        <x:v>Classifying exchange rate regimes: deeds vs</x:v>
      </x:c>
      <x:c r="I568" s="25" t="str"/>
      <x:c r="J568" s="25" t="str">
        <x:v>local_citation_grammar_v3</x:v>
      </x:c>
      <x:c r="K568" s="25" t="str">
        <x:v>automatic_screen_pass</x:v>
      </x:c>
      <x:c r="L568" s="25" t="str">
        <x:v>accepted</x:v>
      </x:c>
      <x:c r="M568" s="25" t="str">
        <x:v>no</x:v>
      </x:c>
      <x:c r="N568" s="25" t="str">
        <x:v>saki_research/published_papers/bigio_learning_under_fear_floating.pdf</x:v>
      </x:c>
      <x:c r="O568" s="25" t="str">
        <x:v>Levy-Yeyati, E., Sturzenegger, F., 2003b. Classifying exchange rate regimes: deeds vs. words. European Economic Review 49, 1603–1635.</x:v>
      </x:c>
    </x:row>
    <x:row r="569" ht="48" customHeight="1">
      <x:c r="A569" s="24" t="str">
        <x:v>P01-R037</x:v>
      </x:c>
      <x:c r="B569" s="24" t="str">
        <x:v>P01</x:v>
      </x:c>
      <x:c r="C569" s="26" t="n">
        <x:v>37</x:v>
      </x:c>
      <x:c r="D569" s="26" t="n">
        <x:v>28</x:v>
      </x:c>
      <x:c r="E569" s="26" t="n">
        <x:v>28</x:v>
      </x:c>
      <x:c r="F569" s="26" t="str">
        <x:v>Lubik</x:v>
      </x:c>
      <x:c r="G569" s="26" t="n">
        <x:v>2007</x:v>
      </x:c>
      <x:c r="H569" s="25"/>
      <x:c r="I569" s="25" t="str">
        <x:v>source_omits_title; title_not_isolated</x:v>
      </x:c>
      <x:c r="J569" s="25" t="str">
        <x:v>local_citation_grammar_v3; source_page_28_review_2026-09-16</x:v>
      </x:c>
      <x:c r="K569" s="25" t="str">
        <x:v>automatic_screen_pass</x:v>
      </x:c>
      <x:c r="L569" s="25" t="str">
        <x:v>accepted_source_exception</x:v>
      </x:c>
      <x:c r="M569" s="25" t="str">
        <x:v>no</x:v>
      </x:c>
      <x:c r="N569" s="25" t="str">
        <x:v>saki_research/published_papers/bigio_learning_under_fear_floating.pdf</x:v>
      </x:c>
      <x:c r="O569" s="25" t="str">
        <x:v>Lubik, T.A., Schorfheide, F., 2007. Journal of Monetary Economics 54, 1069–1087.</x:v>
      </x:c>
    </x:row>
    <x:row r="570" ht="48" customHeight="1">
      <x:c r="A570" s="24" t="str">
        <x:v>P01-R038</x:v>
      </x:c>
      <x:c r="B570" s="24" t="str">
        <x:v>P01</x:v>
      </x:c>
      <x:c r="C570" s="26" t="n">
        <x:v>38</x:v>
      </x:c>
      <x:c r="D570" s="26" t="n">
        <x:v>28</x:v>
      </x:c>
      <x:c r="E570" s="26" t="n">
        <x:v>28</x:v>
      </x:c>
      <x:c r="F570" s="26" t="str">
        <x:v>Mailath</x:v>
      </x:c>
      <x:c r="G570" s="26" t="n">
        <x:v>2006</x:v>
      </x:c>
      <x:c r="H570" s="25" t="str">
        <x:v>Repeated Games and Reputation</x:v>
      </x:c>
      <x:c r="I570" s="25" t="str"/>
      <x:c r="J570" s="25" t="str">
        <x:v>local_citation_grammar_v3</x:v>
      </x:c>
      <x:c r="K570" s="25" t="str">
        <x:v>automatic_screen_pass</x:v>
      </x:c>
      <x:c r="L570" s="25" t="str">
        <x:v>accepted</x:v>
      </x:c>
      <x:c r="M570" s="25" t="str">
        <x:v>no</x:v>
      </x:c>
      <x:c r="N570" s="25" t="str">
        <x:v>saki_research/published_papers/bigio_learning_under_fear_floating.pdf</x:v>
      </x:c>
      <x:c r="O570" s="25" t="str">
        <x:v>Mailath, G.J., Samuelson, L., 2006. Repeated Games and Reputation. Oxford University Press, New York, New York.</x:v>
      </x:c>
    </x:row>
    <x:row r="571" ht="48" customHeight="1">
      <x:c r="A571" s="24" t="str">
        <x:v>P01-R039</x:v>
      </x:c>
      <x:c r="B571" s="24" t="str">
        <x:v>P01</x:v>
      </x:c>
      <x:c r="C571" s="26" t="n">
        <x:v>39</x:v>
      </x:c>
      <x:c r="D571" s="26" t="n">
        <x:v>28</x:v>
      </x:c>
      <x:c r="E571" s="26" t="n">
        <x:v>28</x:v>
      </x:c>
      <x:c r="F571" s="26" t="str">
        <x:v>Monacelli</x:v>
      </x:c>
      <x:c r="G571" s="26" t="n">
        <x:v>2005</x:v>
      </x:c>
      <x:c r="H571" s="25" t="str">
        <x:v>Monetary policy in a low pass-through environment</x:v>
      </x:c>
      <x:c r="I571" s="25" t="str"/>
      <x:c r="J571" s="25" t="str">
        <x:v>local_citation_grammar_v3</x:v>
      </x:c>
      <x:c r="K571" s="25" t="str">
        <x:v>prior_manual_sample</x:v>
      </x:c>
      <x:c r="L571" s="25" t="str">
        <x:v>accepted</x:v>
      </x:c>
      <x:c r="M571" s="25" t="str">
        <x:v>no</x:v>
      </x:c>
      <x:c r="N571" s="25" t="str">
        <x:v>saki_research/published_papers/bigio_learning_under_fear_floating.pdf</x:v>
      </x:c>
      <x:c r="O571" s="25" t="str">
        <x:v>Monacelli, T., 2005. Monetary policy in a low pass-through environment. Journal of Money, Credit and Banking 37, 1047–1066.</x:v>
      </x:c>
    </x:row>
    <x:row r="572" ht="48" customHeight="1">
      <x:c r="A572" s="24" t="str">
        <x:v>P01-R040</x:v>
      </x:c>
      <x:c r="B572" s="24" t="str">
        <x:v>P01</x:v>
      </x:c>
      <x:c r="C572" s="26" t="n">
        <x:v>40</x:v>
      </x:c>
      <x:c r="D572" s="26" t="n">
        <x:v>28</x:v>
      </x:c>
      <x:c r="E572" s="26" t="n">
        <x:v>28</x:v>
      </x:c>
      <x:c r="F572" s="26" t="str">
        <x:v>Murchison</x:v>
      </x:c>
      <x:c r="G572" s="26" t="n">
        <x:v>2006</x:v>
      </x:c>
      <x:c r="H572" s="25" t="str">
        <x:v>ToTEM: the Bank of Canada’s new quarterly projection model</x:v>
      </x:c>
      <x:c r="I572" s="25" t="str"/>
      <x:c r="J572" s="25" t="str">
        <x:v>local_citation_grammar_v3</x:v>
      </x:c>
      <x:c r="K572" s="25" t="str">
        <x:v>automatic_screen_pass</x:v>
      </x:c>
      <x:c r="L572" s="25" t="str">
        <x:v>accepted</x:v>
      </x:c>
      <x:c r="M572" s="25" t="str">
        <x:v>no</x:v>
      </x:c>
      <x:c r="N572" s="25" t="str">
        <x:v>saki_research/published_papers/bigio_learning_under_fear_floating.pdf</x:v>
      </x:c>
      <x:c r="O572" s="25" t="str">
        <x:v>Murchison, S., Rennison, A., 2006. ToTEM: the Bank of Canada’s new quarterly projection model. Bank of Canada Technical Report No. 97.</x:v>
      </x:c>
    </x:row>
    <x:row r="573" ht="48" customHeight="1">
      <x:c r="A573" s="24" t="str">
        <x:v>P01-R041</x:v>
      </x:c>
      <x:c r="B573" s="24" t="str">
        <x:v>P01</x:v>
      </x:c>
      <x:c r="C573" s="26" t="n">
        <x:v>41</x:v>
      </x:c>
      <x:c r="D573" s="26" t="n">
        <x:v>28</x:v>
      </x:c>
      <x:c r="E573" s="26" t="n">
        <x:v>28</x:v>
      </x:c>
      <x:c r="F573" s="26" t="str">
        <x:v>Sargent</x:v>
      </x:c>
      <x:c r="G573" s="26" t="n">
        <x:v>1999</x:v>
      </x:c>
      <x:c r="H573" s="25" t="str">
        <x:v>The Conquest of American Inflation</x:v>
      </x:c>
      <x:c r="I573" s="25" t="str"/>
      <x:c r="J573" s="25" t="str">
        <x:v>local_citation_grammar_v3</x:v>
      </x:c>
      <x:c r="K573" s="25" t="str">
        <x:v>automatic_screen_pass</x:v>
      </x:c>
      <x:c r="L573" s="25" t="str">
        <x:v>accepted</x:v>
      </x:c>
      <x:c r="M573" s="25" t="str">
        <x:v>no</x:v>
      </x:c>
      <x:c r="N573" s="25" t="str">
        <x:v>saki_research/published_papers/bigio_learning_under_fear_floating.pdf</x:v>
      </x:c>
      <x:c r="O573" s="25" t="str">
        <x:v>Sargent, T.J., 1999. The Conquest of American Inflation. Princeton University Press, Princeton, NJ.</x:v>
      </x:c>
    </x:row>
    <x:row r="574" ht="48" customHeight="1">
      <x:c r="A574" s="24" t="str">
        <x:v>P01-R042</x:v>
      </x:c>
      <x:c r="B574" s="24" t="str">
        <x:v>P01</x:v>
      </x:c>
      <x:c r="C574" s="26" t="n">
        <x:v>42</x:v>
      </x:c>
      <x:c r="D574" s="26" t="n">
        <x:v>28</x:v>
      </x:c>
      <x:c r="E574" s="26" t="n">
        <x:v>28</x:v>
      </x:c>
      <x:c r="F574" s="26" t="str">
        <x:v>Sargent</x:v>
      </x:c>
      <x:c r="G574" s="26" t="n">
        <x:v>2005</x:v>
      </x:c>
      <x:c r="H574" s="25" t="str">
        <x:v>Impacts of priors on convergence and escapes from Nash inflation</x:v>
      </x:c>
      <x:c r="I574" s="25" t="str"/>
      <x:c r="J574" s="25" t="str">
        <x:v>local_citation_grammar_v3</x:v>
      </x:c>
      <x:c r="K574" s="25" t="str">
        <x:v>automatic_screen_pass</x:v>
      </x:c>
      <x:c r="L574" s="25" t="str">
        <x:v>accepted</x:v>
      </x:c>
      <x:c r="M574" s="25" t="str">
        <x:v>no</x:v>
      </x:c>
      <x:c r="N574" s="25" t="str">
        <x:v>saki_research/published_papers/bigio_learning_under_fear_floating.pdf</x:v>
      </x:c>
      <x:c r="O574" s="25" t="str">
        <x:v>Sargent, T.J., Williams, N., 2005. Impacts of priors on convergence and escapes from Nash inflation. Review of Economic Dynamics 8, 360–391.</x:v>
      </x:c>
    </x:row>
    <x:row r="575" ht="48" customHeight="1">
      <x:c r="A575" s="24" t="str">
        <x:v>P01-R043</x:v>
      </x:c>
      <x:c r="B575" s="24" t="str">
        <x:v>P01</x:v>
      </x:c>
      <x:c r="C575" s="26" t="n">
        <x:v>43</x:v>
      </x:c>
      <x:c r="D575" s="26" t="n">
        <x:v>28</x:v>
      </x:c>
      <x:c r="E575" s="26" t="n">
        <x:v>28</x:v>
      </x:c>
      <x:c r="F575" s="26" t="str">
        <x:v>Schneider</x:v>
      </x:c>
      <x:c r="G575" s="26" t="n">
        <x:v>2004</x:v>
      </x:c>
      <x:c r="H575" s="25" t="str">
        <x:v>Balance sheet effects, bailout guarantees and financial crises</x:v>
      </x:c>
      <x:c r="I575" s="25" t="str"/>
      <x:c r="J575" s="25" t="str">
        <x:v>local_citation_grammar_v3</x:v>
      </x:c>
      <x:c r="K575" s="25" t="str">
        <x:v>automatic_screen_pass</x:v>
      </x:c>
      <x:c r="L575" s="25" t="str">
        <x:v>accepted</x:v>
      </x:c>
      <x:c r="M575" s="25" t="str">
        <x:v>no</x:v>
      </x:c>
      <x:c r="N575" s="25" t="str">
        <x:v>saki_research/published_papers/bigio_learning_under_fear_floating.pdf</x:v>
      </x:c>
      <x:c r="O575" s="25" t="str">
        <x:v>Schneider, M., Tornell, A., 2004. Balance sheet effects, bailout guarantees and financial crises. Review of Economic Studies 71, 883–913.</x:v>
      </x:c>
    </x:row>
    <x:row r="576" ht="48" customHeight="1">
      <x:c r="A576" s="24" t="str">
        <x:v>P01-R044</x:v>
      </x:c>
      <x:c r="B576" s="24" t="str">
        <x:v>P01</x:v>
      </x:c>
      <x:c r="C576" s="26" t="n">
        <x:v>44</x:v>
      </x:c>
      <x:c r="D576" s="26" t="n">
        <x:v>28</x:v>
      </x:c>
      <x:c r="E576" s="26" t="n">
        <x:v>28</x:v>
      </x:c>
      <x:c r="F576" s="26" t="str">
        <x:v>Wieland</x:v>
      </x:c>
      <x:c r="G576" s="26" t="n">
        <x:v>2000</x:v>
      </x:c>
      <x:c r="H576" s="25" t="str">
        <x:v>Learning by doing and the value of optimal experimentation</x:v>
      </x:c>
      <x:c r="I576" s="25" t="str"/>
      <x:c r="J576" s="25" t="str">
        <x:v>local_citation_grammar_v3</x:v>
      </x:c>
      <x:c r="K576" s="25" t="str">
        <x:v>automatic_screen_pass</x:v>
      </x:c>
      <x:c r="L576" s="25" t="str">
        <x:v>accepted</x:v>
      </x:c>
      <x:c r="M576" s="25" t="str">
        <x:v>no</x:v>
      </x:c>
      <x:c r="N576" s="25" t="str">
        <x:v>saki_research/published_papers/bigio_learning_under_fear_floating.pdf</x:v>
      </x:c>
      <x:c r="O576" s="25" t="str">
        <x:v>Wieland, V., 2000a. Learning by doing and the value of optimal experimentation. Journal of Economic Dynamics and Control 24, 501–534.</x:v>
      </x:c>
    </x:row>
    <x:row r="577" ht="48" customHeight="1">
      <x:c r="A577" s="24" t="str">
        <x:v>P08-R001</x:v>
      </x:c>
      <x:c r="B577" s="24" t="str">
        <x:v>P08</x:v>
      </x:c>
      <x:c r="C577" s="26" t="n">
        <x:v>1</x:v>
      </x:c>
      <x:c r="D577" s="26" t="n">
        <x:v>43</x:v>
      </x:c>
      <x:c r="E577" s="26" t="n">
        <x:v>43</x:v>
      </x:c>
      <x:c r="F577" s="26" t="str">
        <x:v>Achdou</x:v>
      </x:c>
      <x:c r="G577" s="26" t="n">
        <x:v>2017</x:v>
      </x:c>
      <x:c r="H577" s="25" t="str">
        <x:v>Income and wealth distribution in macroeconomics: A continuous-time approach</x:v>
      </x:c>
      <x:c r="I577" s="25" t="str"/>
      <x:c r="J577" s="25" t="str"/>
      <x:c r="K577" s="25" t="str">
        <x:v>automatic_screen_pass</x:v>
      </x:c>
      <x:c r="L577" s="25" t="str">
        <x:v>accepted</x:v>
      </x:c>
      <x:c r="M577" s="25" t="str">
        <x:v>no</x:v>
      </x:c>
      <x:c r="N577" s="25" t="str">
        <x:v>saki_research/published_papers/bigio_nuno_passadore_debt_maturity_management_liquidity_costs.pdf</x:v>
      </x:c>
      <x:c r="O577" s="25" t="str">
        <x:v>Achdou, Yves, Jiequn Han, Jean-Michel Lasry, Pierre-Louis Lions, and Benjamin Moll, “Income and wealth distribution in macroeconomics: A continuous-time approach,” Technical Report, National BureauofEconomicResearch2017.</x:v>
      </x:c>
    </x:row>
    <x:row r="578" ht="48" customHeight="1">
      <x:c r="A578" s="24" t="str">
        <x:v>P08-R002</x:v>
      </x:c>
      <x:c r="B578" s="24" t="str">
        <x:v>P08</x:v>
      </x:c>
      <x:c r="C578" s="26" t="n">
        <x:v>2</x:v>
      </x:c>
      <x:c r="D578" s="26" t="n">
        <x:v>43</x:v>
      </x:c>
      <x:c r="E578" s="26" t="n">
        <x:v>43</x:v>
      </x:c>
      <x:c r="F578" s="26" t="str">
        <x:v>Aguiar</x:v>
      </x:c>
      <x:c r="G578" s="26" t="n">
        <x:v>2006</x:v>
      </x:c>
      <x:c r="H578" s="25" t="str">
        <x:v>Defaultable debt, interest rates and the current account</x:v>
      </x:c>
      <x:c r="I578" s="25" t="str"/>
      <x:c r="J578" s="25" t="str"/>
      <x:c r="K578" s="25" t="str">
        <x:v>automatic_screen_pass</x:v>
      </x:c>
      <x:c r="L578" s="25" t="str">
        <x:v>accepted</x:v>
      </x:c>
      <x:c r="M578" s="25" t="str">
        <x:v>no</x:v>
      </x:c>
      <x:c r="N578" s="25" t="str">
        <x:v>saki_research/published_papers/bigio_nuno_passadore_debt_maturity_management_liquidity_costs.pdf</x:v>
      </x:c>
      <x:c r="O578" s="25" t="str">
        <x:v>Aguiar, Mark and Gita Gopinath, “Defaultable debt, interest rates and the current account,” Journal of InternationalEconomics,2006, 69(1),64–83.</x:v>
      </x:c>
    </x:row>
    <x:row r="579" ht="48" customHeight="1">
      <x:c r="A579" s="24" t="str">
        <x:v>P08-R003</x:v>
      </x:c>
      <x:c r="B579" s="24" t="str">
        <x:v>P08</x:v>
      </x:c>
      <x:c r="C579" s="26" t="n">
        <x:v>3</x:v>
      </x:c>
      <x:c r="D579" s="26" t="n">
        <x:v>43</x:v>
      </x:c>
      <x:c r="E579" s="26" t="n">
        <x:v>43</x:v>
      </x:c>
      <x:c r="F579" s="26" t="str">
        <x:v>Aguiar</x:v>
      </x:c>
      <x:c r="G579" s="26" t="n">
        <x:v>2013</x:v>
      </x:c>
      <x:c r="H579" s="25" t="str">
        <x:v>Sovereign Debt: A Review</x:v>
      </x:c>
      <x:c r="I579" s="25" t="str">
        <x:v>inherited_author_notation</x:v>
      </x:c>
      <x:c r="J579" s="25" t="str"/>
      <x:c r="K579" s="25" t="str">
        <x:v>automatic_screen_pass</x:v>
      </x:c>
      <x:c r="L579" s="25" t="str">
        <x:v>accepted</x:v>
      </x:c>
      <x:c r="M579" s="25" t="str">
        <x:v>no</x:v>
      </x:c>
      <x:c r="N579" s="25" t="str">
        <x:v>saki_research/published_papers/bigio_nuno_passadore_debt_maturity_management_liquidity_costs.pdf</x:v>
      </x:c>
      <x:c r="O579" s="25" t="str">
        <x:v>and Manuel Amador, “Sovereign Debt: A Review,” Technical Report, National Bureau of Economic ResearchAugust2013.</x:v>
      </x:c>
    </x:row>
    <x:row r="580" ht="48" customHeight="1">
      <x:c r="A580" s="24" t="str">
        <x:v>P08-R004</x:v>
      </x:c>
      <x:c r="B580" s="24" t="str">
        <x:v>P08</x:v>
      </x:c>
      <x:c r="C580" s="26" t="n">
        <x:v>4</x:v>
      </x:c>
      <x:c r="D580" s="26" t="n">
        <x:v>43</x:v>
      </x:c>
      <x:c r="E580" s="26" t="n">
        <x:v>43</x:v>
      </x:c>
      <x:c r="F580" s="26" t="str">
        <x:v>Aguiar</x:v>
      </x:c>
      <x:c r="G580" s="26"/>
      <x:c r="H580" s="25" t="str">
        <x:v>Taketheshortroute: Equilibriumdefaultanddebtmaturity</x:v>
      </x:c>
      <x:c r="I580" s="25" t="str">
        <x:v>missing_year</x:v>
      </x:c>
      <x:c r="J580" s="25" t="str"/>
      <x:c r="K580" s="25" t="str">
        <x:v>prior_manual_sample</x:v>
      </x:c>
      <x:c r="L580" s="25" t="str">
        <x:v>accepted</x:v>
      </x:c>
      <x:c r="M580" s="25" t="str">
        <x:v>no</x:v>
      </x:c>
      <x:c r="N580" s="25" t="str">
        <x:v>saki_research/published_papers/bigio_nuno_passadore_debt_maturity_management_liquidity_costs.pdf</x:v>
      </x:c>
      <x:c r="O580" s="25" t="str">
        <x:v>, ,HugoHopenhayn,andIvánWerning,“Taketheshortroute: Equilibriumdefaultanddebtmaturity,”Econometrica,Forthcoming.</x:v>
      </x:c>
    </x:row>
    <x:row r="581" ht="48" customHeight="1">
      <x:c r="A581" s="24" t="str">
        <x:v>P08-R005</x:v>
      </x:c>
      <x:c r="B581" s="24" t="str">
        <x:v>P08</x:v>
      </x:c>
      <x:c r="C581" s="26" t="n">
        <x:v>5</x:v>
      </x:c>
      <x:c r="D581" s="26" t="n">
        <x:v>43</x:v>
      </x:c>
      <x:c r="E581" s="26" t="n">
        <x:v>43</x:v>
      </x:c>
      <x:c r="F581" s="26" t="str">
        <x:v>Ahn</x:v>
      </x:c>
      <x:c r="G581" s="26" t="n">
        <x:v>2017</x:v>
      </x:c>
      <x:c r="H581" s="25" t="str">
        <x:v>MicroHeterogeneity andAggregateConsumptionDynamics</x:v>
      </x:c>
      <x:c r="I581" s="25" t="str"/>
      <x:c r="J581" s="25" t="str"/>
      <x:c r="K581" s="25" t="str">
        <x:v>prior_manual_sample</x:v>
      </x:c>
      <x:c r="L581" s="25" t="str">
        <x:v>accepted</x:v>
      </x:c>
      <x:c r="M581" s="25" t="str">
        <x:v>no</x:v>
      </x:c>
      <x:c r="N581" s="25" t="str">
        <x:v>saki_research/published_papers/bigio_nuno_passadore_debt_maturity_management_liquidity_costs.pdf</x:v>
      </x:c>
      <x:c r="O581" s="25" t="str">
        <x:v>Ahn,S,GregKaplan,BenjaminMoll,ThomasWinberry,andChristianWolf,“MicroHeterogeneity andAggregateConsumptionDynamics,”NBERMacroeconomicsAnnual,forthcoming,2017.</x:v>
      </x:c>
    </x:row>
    <x:row r="582" ht="48" customHeight="1">
      <x:c r="A582" s="24" t="str">
        <x:v>P08-R006</x:v>
      </x:c>
      <x:c r="B582" s="24" t="str">
        <x:v>P08</x:v>
      </x:c>
      <x:c r="C582" s="26" t="n">
        <x:v>6</x:v>
      </x:c>
      <x:c r="D582" s="26" t="n">
        <x:v>43</x:v>
      </x:c>
      <x:c r="E582" s="26" t="n">
        <x:v>43</x:v>
      </x:c>
      <x:c r="F582" s="26" t="str">
        <x:v>Aiyagari</x:v>
      </x:c>
      <x:c r="G582" s="26" t="n">
        <x:v>2002</x:v>
      </x:c>
      <x:c r="H582" s="25" t="str">
        <x:v>Optimaltaxationwithoutstatecontingentdebt</x:v>
      </x:c>
      <x:c r="I582" s="25" t="str"/>
      <x:c r="J582" s="25" t="str"/>
      <x:c r="K582" s="25" t="str">
        <x:v>prior_manual_sample</x:v>
      </x:c>
      <x:c r="L582" s="25" t="str">
        <x:v>accepted</x:v>
      </x:c>
      <x:c r="M582" s="25" t="str">
        <x:v>no</x:v>
      </x:c>
      <x:c r="N582" s="25" t="str">
        <x:v>saki_research/published_papers/bigio_nuno_passadore_debt_maturity_management_liquidity_costs.pdf</x:v>
      </x:c>
      <x:c r="O582" s="25" t="str">
        <x:v>Aiyagari,SRao,AlbertMarcet,ThomasJSargent,andJuhaSeppälä,“Optimaltaxationwithoutstatecontingentdebt,”JournalofPoliticalEconomy,2002, 110(6),1220–1254.</x:v>
      </x:c>
    </x:row>
    <x:row r="583" ht="48" customHeight="1">
      <x:c r="A583" s="24" t="str">
        <x:v>P08-R007</x:v>
      </x:c>
      <x:c r="B583" s="24" t="str">
        <x:v>P08</x:v>
      </x:c>
      <x:c r="C583" s="26" t="n">
        <x:v>7</x:v>
      </x:c>
      <x:c r="D583" s="26" t="n">
        <x:v>43</x:v>
      </x:c>
      <x:c r="E583" s="26" t="n">
        <x:v>43</x:v>
      </x:c>
      <x:c r="F583" s="26" t="str">
        <x:v>Angeletos</x:v>
      </x:c>
      <x:c r="G583" s="26" t="n">
        <x:v>2002</x:v>
      </x:c>
      <x:c r="H583" s="25" t="str">
        <x:v>Fiscal policy with noncontingent debt and the optimal maturity structure</x:v>
      </x:c>
      <x:c r="I583" s="25" t="str"/>
      <x:c r="J583" s="25" t="str"/>
      <x:c r="K583" s="25" t="str">
        <x:v>automatic_screen_pass</x:v>
      </x:c>
      <x:c r="L583" s="25" t="str">
        <x:v>accepted</x:v>
      </x:c>
      <x:c r="M583" s="25" t="str">
        <x:v>no</x:v>
      </x:c>
      <x:c r="N583" s="25" t="str">
        <x:v>saki_research/published_papers/bigio_nuno_passadore_debt_maturity_management_liquidity_costs.pdf</x:v>
      </x:c>
      <x:c r="O583" s="25" t="str">
        <x:v>Angeletos,George-Marios, “Fiscal policy with noncontingent debt and the optimal maturity structure,” TheQuarterlyJournalofEconomics,2002, 117(3),1105–1131.</x:v>
      </x:c>
    </x:row>
    <x:row r="584" ht="48" customHeight="1">
      <x:c r="A584" s="24" t="str">
        <x:v>P08-R008</x:v>
      </x:c>
      <x:c r="B584" s="24" t="str">
        <x:v>P08</x:v>
      </x:c>
      <x:c r="C584" s="26" t="n">
        <x:v>8</x:v>
      </x:c>
      <x:c r="D584" s="26" t="n">
        <x:v>43</x:v>
      </x:c>
      <x:c r="E584" s="26" t="n">
        <x:v>43</x:v>
      </x:c>
      <x:c r="F584" s="26" t="str">
        <x:v>Arellano</x:v>
      </x:c>
      <x:c r="G584" s="26" t="n">
        <x:v>2008</x:v>
      </x:c>
      <x:c r="H584" s="25" t="str">
        <x:v>Default Risk and Income Fluctuations in Emerging Economies</x:v>
      </x:c>
      <x:c r="I584" s="25" t="str"/>
      <x:c r="J584" s="25" t="str"/>
      <x:c r="K584" s="25" t="str">
        <x:v>automatic_screen_pass</x:v>
      </x:c>
      <x:c r="L584" s="25" t="str">
        <x:v>accepted</x:v>
      </x:c>
      <x:c r="M584" s="25" t="str">
        <x:v>no</x:v>
      </x:c>
      <x:c r="N584" s="25" t="str">
        <x:v>saki_research/published_papers/bigio_nuno_passadore_debt_maturity_management_liquidity_costs.pdf</x:v>
      </x:c>
      <x:c r="O584" s="25" t="str">
        <x:v>Arellano, Cristina, “Default Risk and Income Fluctuations in Emerging Economies,” The American EconomicReview,2008, 98(3),690–712.</x:v>
      </x:c>
    </x:row>
    <x:row r="585" ht="48" customHeight="1">
      <x:c r="A585" s="24" t="str">
        <x:v>P08-R009</x:v>
      </x:c>
      <x:c r="B585" s="24" t="str">
        <x:v>P08</x:v>
      </x:c>
      <x:c r="C585" s="26" t="n">
        <x:v>9</x:v>
      </x:c>
      <x:c r="D585" s="26" t="n">
        <x:v>43</x:v>
      </x:c>
      <x:c r="E585" s="26" t="n">
        <x:v>43</x:v>
      </x:c>
      <x:c r="F585" s="26" t="str">
        <x:v>Arellano</x:v>
      </x:c>
      <x:c r="G585" s="26" t="n">
        <x:v>2012</x:v>
      </x:c>
      <x:c r="H585" s="25" t="str">
        <x:v>Default and the Maturity Structure in Sovereign Bonds</x:v>
      </x:c>
      <x:c r="I585" s="25" t="str">
        <x:v>inherited_author_notation</x:v>
      </x:c>
      <x:c r="J585" s="25" t="str"/>
      <x:c r="K585" s="25" t="str">
        <x:v>automatic_screen_pass</x:v>
      </x:c>
      <x:c r="L585" s="25" t="str">
        <x:v>accepted</x:v>
      </x:c>
      <x:c r="M585" s="25" t="str">
        <x:v>no</x:v>
      </x:c>
      <x:c r="N585" s="25" t="str">
        <x:v>saki_research/published_papers/bigio_nuno_passadore_debt_maturity_management_liquidity_costs.pdf</x:v>
      </x:c>
      <x:c r="O585" s="25" t="str">
        <x:v>and Ananth Ramanarayanan, “Default and the Maturity Structure in Sovereign Bonds,” Journal of PoliticalEconomy,2012, 120(2),pp.187–232.</x:v>
      </x:c>
    </x:row>
    <x:row r="586" ht="48" customHeight="1">
      <x:c r="A586" s="24" t="str">
        <x:v>P08-R010</x:v>
      </x:c>
      <x:c r="B586" s="24" t="str">
        <x:v>P08</x:v>
      </x:c>
      <x:c r="C586" s="26" t="n">
        <x:v>10</x:v>
      </x:c>
      <x:c r="D586" s="26" t="n">
        <x:v>43</x:v>
      </x:c>
      <x:c r="E586" s="26" t="n">
        <x:v>43</x:v>
      </x:c>
      <x:c r="F586" s="26" t="str">
        <x:v>Barro</x:v>
      </x:c>
      <x:c r="G586" s="26" t="n">
        <x:v>2003</x:v>
      </x:c>
      <x:c r="H586" s="25" t="str">
        <x:v>Optimal Management of Indexed and Nominal Debtl</x:v>
      </x:c>
      <x:c r="I586" s="25" t="str"/>
      <x:c r="J586" s="25" t="str"/>
      <x:c r="K586" s="25" t="str">
        <x:v>automatic_screen_pass</x:v>
      </x:c>
      <x:c r="L586" s="25" t="str">
        <x:v>accepted</x:v>
      </x:c>
      <x:c r="M586" s="25" t="str">
        <x:v>no</x:v>
      </x:c>
      <x:c r="N586" s="25" t="str">
        <x:v>saki_research/published_papers/bigio_nuno_passadore_debt_maturity_management_liquidity_costs.pdf</x:v>
      </x:c>
      <x:c r="O586" s="25" t="str">
        <x:v>Barro, Robert, “Optimal Management of Indexed and Nominal Debtl,” Annals of Economics and Finance, 2003,4,1–15.</x:v>
      </x:c>
    </x:row>
    <x:row r="587" ht="48" customHeight="1">
      <x:c r="A587" s="24" t="str">
        <x:v>P08-R011</x:v>
      </x:c>
      <x:c r="B587" s="24" t="str">
        <x:v>P08</x:v>
      </x:c>
      <x:c r="C587" s="26" t="n">
        <x:v>11</x:v>
      </x:c>
      <x:c r="D587" s="26" t="n">
        <x:v>43</x:v>
      </x:c>
      <x:c r="E587" s="26" t="n">
        <x:v>43</x:v>
      </x:c>
      <x:c r="F587" s="26" t="str">
        <x:v>Barro</x:v>
      </x:c>
      <x:c r="G587" s="26" t="n">
        <x:v>2010</x:v>
      </x:c>
      <x:c r="H587" s="25" t="str">
        <x:v>Barro-UrsuaMacroeconomicData</x:v>
      </x:c>
      <x:c r="I587" s="25" t="str"/>
      <x:c r="J587" s="25" t="str"/>
      <x:c r="K587" s="25" t="str">
        <x:v>automatic_screen_pass</x:v>
      </x:c>
      <x:c r="L587" s="25" t="str">
        <x:v>accepted</x:v>
      </x:c>
      <x:c r="M587" s="25" t="str">
        <x:v>no</x:v>
      </x:c>
      <x:c r="N587" s="25" t="str">
        <x:v>saki_research/published_papers/bigio_nuno_passadore_debt_maturity_management_liquidity_costs.pdf</x:v>
      </x:c>
      <x:c r="O587" s="25" t="str">
        <x:v>andJoséUrsua,“Barro-UrsuaMacroeconomicData,”2010.</x:v>
      </x:c>
    </x:row>
    <x:row r="588" ht="48" customHeight="1">
      <x:c r="A588" s="24" t="str">
        <x:v>P08-R012</x:v>
      </x:c>
      <x:c r="B588" s="24" t="str">
        <x:v>P08</x:v>
      </x:c>
      <x:c r="C588" s="26" t="n">
        <x:v>12</x:v>
      </x:c>
      <x:c r="D588" s="26" t="n">
        <x:v>43</x:v>
      </x:c>
      <x:c r="E588" s="26" t="n">
        <x:v>43</x:v>
      </x:c>
      <x:c r="F588" s="26" t="str">
        <x:v>Barro</x:v>
      </x:c>
      <x:c r="G588" s="26" t="n">
        <x:v>1979</x:v>
      </x:c>
      <x:c r="H588" s="25" t="str">
        <x:v>Onthedeterminationofthepublicdebt</x:v>
      </x:c>
      <x:c r="I588" s="25" t="str"/>
      <x:c r="J588" s="25" t="str"/>
      <x:c r="K588" s="25" t="str">
        <x:v>automatic_screen_pass</x:v>
      </x:c>
      <x:c r="L588" s="25" t="str">
        <x:v>accepted</x:v>
      </x:c>
      <x:c r="M588" s="25" t="str">
        <x:v>no</x:v>
      </x:c>
      <x:c r="N588" s="25" t="str">
        <x:v>saki_research/published_papers/bigio_nuno_passadore_debt_maturity_management_liquidity_costs.pdf</x:v>
      </x:c>
      <x:c r="O588" s="25" t="str">
        <x:v>Barro,RobertJ,“Onthedeterminationofthepublicdebt,” JournalofPoliticalEconomy,1979, 87,940–971.</x:v>
      </x:c>
    </x:row>
    <x:row r="589" ht="48" customHeight="1">
      <x:c r="A589" s="24" t="str">
        <x:v>P08-R013</x:v>
      </x:c>
      <x:c r="B589" s="24" t="str">
        <x:v>P08</x:v>
      </x:c>
      <x:c r="C589" s="26" t="n">
        <x:v>13</x:v>
      </x:c>
      <x:c r="D589" s="26" t="n">
        <x:v>44</x:v>
      </x:c>
      <x:c r="E589" s="26" t="n">
        <x:v>44</x:v>
      </x:c>
      <x:c r="F589" s="26" t="str">
        <x:v>Barro</x:v>
      </x:c>
      <x:c r="G589" s="26" t="n">
        <x:v>2006</x:v>
      </x:c>
      <x:c r="H589" s="25" t="str">
        <x:v>Rare Disasters and Asset Markets in the Twentieth Century</x:v>
      </x:c>
      <x:c r="I589" s="25" t="str"/>
      <x:c r="J589" s="25" t="str"/>
      <x:c r="K589" s="25" t="str">
        <x:v>automatic_screen_pass</x:v>
      </x:c>
      <x:c r="L589" s="25" t="str">
        <x:v>accepted</x:v>
      </x:c>
      <x:c r="M589" s="25" t="str">
        <x:v>no</x:v>
      </x:c>
      <x:c r="N589" s="25" t="str">
        <x:v>saki_research/published_papers/bigio_nuno_passadore_debt_maturity_management_liquidity_costs.pdf</x:v>
      </x:c>
      <x:c r="O589" s="25" t="str">
        <x:v>Barro, Robert J., “Rare Disasters and Asset Markets in the Twentieth Century,” The Quarterly Journal of Economics,2006, 121(3),823–866.</x:v>
      </x:c>
    </x:row>
    <x:row r="590" ht="48" customHeight="1">
      <x:c r="A590" s="24" t="str">
        <x:v>P08-R014</x:v>
      </x:c>
      <x:c r="B590" s="24" t="str">
        <x:v>P08</x:v>
      </x:c>
      <x:c r="C590" s="26" t="n">
        <x:v>14</x:v>
      </x:c>
      <x:c r="D590" s="26" t="n">
        <x:v>44</x:v>
      </x:c>
      <x:c r="E590" s="26" t="n">
        <x:v>44</x:v>
      </x:c>
      <x:c r="F590" s="26" t="str">
        <x:v>Bhandari</x:v>
      </x:c>
      <x:c r="G590" s="26" t="n">
        <x:v>2017</x:v>
      </x:c>
      <x:c r="H590" s="25" t="str">
        <x:v>Fiscal Policy and Debt ManagementwithIncompleteMarkets*</x:v>
      </x:c>
      <x:c r="I590" s="25" t="str"/>
      <x:c r="J590" s="25" t="str"/>
      <x:c r="K590" s="25" t="str">
        <x:v>prior_manual_sample</x:v>
      </x:c>
      <x:c r="L590" s="25" t="str">
        <x:v>accepted</x:v>
      </x:c>
      <x:c r="M590" s="25" t="str">
        <x:v>no</x:v>
      </x:c>
      <x:c r="N590" s="25" t="str">
        <x:v>saki_research/published_papers/bigio_nuno_passadore_debt_maturity_management_liquidity_costs.pdf</x:v>
      </x:c>
      <x:c r="O590" s="25" t="str">
        <x:v>Bhandari, Anmol, David Evans, Mikhail Golosov, and Thomas J. Sargent, “Fiscal Policy and Debt ManagementwithIncompleteMarkets*,”TheQuarterlyJournalofEconomics,2017, 132(2),617–663.</x:v>
      </x:c>
    </x:row>
    <x:row r="591" ht="48" customHeight="1">
      <x:c r="A591" s="24" t="str">
        <x:v>P08-R015</x:v>
      </x:c>
      <x:c r="B591" s="24" t="str">
        <x:v>P08</x:v>
      </x:c>
      <x:c r="C591" s="26" t="n">
        <x:v>15</x:v>
      </x:c>
      <x:c r="D591" s="26" t="n">
        <x:v>44</x:v>
      </x:c>
      <x:c r="E591" s="26" t="n">
        <x:v>44</x:v>
      </x:c>
      <x:c r="F591" s="26" t="str">
        <x:v>Bianchi</x:v>
      </x:c>
      <x:c r="G591" s="26"/>
      <x:c r="H591" s="25" t="str">
        <x:v>Internationalreservesandrollover risk</x:v>
      </x:c>
      <x:c r="I591" s="25" t="str">
        <x:v>missing_year</x:v>
      </x:c>
      <x:c r="J591" s="25" t="str"/>
      <x:c r="K591" s="25" t="str">
        <x:v>automatic_screen_pass</x:v>
      </x:c>
      <x:c r="L591" s="25" t="str">
        <x:v>accepted</x:v>
      </x:c>
      <x:c r="M591" s="25" t="str">
        <x:v>no</x:v>
      </x:c>
      <x:c r="N591" s="25" t="str">
        <x:v>saki_research/published_papers/bigio_nuno_passadore_debt_maturity_management_liquidity_costs.pdf</x:v>
      </x:c>
      <x:c r="O591" s="25" t="str">
        <x:v>Bianchi,Javier,JuanCarlosHatchondo,andLeonardoMartinez,“Internationalreservesandrollover risk,”AmericanEconomicReview,Forthcoming.</x:v>
      </x:c>
    </x:row>
    <x:row r="592" ht="48" customHeight="1">
      <x:c r="A592" s="24" t="str">
        <x:v>P08-R016</x:v>
      </x:c>
      <x:c r="B592" s="24" t="str">
        <x:v>P08</x:v>
      </x:c>
      <x:c r="C592" s="26" t="n">
        <x:v>16</x:v>
      </x:c>
      <x:c r="D592" s="26" t="n">
        <x:v>44</x:v>
      </x:c>
      <x:c r="E592" s="26" t="n">
        <x:v>44</x:v>
      </x:c>
      <x:c r="F592" s="26" t="str">
        <x:v>Bocola</x:v>
      </x:c>
      <x:c r="G592" s="26" t="n">
        <x:v>2018</x:v>
      </x:c>
      <x:c r="H592" s="25" t="str">
        <x:v>Self-FulfillingDebtCrises:AQuantitativeAnalysis</x:v>
      </x:c>
      <x:c r="I592" s="25" t="str"/>
      <x:c r="J592" s="25" t="str"/>
      <x:c r="K592" s="25" t="str">
        <x:v>automatic_screen_pass</x:v>
      </x:c>
      <x:c r="L592" s="25" t="str">
        <x:v>accepted</x:v>
      </x:c>
      <x:c r="M592" s="25" t="str">
        <x:v>no</x:v>
      </x:c>
      <x:c r="N592" s="25" t="str">
        <x:v>saki_research/published_papers/bigio_nuno_passadore_debt_maturity_management_liquidity_costs.pdf</x:v>
      </x:c>
      <x:c r="O592" s="25" t="str">
        <x:v>Bocola,LuigiandAlessandroDovis,“Self-FulfillingDebtCrises:AQuantitativeAnalysis,”WorkingPaper, 2018.</x:v>
      </x:c>
    </x:row>
    <x:row r="593" ht="48" customHeight="1">
      <x:c r="A593" s="24" t="str">
        <x:v>P08-R017</x:v>
      </x:c>
      <x:c r="B593" s="24" t="str">
        <x:v>P08</x:v>
      </x:c>
      <x:c r="C593" s="26" t="n">
        <x:v>17</x:v>
      </x:c>
      <x:c r="D593" s="26" t="n">
        <x:v>44</x:v>
      </x:c>
      <x:c r="E593" s="26" t="n">
        <x:v>44</x:v>
      </x:c>
      <x:c r="F593" s="26" t="str">
        <x:v>Boppart</x:v>
      </x:c>
      <x:c r="G593" s="26" t="n">
        <x:v>2018</x:v>
      </x:c>
      <x:c r="H593" s="25" t="str">
        <x:v>Exploiting MIT shocks in heterogeneous-agent economies: the impulse response as a numerical derivative</x:v>
      </x:c>
      <x:c r="I593" s="25" t="str"/>
      <x:c r="J593" s="25" t="str"/>
      <x:c r="K593" s="25" t="str">
        <x:v>prior_manual_sample</x:v>
      </x:c>
      <x:c r="L593" s="25" t="str">
        <x:v>accepted</x:v>
      </x:c>
      <x:c r="M593" s="25" t="str">
        <x:v>no</x:v>
      </x:c>
      <x:c r="N593" s="25" t="str">
        <x:v>saki_research/published_papers/bigio_nuno_passadore_debt_maturity_management_liquidity_costs.pdf</x:v>
      </x:c>
      <x:c r="O593" s="25" t="str">
        <x:v>Boppart, Timo, Per Krusell, and Kurt Mitman, “Exploiting MIT shocks in heterogeneous-agent economies: the impulse response as a numerical derivative,”Journal of Economic Dynamics and Control, 2018,89(C),68–92.</x:v>
      </x:c>
    </x:row>
    <x:row r="594" ht="48" customHeight="1">
      <x:c r="A594" s="24" t="str">
        <x:v>P08-R018</x:v>
      </x:c>
      <x:c r="B594" s="24" t="str">
        <x:v>P08</x:v>
      </x:c>
      <x:c r="C594" s="26" t="n">
        <x:v>18</x:v>
      </x:c>
      <x:c r="D594" s="26" t="n">
        <x:v>44</x:v>
      </x:c>
      <x:c r="E594" s="26" t="n">
        <x:v>44</x:v>
      </x:c>
      <x:c r="F594" s="26" t="str">
        <x:v>Breedon</x:v>
      </x:c>
      <x:c r="G594" s="26" t="n">
        <x:v>2018</x:v>
      </x:c>
      <x:c r="H594" s="25" t="str">
        <x:v>OntheTransactionsCostsofUKQuantitativeEasing</x:v>
      </x:c>
      <x:c r="I594" s="25" t="str"/>
      <x:c r="J594" s="25" t="str"/>
      <x:c r="K594" s="25" t="str">
        <x:v>automatic_screen_pass</x:v>
      </x:c>
      <x:c r="L594" s="25" t="str">
        <x:v>accepted</x:v>
      </x:c>
      <x:c r="M594" s="25" t="str">
        <x:v>no</x:v>
      </x:c>
      <x:c r="N594" s="25" t="str">
        <x:v>saki_research/published_papers/bigio_nuno_passadore_debt_maturity_management_liquidity_costs.pdf</x:v>
      </x:c>
      <x:c r="O594" s="25" t="str">
        <x:v>Breedon,“OntheTransactionsCostsofUKQuantitativeEasing,” JournalofBankingandFinance,2018, 88, 347–356.</x:v>
      </x:c>
    </x:row>
    <x:row r="595" ht="48" customHeight="1">
      <x:c r="A595" s="24" t="str">
        <x:v>P08-R019</x:v>
      </x:c>
      <x:c r="B595" s="24" t="str">
        <x:v>P08</x:v>
      </x:c>
      <x:c r="C595" s="26" t="n">
        <x:v>19</x:v>
      </x:c>
      <x:c r="D595" s="26" t="n">
        <x:v>44</x:v>
      </x:c>
      <x:c r="E595" s="26" t="n">
        <x:v>44</x:v>
      </x:c>
      <x:c r="F595" s="26" t="str">
        <x:v>Buera</x:v>
      </x:c>
      <x:c r="G595" s="26" t="n">
        <x:v>2004</x:v>
      </x:c>
      <x:c r="H595" s="25" t="str">
        <x:v>Optimalmaturityofgovernmentdebtwithoutstatecontingentbonds</x:v>
      </x:c>
      <x:c r="I595" s="25" t="str"/>
      <x:c r="J595" s="25" t="str"/>
      <x:c r="K595" s="25" t="str">
        <x:v>automatic_screen_pass</x:v>
      </x:c>
      <x:c r="L595" s="25" t="str">
        <x:v>accepted</x:v>
      </x:c>
      <x:c r="M595" s="25" t="str">
        <x:v>no</x:v>
      </x:c>
      <x:c r="N595" s="25" t="str">
        <x:v>saki_research/published_papers/bigio_nuno_passadore_debt_maturity_management_liquidity_costs.pdf</x:v>
      </x:c>
      <x:c r="O595" s="25" t="str">
        <x:v>Buera,FranciscoandJuanPabloNicolini,“Optimalmaturityofgovernmentdebtwithoutstatecontingentbonds,”JournalofMonetaryEconomics,2004, 51(3),531–554.</x:v>
      </x:c>
    </x:row>
    <x:row r="596" ht="48" customHeight="1">
      <x:c r="A596" s="24" t="str">
        <x:v>P08-R020</x:v>
      </x:c>
      <x:c r="B596" s="24" t="str">
        <x:v>P08</x:v>
      </x:c>
      <x:c r="C596" s="26" t="n">
        <x:v>20</x:v>
      </x:c>
      <x:c r="D596" s="26" t="n">
        <x:v>44</x:v>
      </x:c>
      <x:c r="E596" s="26" t="n">
        <x:v>44</x:v>
      </x:c>
      <x:c r="F596" s="26" t="str">
        <x:v>Bulow</x:v>
      </x:c>
      <x:c r="G596" s="26" t="n">
        <x:v>1988</x:v>
      </x:c>
      <x:c r="H596" s="25" t="str">
        <x:v>SovereignDebt: IsToForgiveToForget?</x:v>
      </x:c>
      <x:c r="I596" s="25" t="str"/>
      <x:c r="J596" s="25" t="str"/>
      <x:c r="K596" s="25" t="str">
        <x:v>automatic_screen_pass</x:v>
      </x:c>
      <x:c r="L596" s="25" t="str">
        <x:v>accepted</x:v>
      </x:c>
      <x:c r="M596" s="25" t="str">
        <x:v>no</x:v>
      </x:c>
      <x:c r="N596" s="25" t="str">
        <x:v>saki_research/published_papers/bigio_nuno_passadore_debt_maturity_management_liquidity_costs.pdf</x:v>
      </x:c>
      <x:c r="O596" s="25" t="str">
        <x:v>Bulow,JeremyI.andKennethRogoff,“SovereignDebt: IsToForgiveToForget?,”WorkingPaper2623, NationalBureauofEconomicResearchJune1988.</x:v>
      </x:c>
    </x:row>
    <x:row r="597" ht="48" customHeight="1">
      <x:c r="A597" s="24" t="str">
        <x:v>P08-R021</x:v>
      </x:c>
      <x:c r="B597" s="24" t="str">
        <x:v>P08</x:v>
      </x:c>
      <x:c r="C597" s="26" t="n">
        <x:v>21</x:v>
      </x:c>
      <x:c r="D597" s="26" t="n">
        <x:v>44</x:v>
      </x:c>
      <x:c r="E597" s="26" t="n">
        <x:v>44</x:v>
      </x:c>
      <x:c r="F597" s="26" t="str">
        <x:v>Calvo</x:v>
      </x:c>
      <x:c r="G597" s="26" t="n">
        <x:v>1988</x:v>
      </x:c>
      <x:c r="H597" s="25" t="str">
        <x:v>Servicingthepublicdebt: Theroleofexpectations</x:v>
      </x:c>
      <x:c r="I597" s="25" t="str"/>
      <x:c r="J597" s="25" t="str"/>
      <x:c r="K597" s="25" t="str">
        <x:v>prior_manual_sample</x:v>
      </x:c>
      <x:c r="L597" s="25" t="str">
        <x:v>accepted</x:v>
      </x:c>
      <x:c r="M597" s="25" t="str">
        <x:v>no</x:v>
      </x:c>
      <x:c r="N597" s="25" t="str">
        <x:v>saki_research/published_papers/bigio_nuno_passadore_debt_maturity_management_liquidity_costs.pdf</x:v>
      </x:c>
      <x:c r="O597" s="25" t="str">
        <x:v>Calvo,GuillermoA,“Servicingthepublicdebt: Theroleofexpectations,” TheAmericanEconomicReview, 1988,pp.647–661.</x:v>
      </x:c>
    </x:row>
    <x:row r="598" ht="48" customHeight="1">
      <x:c r="A598" s="24" t="str">
        <x:v>P08-R022</x:v>
      </x:c>
      <x:c r="B598" s="24" t="str">
        <x:v>P08</x:v>
      </x:c>
      <x:c r="C598" s="26" t="n">
        <x:v>22</x:v>
      </x:c>
      <x:c r="D598" s="26" t="n">
        <x:v>44</x:v>
      </x:c>
      <x:c r="E598" s="26" t="n">
        <x:v>44</x:v>
      </x:c>
      <x:c r="F598" s="26" t="str">
        <x:v>Camacho</x:v>
      </x:c>
      <x:c r="G598" s="26" t="n">
        <x:v>2009</x:v>
      </x:c>
      <x:c r="H598" s="25" t="str">
        <x:v>SpainShortTermIndicatorofGrowth</x:v>
      </x:c>
      <x:c r="I598" s="25" t="str"/>
      <x:c r="J598" s="25" t="str"/>
      <x:c r="K598" s="25" t="str">
        <x:v>prior_manual_sample</x:v>
      </x:c>
      <x:c r="L598" s="25" t="str">
        <x:v>accepted</x:v>
      </x:c>
      <x:c r="M598" s="25" t="str">
        <x:v>no</x:v>
      </x:c>
      <x:c r="N598" s="25" t="str">
        <x:v>saki_research/published_papers/bigio_nuno_passadore_debt_maturity_management_liquidity_costs.pdf</x:v>
      </x:c>
      <x:c r="O598" s="25" t="str">
        <x:v>Camacho,MaximoandGabrielPerez-Quiros,“SpainShortTermIndicatorofGrowth,”WorkingPapers 0912,BankofSpainWorkingPapersHomepageJune2009.</x:v>
      </x:c>
    </x:row>
    <x:row r="599" ht="48" customHeight="1">
      <x:c r="A599" s="24" t="str">
        <x:v>P08-R023</x:v>
      </x:c>
      <x:c r="B599" s="24" t="str">
        <x:v>P08</x:v>
      </x:c>
      <x:c r="C599" s="26" t="n">
        <x:v>23</x:v>
      </x:c>
      <x:c r="D599" s="26" t="n">
        <x:v>44</x:v>
      </x:c>
      <x:c r="E599" s="26" t="n">
        <x:v>44</x:v>
      </x:c>
      <x:c r="F599" s="26" t="str">
        <x:v>Cammack</x:v>
      </x:c>
      <x:c r="G599" s="26" t="n">
        <x:v>1991</x:v>
      </x:c>
      <x:c r="H599" s="25" t="str">
        <x:v>EvidenceonBiddingStrategiesandtheInformationinTreasuryBillAuctions</x:v>
      </x:c>
      <x:c r="I599" s="25" t="str"/>
      <x:c r="J599" s="25" t="str"/>
      <x:c r="K599" s="25" t="str">
        <x:v>prior_manual_sample</x:v>
      </x:c>
      <x:c r="L599" s="25" t="str">
        <x:v>accepted</x:v>
      </x:c>
      <x:c r="M599" s="25" t="str">
        <x:v>no</x:v>
      </x:c>
      <x:c r="N599" s="25" t="str">
        <x:v>saki_research/published_papers/bigio_nuno_passadore_debt_maturity_management_liquidity_costs.pdf</x:v>
      </x:c>
      <x:c r="O599" s="25" t="str">
        <x:v>Cammack,ElizabethB.,“EvidenceonBiddingStrategiesandtheInformationinTreasuryBillAuctions,” JournalofPoliticalEconomy,1991, 99(1),100–130.</x:v>
      </x:c>
    </x:row>
    <x:row r="600" ht="48" customHeight="1">
      <x:c r="A600" s="24" t="str">
        <x:v>P08-R024</x:v>
      </x:c>
      <x:c r="B600" s="24" t="str">
        <x:v>P08</x:v>
      </x:c>
      <x:c r="C600" s="26" t="n">
        <x:v>24</x:v>
      </x:c>
      <x:c r="D600" s="26" t="n">
        <x:v>44</x:v>
      </x:c>
      <x:c r="E600" s="26" t="n">
        <x:v>44</x:v>
      </x:c>
      <x:c r="F600" s="26" t="str">
        <x:v>Cochrane</x:v>
      </x:c>
      <x:c r="G600" s="26" t="n">
        <x:v>2015</x:v>
      </x:c>
      <x:c r="H600" s="25" t="str">
        <x:v>A new structure for US federal debt</x:v>
      </x:c>
      <x:c r="I600" s="25" t="str"/>
      <x:c r="J600" s="25" t="str"/>
      <x:c r="K600" s="25" t="str">
        <x:v>automatic_screen_pass</x:v>
      </x:c>
      <x:c r="L600" s="25" t="str">
        <x:v>accepted</x:v>
      </x:c>
      <x:c r="M600" s="25" t="str">
        <x:v>no</x:v>
      </x:c>
      <x:c r="N600" s="25" t="str">
        <x:v>saki_research/published_papers/bigio_nuno_passadore_debt_maturity_management_liquidity_costs.pdf</x:v>
      </x:c>
      <x:c r="O600" s="25" t="str">
        <x:v>Cochrane, John H, “A new structure for US federal debt,” Hoover Institution Economics Working Papers, 2015.</x:v>
      </x:c>
    </x:row>
    <x:row r="601" ht="48" customHeight="1">
      <x:c r="A601" s="24" t="str">
        <x:v>P08-R025</x:v>
      </x:c>
      <x:c r="B601" s="24" t="str">
        <x:v>P08</x:v>
      </x:c>
      <x:c r="C601" s="26" t="n">
        <x:v>25</x:v>
      </x:c>
      <x:c r="D601" s="26" t="n">
        <x:v>44</x:v>
      </x:c>
      <x:c r="E601" s="26" t="n">
        <x:v>44</x:v>
      </x:c>
      <x:c r="F601" s="26" t="str">
        <x:v>Cole</x:v>
      </x:c>
      <x:c r="G601" s="26" t="n">
        <x:v>2000</x:v>
      </x:c>
      <x:c r="H601" s="25" t="str">
        <x:v>Self-FulfillingDebtCrises</x:v>
      </x:c>
      <x:c r="I601" s="25" t="str"/>
      <x:c r="J601" s="25" t="str"/>
      <x:c r="K601" s="25" t="str">
        <x:v>automatic_screen_pass</x:v>
      </x:c>
      <x:c r="L601" s="25" t="str">
        <x:v>accepted</x:v>
      </x:c>
      <x:c r="M601" s="25" t="str">
        <x:v>no</x:v>
      </x:c>
      <x:c r="N601" s="25" t="str">
        <x:v>saki_research/published_papers/bigio_nuno_passadore_debt_maturity_management_liquidity_costs.pdf</x:v>
      </x:c>
      <x:c r="O601" s="25" t="str">
        <x:v>Cole,HaroldL.andTimothyJ.Kehoe,“Self-FulfillingDebtCrises,”TheReviewofEconomicStudies,2000, 67(1),pp.91–116.</x:v>
      </x:c>
    </x:row>
    <x:row r="602" ht="48" customHeight="1">
      <x:c r="A602" s="24" t="str">
        <x:v>P08-R026</x:v>
      </x:c>
      <x:c r="B602" s="24" t="str">
        <x:v>P08</x:v>
      </x:c>
      <x:c r="C602" s="26" t="n">
        <x:v>26</x:v>
      </x:c>
      <x:c r="D602" s="26" t="n">
        <x:v>44</x:v>
      </x:c>
      <x:c r="E602" s="26" t="n">
        <x:v>44</x:v>
      </x:c>
      <x:c r="F602" s="26" t="str">
        <x:v>Debortoli</x:v>
      </x:c>
      <x:c r="G602" s="26" t="n">
        <x:v>2018</x:v>
      </x:c>
      <x:c r="H602" s="25" t="str">
        <x:v>OptimalTaxationandDebtManagementwithoutCommitment</x:v>
      </x:c>
      <x:c r="I602" s="25" t="str"/>
      <x:c r="J602" s="25" t="str"/>
      <x:c r="K602" s="25" t="str">
        <x:v>automatic_screen_pass</x:v>
      </x:c>
      <x:c r="L602" s="25" t="str">
        <x:v>accepted</x:v>
      </x:c>
      <x:c r="M602" s="25" t="str">
        <x:v>no</x:v>
      </x:c>
      <x:c r="N602" s="25" t="str">
        <x:v>saki_research/published_papers/bigio_nuno_passadore_debt_maturity_management_liquidity_costs.pdf</x:v>
      </x:c>
      <x:c r="O602" s="25" t="str">
        <x:v>Debortoli,Davide,RicardoNunes,andPierreYared,“OptimalTaxationandDebtManagementwithoutCommitment,”TechnicalReport,NationalBureauofEconomicResearch2018.</x:v>
      </x:c>
    </x:row>
    <x:row r="603" ht="48" customHeight="1">
      <x:c r="A603" s="24" t="str">
        <x:v>P08-R027</x:v>
      </x:c>
      <x:c r="B603" s="24" t="str">
        <x:v>P08</x:v>
      </x:c>
      <x:c r="C603" s="26" t="n">
        <x:v>27</x:v>
      </x:c>
      <x:c r="D603" s="26" t="n">
        <x:v>44</x:v>
      </x:c>
      <x:c r="E603" s="26" t="n">
        <x:v>44</x:v>
      </x:c>
      <x:c r="F603" s="26" t="str">
        <x:v>Diebold</x:v>
      </x:c>
      <x:c r="G603" s="26" t="n">
        <x:v>2012</x:v>
      </x:c>
      <x:c r="H603" s="25" t="str">
        <x:v>EconomicsBooks</x:v>
      </x:c>
      <x:c r="I603" s="25" t="str"/>
      <x:c r="J603" s="25" t="str"/>
      <x:c r="K603" s="25" t="str">
        <x:v>automatic_screen_pass</x:v>
      </x:c>
      <x:c r="L603" s="25" t="str">
        <x:v>accepted</x:v>
      </x:c>
      <x:c r="M603" s="25" t="str">
        <x:v>no</x:v>
      </x:c>
      <x:c r="N603" s="25" t="str">
        <x:v>saki_research/published_papers/bigio_nuno_passadore_debt_maturity_management_liquidity_costs.pdf</x:v>
      </x:c>
      <x:c r="O603" s="25" t="str">
        <x:v>Diebold, Francis X. and Glenn D. Rudebusch, Yield Curve Modeling and Forecasting: The Dynamic Nelson-SiegelApproachnumber9895.In‘EconomicsBooks.’,PrincetonUniversityPress,2012.</x:v>
      </x:c>
    </x:row>
    <x:row r="604" ht="48" customHeight="1">
      <x:c r="A604" s="24" t="str">
        <x:v>P08-R028</x:v>
      </x:c>
      <x:c r="B604" s="24" t="str">
        <x:v>P08</x:v>
      </x:c>
      <x:c r="C604" s="26" t="n">
        <x:v>28</x:v>
      </x:c>
      <x:c r="D604" s="26" t="n">
        <x:v>45</x:v>
      </x:c>
      <x:c r="E604" s="26" t="n">
        <x:v>45</x:v>
      </x:c>
      <x:c r="F604" s="26" t="str">
        <x:v>Duffee</x:v>
      </x:c>
      <x:c r="G604" s="26" t="n">
        <x:v>1996</x:v>
      </x:c>
      <x:c r="H604" s="25" t="str">
        <x:v>IdiosyncraticVariationofTreasuryBillYields</x:v>
      </x:c>
      <x:c r="I604" s="25" t="str"/>
      <x:c r="J604" s="25" t="str"/>
      <x:c r="K604" s="25" t="str">
        <x:v>automatic_screen_pass</x:v>
      </x:c>
      <x:c r="L604" s="25" t="str">
        <x:v>accepted</x:v>
      </x:c>
      <x:c r="M604" s="25" t="str">
        <x:v>no</x:v>
      </x:c>
      <x:c r="N604" s="25" t="str">
        <x:v>saki_research/published_papers/bigio_nuno_passadore_debt_maturity_management_liquidity_costs.pdf</x:v>
      </x:c>
      <x:c r="O604" s="25" t="str">
        <x:v>Duffee,GregoryR., “IdiosyncraticVariationofTreasuryBillYields,”The Journal of Finance, 1996, 51(2), 527–551.</x:v>
      </x:c>
    </x:row>
    <x:row r="605" ht="48" customHeight="1">
      <x:c r="A605" s="24" t="str">
        <x:v>P08-R029</x:v>
      </x:c>
      <x:c r="B605" s="24" t="str">
        <x:v>P08</x:v>
      </x:c>
      <x:c r="C605" s="26" t="n">
        <x:v>29</x:v>
      </x:c>
      <x:c r="D605" s="26" t="n">
        <x:v>45</x:v>
      </x:c>
      <x:c r="E605" s="26" t="n">
        <x:v>45</x:v>
      </x:c>
      <x:c r="F605" s="26" t="str">
        <x:v>Duffie</x:v>
      </x:c>
      <x:c r="G605" s="26" t="n">
        <x:v>2010</x:v>
      </x:c>
      <x:c r="H605" s="25" t="str">
        <x:v>Presidential address: Asset price dynamics with slow-moving capital</x:v>
      </x:c>
      <x:c r="I605" s="25" t="str"/>
      <x:c r="J605" s="25" t="str"/>
      <x:c r="K605" s="25" t="str">
        <x:v>automatic_screen_pass</x:v>
      </x:c>
      <x:c r="L605" s="25" t="str">
        <x:v>accepted</x:v>
      </x:c>
      <x:c r="M605" s="25" t="str">
        <x:v>no</x:v>
      </x:c>
      <x:c r="N605" s="25" t="str">
        <x:v>saki_research/published_papers/bigio_nuno_passadore_debt_maturity_management_liquidity_costs.pdf</x:v>
      </x:c>
      <x:c r="O605" s="25" t="str">
        <x:v>Duffie, Darrell, “Presidential address: Asset price dynamics with slow-moving capital,”The Journal of finance,2010, 65(4),1237–1267.</x:v>
      </x:c>
    </x:row>
    <x:row r="606" ht="48" customHeight="1">
      <x:c r="A606" s="24" t="str">
        <x:v>P08-R030</x:v>
      </x:c>
      <x:c r="B606" s="24" t="str">
        <x:v>P08</x:v>
      </x:c>
      <x:c r="C606" s="26" t="n">
        <x:v>30</x:v>
      </x:c>
      <x:c r="D606" s="26" t="n">
        <x:v>45</x:v>
      </x:c>
      <x:c r="E606" s="26" t="n">
        <x:v>45</x:v>
      </x:c>
      <x:c r="F606" s="26" t="str">
        <x:v>Duffie</x:v>
      </x:c>
      <x:c r="G606" s="26" t="n">
        <x:v>2020</x:v>
      </x:c>
      <x:c r="H606" s="25" t="str">
        <x:v>StilltheWorld’sSafeHaven? RedesigningtheU.S.TreasuryMarketAftertheCOVID-19Crisis</x:v>
      </x:c>
      <x:c r="I606" s="25" t="str">
        <x:v>inherited_author_notation</x:v>
      </x:c>
      <x:c r="J606" s="25" t="str">
        <x:v>exhaustive_ai_audit_2026-09-17</x:v>
      </x:c>
      <x:c r="K606" s="25" t="str">
        <x:v>exhaustive_visual_correction</x:v>
      </x:c>
      <x:c r="L606" s="25" t="str">
        <x:v>corrected</x:v>
      </x:c>
      <x:c r="M606" s="25" t="str">
        <x:v>no</x:v>
      </x:c>
      <x:c r="N606" s="25" t="str">
        <x:v>saki_research/published_papers/bigio_nuno_passadore_debt_maturity_management_liquidity_costs.pdf</x:v>
      </x:c>
      <x:c r="O606" s="25" t="str">
        <x:v>,“StilltheWorld’sSafeHaven? RedesigningtheU.S.TreasuryMarketAftertheCOVID-19Crisis,”June 2020. HutchinsCenterWorkingPaper62.</x:v>
      </x:c>
    </x:row>
    <x:row r="607" ht="48" customHeight="1">
      <x:c r="A607" s="24" t="str">
        <x:v>P08-R031</x:v>
      </x:c>
      <x:c r="B607" s="24" t="str">
        <x:v>P08</x:v>
      </x:c>
      <x:c r="C607" s="26" t="n">
        <x:v>31</x:v>
      </x:c>
      <x:c r="D607" s="26" t="n">
        <x:v>45</x:v>
      </x:c>
      <x:c r="E607" s="26" t="n">
        <x:v>45</x:v>
      </x:c>
      <x:c r="F607" s="26" t="str">
        <x:v>Duffie</x:v>
      </x:c>
      <x:c r="G607" s="26" t="n">
        <x:v>1985</x:v>
      </x:c>
      <x:c r="H607" s="25" t="str">
        <x:v>Implementing Arrow-Debreu Equilibria by Continuous Trading of Few Long- LivedSecurities</x:v>
      </x:c>
      <x:c r="I607" s="25" t="str">
        <x:v>inherited_author_notation</x:v>
      </x:c>
      <x:c r="J607" s="25" t="str"/>
      <x:c r="K607" s="25" t="str">
        <x:v>automatic_screen_pass</x:v>
      </x:c>
      <x:c r="L607" s="25" t="str">
        <x:v>accepted</x:v>
      </x:c>
      <x:c r="M607" s="25" t="str">
        <x:v>no</x:v>
      </x:c>
      <x:c r="N607" s="25" t="str">
        <x:v>saki_research/published_papers/bigio_nuno_passadore_debt_maturity_management_liquidity_costs.pdf</x:v>
      </x:c>
      <x:c r="O607" s="25" t="str">
        <x:v>and Chi-Fu Huang, “Implementing Arrow-Debreu Equilibria by Continuous Trading of Few Long- LivedSecurities,”Econometrica,1985, 53(6),1337–1356.</x:v>
      </x:c>
    </x:row>
    <x:row r="608" ht="48" customHeight="1">
      <x:c r="A608" s="24" t="str">
        <x:v>P08-R032</x:v>
      </x:c>
      <x:c r="B608" s="24" t="str">
        <x:v>P08</x:v>
      </x:c>
      <x:c r="C608" s="26" t="n">
        <x:v>32</x:v>
      </x:c>
      <x:c r="D608" s="26" t="n">
        <x:v>45</x:v>
      </x:c>
      <x:c r="E608" s="26" t="n">
        <x:v>45</x:v>
      </x:c>
      <x:c r="F608" s="26" t="str">
        <x:v>Duffie</x:v>
      </x:c>
      <x:c r="G608" s="26" t="n">
        <x:v>2005</x:v>
      </x:c>
      <x:c r="H608" s="25" t="str">
        <x:v>Over-the-Counter Markets</x:v>
      </x:c>
      <x:c r="I608" s="25" t="str">
        <x:v>inherited_author_notation</x:v>
      </x:c>
      <x:c r="J608" s="25" t="str"/>
      <x:c r="K608" s="25" t="str">
        <x:v>prior_manual_sample</x:v>
      </x:c>
      <x:c r="L608" s="25" t="str">
        <x:v>accepted</x:v>
      </x:c>
      <x:c r="M608" s="25" t="str">
        <x:v>sí</x:v>
      </x:c>
      <x:c r="N608" s="25" t="str">
        <x:v>saki_research/published_papers/bigio_nuno_passadore_debt_maturity_management_liquidity_costs.pdf</x:v>
      </x:c>
      <x:c r="O608" s="25" t="str">
        <x:v>Nicolae Garleanu, and Lasse Heje Pedersen, “Over-the-Counter Markets,” Econometrica, 2005, 73 (6),1815–1847.</x:v>
      </x:c>
    </x:row>
    <x:row r="609" ht="48" customHeight="1">
      <x:c r="A609" s="24" t="str">
        <x:v>P08-R033</x:v>
      </x:c>
      <x:c r="B609" s="24" t="str">
        <x:v>P08</x:v>
      </x:c>
      <x:c r="C609" s="26" t="n">
        <x:v>33</x:v>
      </x:c>
      <x:c r="D609" s="26" t="n">
        <x:v>45</x:v>
      </x:c>
      <x:c r="E609" s="26" t="n">
        <x:v>45</x:v>
      </x:c>
      <x:c r="F609" s="26" t="str">
        <x:v>Eaton</x:v>
      </x:c>
      <x:c r="G609" s="26" t="n">
        <x:v>1981</x:v>
      </x:c>
      <x:c r="H609" s="25" t="str">
        <x:v>Debtwithpotentialrepudiation:Theoreticalandempiricalanalysis</x:v>
      </x:c>
      <x:c r="I609" s="25" t="str"/>
      <x:c r="J609" s="25" t="str"/>
      <x:c r="K609" s="25" t="str">
        <x:v>automatic_screen_pass</x:v>
      </x:c>
      <x:c r="L609" s="25" t="str">
        <x:v>accepted</x:v>
      </x:c>
      <x:c r="M609" s="25" t="str">
        <x:v>no</x:v>
      </x:c>
      <x:c r="N609" s="25" t="str">
        <x:v>saki_research/published_papers/bigio_nuno_passadore_debt_maturity_management_liquidity_costs.pdf</x:v>
      </x:c>
      <x:c r="O609" s="25" t="str">
        <x:v>Eaton,JonathanandMarkGersovitz,“Debtwithpotentialrepudiation:Theoreticalandempiricalanalysis,”TheReviewofEconomicStudies,1981, 48(2),289–309.</x:v>
      </x:c>
    </x:row>
    <x:row r="610" ht="48" customHeight="1">
      <x:c r="A610" s="24" t="str">
        <x:v>P08-R034</x:v>
      </x:c>
      <x:c r="B610" s="24" t="str">
        <x:v>P08</x:v>
      </x:c>
      <x:c r="C610" s="26" t="n">
        <x:v>34</x:v>
      </x:c>
      <x:c r="D610" s="26" t="n">
        <x:v>45</x:v>
      </x:c>
      <x:c r="E610" s="26" t="n">
        <x:v>45</x:v>
      </x:c>
      <x:c r="F610" s="26" t="str">
        <x:v>Faraglia</x:v>
      </x:c>
      <x:c r="G610" s="26" t="n">
        <x:v>2018</x:v>
      </x:c>
      <x:c r="H610" s="25" t="str">
        <x:v>Government Debt Management: TheLongandtheShortofIt</x:v>
      </x:c>
      <x:c r="I610" s="25" t="str"/>
      <x:c r="J610" s="25" t="str"/>
      <x:c r="K610" s="25" t="str">
        <x:v>automatic_screen_pass</x:v>
      </x:c>
      <x:c r="L610" s="25" t="str">
        <x:v>accepted</x:v>
      </x:c>
      <x:c r="M610" s="25" t="str">
        <x:v>no</x:v>
      </x:c>
      <x:c r="N610" s="25" t="str">
        <x:v>saki_research/published_papers/bigio_nuno_passadore_debt_maturity_management_liquidity_costs.pdf</x:v>
      </x:c>
      <x:c r="O610" s="25" t="str">
        <x:v>Faraglia, Elisa, Albert Marcet, Rigas Oikonomou, and Andrew Scott, “Government Debt Management: TheLongandtheShortofIt,”TheReviewofEconomicStudies,102018, 86(6),2554–2604.</x:v>
      </x:c>
    </x:row>
    <x:row r="611" ht="48" customHeight="1">
      <x:c r="A611" s="24" t="str">
        <x:v>P08-R035</x:v>
      </x:c>
      <x:c r="B611" s="24" t="str">
        <x:v>P08</x:v>
      </x:c>
      <x:c r="C611" s="26" t="n">
        <x:v>35</x:v>
      </x:c>
      <x:c r="D611" s="26" t="n">
        <x:v>45</x:v>
      </x:c>
      <x:c r="E611" s="26" t="n">
        <x:v>45</x:v>
      </x:c>
      <x:c r="F611" s="26" t="str">
        <x:v>Fleming</x:v>
      </x:c>
      <x:c r="G611" s="26" t="n">
        <x:v>2002</x:v>
      </x:c>
      <x:c r="H611" s="25" t="str">
        <x:v>AreLargerTreasuryIssuesMoreLiquid? EvidencefromBillReopenings</x:v>
      </x:c>
      <x:c r="I611" s="25" t="str"/>
      <x:c r="J611" s="25" t="str"/>
      <x:c r="K611" s="25" t="str">
        <x:v>automatic_screen_pass</x:v>
      </x:c>
      <x:c r="L611" s="25" t="str">
        <x:v>accepted</x:v>
      </x:c>
      <x:c r="M611" s="25" t="str">
        <x:v>no</x:v>
      </x:c>
      <x:c r="N611" s="25" t="str">
        <x:v>saki_research/published_papers/bigio_nuno_passadore_debt_maturity_management_liquidity_costs.pdf</x:v>
      </x:c>
      <x:c r="O611" s="25" t="str">
        <x:v>Fleming,MichaelJ.,“AreLargerTreasuryIssuesMoreLiquid? EvidencefromBillReopenings,” Journalof Money,CreditandBanking,2002, 34(3),pp.707–735.</x:v>
      </x:c>
    </x:row>
    <x:row r="612" ht="48" customHeight="1">
      <x:c r="A612" s="24" t="str">
        <x:v>P08-R036</x:v>
      </x:c>
      <x:c r="B612" s="24" t="str">
        <x:v>P08</x:v>
      </x:c>
      <x:c r="C612" s="26" t="n">
        <x:v>36</x:v>
      </x:c>
      <x:c r="D612" s="26" t="n">
        <x:v>45</x:v>
      </x:c>
      <x:c r="E612" s="26" t="n">
        <x:v>45</x:v>
      </x:c>
      <x:c r="F612" s="26" t="str">
        <x:v>Fleming</x:v>
      </x:c>
      <x:c r="G612" s="26" t="n">
        <x:v>2008</x:v>
      </x:c>
      <x:c r="H612" s="25" t="str">
        <x:v>HowdoTreasuryDealersManagetheirPositions</x:v>
      </x:c>
      <x:c r="I612" s="25" t="str">
        <x:v>inherited_author_notation</x:v>
      </x:c>
      <x:c r="J612" s="25" t="str">
        <x:v>exhaustive_ai_audit_2026-09-17</x:v>
      </x:c>
      <x:c r="K612" s="25" t="str">
        <x:v>exhaustive_visual_correction</x:v>
      </x:c>
      <x:c r="L612" s="25" t="str">
        <x:v>corrected</x:v>
      </x:c>
      <x:c r="M612" s="25" t="str">
        <x:v>no</x:v>
      </x:c>
      <x:c r="N612" s="25" t="str">
        <x:v>saki_research/published_papers/bigio_nuno_passadore_debt_maturity_management_liquidity_costs.pdf</x:v>
      </x:c>
      <x:c r="O612" s="25" t="str">
        <x:v>andJoshuaV.Rosenberg,“HowdoTreasuryDealersManagetheirPositions,”2008. FrederalReserva BankofNewYorkStaffReportsStaffReportno.299.</x:v>
      </x:c>
    </x:row>
    <x:row r="613" ht="48" customHeight="1">
      <x:c r="A613" s="24" t="str">
        <x:v>P08-R037</x:v>
      </x:c>
      <x:c r="B613" s="24" t="str">
        <x:v>P08</x:v>
      </x:c>
      <x:c r="C613" s="26" t="n">
        <x:v>37</x:v>
      </x:c>
      <x:c r="D613" s="26" t="n">
        <x:v>45</x:v>
      </x:c>
      <x:c r="E613" s="26" t="n">
        <x:v>45</x:v>
      </x:c>
      <x:c r="F613" s="26" t="str">
        <x:v>Green</x:v>
      </x:c>
      <x:c r="G613" s="26" t="n">
        <x:v>2004</x:v>
      </x:c>
      <x:c r="H613" s="25" t="str">
        <x:v>Economic News and the Impact of Trading on Bond Prices</x:v>
      </x:c>
      <x:c r="I613" s="25" t="str"/>
      <x:c r="J613" s="25" t="str"/>
      <x:c r="K613" s="25" t="str">
        <x:v>automatic_screen_pass</x:v>
      </x:c>
      <x:c r="L613" s="25" t="str">
        <x:v>accepted</x:v>
      </x:c>
      <x:c r="M613" s="25" t="str">
        <x:v>no</x:v>
      </x:c>
      <x:c r="N613" s="25" t="str">
        <x:v>saki_research/published_papers/bigio_nuno_passadore_debt_maturity_management_liquidity_costs.pdf</x:v>
      </x:c>
      <x:c r="O613" s="25" t="str">
        <x:v>Green, T. Clifton, “Economic News and the Impact of Trading on Bond Prices,” The Journal of Finance, 2004,59(3),1201–1233.</x:v>
      </x:c>
    </x:row>
    <x:row r="614" ht="48" customHeight="1">
      <x:c r="A614" s="24" t="str">
        <x:v>P08-R038</x:v>
      </x:c>
      <x:c r="B614" s="24" t="str">
        <x:v>P08</x:v>
      </x:c>
      <x:c r="C614" s="26" t="n">
        <x:v>38</x:v>
      </x:c>
      <x:c r="D614" s="26" t="n">
        <x:v>45</x:v>
      </x:c>
      <x:c r="E614" s="26" t="n">
        <x:v>45</x:v>
      </x:c>
      <x:c r="F614" s="26" t="str">
        <x:v>Greenwood</x:v>
      </x:c>
      <x:c r="G614" s="26" t="n">
        <x:v>2015</x:v>
      </x:c>
      <x:c r="H614" s="25" t="str">
        <x:v>The Optimal Maturity of Government Debt</x:v>
      </x:c>
      <x:c r="I614" s="25" t="str"/>
      <x:c r="J614" s="25" t="str"/>
      <x:c r="K614" s="25" t="str">
        <x:v>prior_manual_sample</x:v>
      </x:c>
      <x:c r="L614" s="25" t="str">
        <x:v>accepted</x:v>
      </x:c>
      <x:c r="M614" s="25" t="str">
        <x:v>no</x:v>
      </x:c>
      <x:c r="N614" s="25" t="str">
        <x:v>saki_research/published_papers/bigio_nuno_passadore_debt_maturity_management_liquidity_costs.pdf</x:v>
      </x:c>
      <x:c r="O614" s="25" t="str">
        <x:v>Greenwood, Robin, Samuel Gregory Hanson, Joshua S. Rudolph, and Lawrence Summers, “The Optimal Maturity of Government Debt,” in David Wessel, ed.,The $13 Trillion Question: How America ManagesItsDebt,BrookingsInstitutionPress,2015,chapter1,pp.1–41.</x:v>
      </x:c>
    </x:row>
    <x:row r="615" ht="48" customHeight="1">
      <x:c r="A615" s="24" t="str">
        <x:v>P08-R039</x:v>
      </x:c>
      <x:c r="B615" s="24" t="str">
        <x:v>P08</x:v>
      </x:c>
      <x:c r="C615" s="26" t="n">
        <x:v>39</x:v>
      </x:c>
      <x:c r="D615" s="26" t="n">
        <x:v>45</x:v>
      </x:c>
      <x:c r="E615" s="26" t="n">
        <x:v>45</x:v>
      </x:c>
      <x:c r="F615" s="26" t="str">
        <x:v>Grossman</x:v>
      </x:c>
      <x:c r="G615" s="26" t="n">
        <x:v>1988</x:v>
      </x:c>
      <x:c r="H615" s="25" t="str">
        <x:v>Liquidity and market structure</x:v>
      </x:c>
      <x:c r="I615" s="25" t="str"/>
      <x:c r="J615" s="25" t="str"/>
      <x:c r="K615" s="25" t="str">
        <x:v>automatic_screen_pass</x:v>
      </x:c>
      <x:c r="L615" s="25" t="str">
        <x:v>accepted</x:v>
      </x:c>
      <x:c r="M615" s="25" t="str">
        <x:v>no</x:v>
      </x:c>
      <x:c r="N615" s="25" t="str">
        <x:v>saki_research/published_papers/bigio_nuno_passadore_debt_maturity_management_liquidity_costs.pdf</x:v>
      </x:c>
      <x:c r="O615" s="25" t="str">
        <x:v>Grossman, Sanford J and Merton H Miller, “Liquidity and market structure,” the Journal of Finance, 1988,43(3),617–633.</x:v>
      </x:c>
    </x:row>
    <x:row r="616" ht="48" customHeight="1">
      <x:c r="A616" s="24" t="str">
        <x:v>P08-R040</x:v>
      </x:c>
      <x:c r="B616" s="24" t="str">
        <x:v>P08</x:v>
      </x:c>
      <x:c r="C616" s="26" t="n">
        <x:v>40</x:v>
      </x:c>
      <x:c r="D616" s="26" t="n">
        <x:v>45</x:v>
      </x:c>
      <x:c r="E616" s="26" t="n">
        <x:v>45</x:v>
      </x:c>
      <x:c r="F616" s="26" t="str">
        <x:v>Hatchondo</x:v>
      </x:c>
      <x:c r="G616" s="26" t="n">
        <x:v>2016</x:v>
      </x:c>
      <x:c r="H616" s="25" t="str">
        <x:v>Debt dilution and sovereign defaultrisk</x:v>
      </x:c>
      <x:c r="I616" s="25" t="str"/>
      <x:c r="J616" s="25" t="str"/>
      <x:c r="K616" s="25" t="str">
        <x:v>automatic_screen_pass</x:v>
      </x:c>
      <x:c r="L616" s="25" t="str">
        <x:v>accepted</x:v>
      </x:c>
      <x:c r="M616" s="25" t="str">
        <x:v>no</x:v>
      </x:c>
      <x:c r="N616" s="25" t="str">
        <x:v>saki_research/published_papers/bigio_nuno_passadore_debt_maturity_management_liquidity_costs.pdf</x:v>
      </x:c>
      <x:c r="O616" s="25" t="str">
        <x:v>Hatchondo, Juan Carlos, Leonardo Martinez, and Cesar Sosa-Padilla, “Debt dilution and sovereign defaultrisk,”JournalofPoliticalEconomy,2016, 124(5),1383–1422.</x:v>
      </x:c>
    </x:row>
    <x:row r="617" ht="48" customHeight="1">
      <x:c r="A617" s="24" t="str">
        <x:v>P08-R041</x:v>
      </x:c>
      <x:c r="B617" s="24" t="str">
        <x:v>P08</x:v>
      </x:c>
      <x:c r="C617" s="26" t="n">
        <x:v>41</x:v>
      </x:c>
      <x:c r="D617" s="26" t="n">
        <x:v>45</x:v>
      </x:c>
      <x:c r="E617" s="26" t="n">
        <x:v>45</x:v>
      </x:c>
      <x:c r="F617" s="26" t="str">
        <x:v>Hatchondo</x:v>
      </x:c>
      <x:c r="G617" s="26" t="n">
        <x:v>2018</x:v>
      </x:c>
      <x:c r="H617" s="25" t="str">
        <x:v>Overborrowing</x:v>
      </x:c>
      <x:c r="I617" s="25" t="str">
        <x:v>inherited_author_notation</x:v>
      </x:c>
      <x:c r="J617" s="25" t="str">
        <x:v>exhaustive_ai_audit_2026-09-17</x:v>
      </x:c>
      <x:c r="K617" s="25" t="str">
        <x:v>exhaustive_visual_correction</x:v>
      </x:c>
      <x:c r="L617" s="25" t="str">
        <x:v>corrected</x:v>
      </x:c>
      <x:c r="M617" s="25" t="str">
        <x:v>no</x:v>
      </x:c>
      <x:c r="N617" s="25" t="str">
        <x:v>saki_research/published_papers/bigio_nuno_passadore_debt_maturity_management_liquidity_costs.pdf</x:v>
      </x:c>
      <x:c r="O617" s="25" t="str">
        <x:v>, ,andFranciscoRoch,“Overborrowing,”2018.</x:v>
      </x:c>
    </x:row>
    <x:row r="618" ht="48" customHeight="1">
      <x:c r="A618" s="24" t="str">
        <x:v>P08-R042</x:v>
      </x:c>
      <x:c r="B618" s="24" t="str">
        <x:v>P08</x:v>
      </x:c>
      <x:c r="C618" s="26" t="n">
        <x:v>42</x:v>
      </x:c>
      <x:c r="D618" s="26" t="n">
        <x:v>45</x:v>
      </x:c>
      <x:c r="E618" s="26" t="n">
        <x:v>45</x:v>
      </x:c>
      <x:c r="F618" s="26" t="str">
        <x:v>Hendershott</x:v>
      </x:c>
      <x:c r="G618" s="26" t="n">
        <x:v>2007</x:v>
      </x:c>
      <x:c r="H618" s="25" t="str">
        <x:v>Market maker inventories and stock prices</x:v>
      </x:c>
      <x:c r="I618" s="25" t="str"/>
      <x:c r="J618" s="25" t="str"/>
      <x:c r="K618" s="25" t="str">
        <x:v>prior_manual_sample</x:v>
      </x:c>
      <x:c r="L618" s="25" t="str">
        <x:v>accepted</x:v>
      </x:c>
      <x:c r="M618" s="25" t="str">
        <x:v>no</x:v>
      </x:c>
      <x:c r="N618" s="25" t="str">
        <x:v>saki_research/published_papers/bigio_nuno_passadore_debt_maturity_management_liquidity_costs.pdf</x:v>
      </x:c>
      <x:c r="O618" s="25" t="str">
        <x:v>Hendershott,TerrenceandMarkSSeasholes, “Market maker inventories and stock prices,” American EconomicReview,2007, 97(2),210–214.</x:v>
      </x:c>
    </x:row>
    <x:row r="619" ht="48" customHeight="1">
      <x:c r="A619" s="24" t="str">
        <x:v>P08-R043</x:v>
      </x:c>
      <x:c r="B619" s="24" t="str">
        <x:v>P08</x:v>
      </x:c>
      <x:c r="C619" s="26" t="n">
        <x:v>43</x:v>
      </x:c>
      <x:c r="D619" s="26" t="n">
        <x:v>46</x:v>
      </x:c>
      <x:c r="E619" s="26" t="n">
        <x:v>46</x:v>
      </x:c>
      <x:c r="F619" s="26" t="str">
        <x:v>Ho</x:v>
      </x:c>
      <x:c r="G619" s="26" t="n">
        <x:v>1983</x:v>
      </x:c>
      <x:c r="H619" s="25" t="str">
        <x:v>Thedynamicsofdealermarketsundercompetition</x:v>
      </x:c>
      <x:c r="I619" s="25" t="str"/>
      <x:c r="J619" s="25" t="str"/>
      <x:c r="K619" s="25" t="str">
        <x:v>automatic_screen_pass</x:v>
      </x:c>
      <x:c r="L619" s="25" t="str">
        <x:v>accepted</x:v>
      </x:c>
      <x:c r="M619" s="25" t="str">
        <x:v>no</x:v>
      </x:c>
      <x:c r="N619" s="25" t="str">
        <x:v>saki_research/published_papers/bigio_nuno_passadore_debt_maturity_management_liquidity_costs.pdf</x:v>
      </x:c>
      <x:c r="O619" s="25" t="str">
        <x:v>Ho,ThomasS.Y.andHansR.Stoll,“Thedynamicsofdealermarketsundercompetition,” The Journal of finance,1983, 38(4),1053–1074.</x:v>
      </x:c>
    </x:row>
    <x:row r="620" ht="48" customHeight="1">
      <x:c r="A620" s="24" t="str">
        <x:v>P08-R044</x:v>
      </x:c>
      <x:c r="B620" s="24" t="str">
        <x:v>P08</x:v>
      </x:c>
      <x:c r="C620" s="26" t="n">
        <x:v>44</x:v>
      </x:c>
      <x:c r="D620" s="26" t="n">
        <x:v>46</x:v>
      </x:c>
      <x:c r="E620" s="26" t="n">
        <x:v>46</x:v>
      </x:c>
      <x:c r="F620" s="26" t="str">
        <x:v>Huang</x:v>
      </x:c>
      <x:c r="G620" s="26" t="n">
        <x:v>1997</x:v>
      </x:c>
      <x:c r="H620" s="25" t="str">
        <x:v>The components of the bid-ask spread: A general approach</x:v>
      </x:c>
      <x:c r="I620" s="25" t="str"/>
      <x:c r="J620" s="25" t="str"/>
      <x:c r="K620" s="25" t="str">
        <x:v>automatic_screen_pass</x:v>
      </x:c>
      <x:c r="L620" s="25" t="str">
        <x:v>accepted</x:v>
      </x:c>
      <x:c r="M620" s="25" t="str">
        <x:v>no</x:v>
      </x:c>
      <x:c r="N620" s="25" t="str">
        <x:v>saki_research/published_papers/bigio_nuno_passadore_debt_maturity_management_liquidity_costs.pdf</x:v>
      </x:c>
      <x:c r="O620" s="25" t="str">
        <x:v>Huang, Roger D and Hans R Stoll, “The components of the bid-ask spread: A general approach,” The ReviewofFinancialStudies,1997, 10(4),995–1034.</x:v>
      </x:c>
    </x:row>
    <x:row r="621" ht="48" customHeight="1">
      <x:c r="A621" s="24" t="str">
        <x:v>P08-R045</x:v>
      </x:c>
      <x:c r="B621" s="24" t="str">
        <x:v>P08</x:v>
      </x:c>
      <x:c r="C621" s="26" t="n">
        <x:v>45</x:v>
      </x:c>
      <x:c r="D621" s="26" t="n">
        <x:v>46</x:v>
      </x:c>
      <x:c r="E621" s="26" t="n">
        <x:v>46</x:v>
      </x:c>
      <x:c r="F621" s="26" t="str">
        <x:v>Kargar</x:v>
      </x:c>
      <x:c r="G621" s="26" t="n">
        <x:v>2020</x:v>
      </x:c>
      <x:c r="H621" s="25" t="str">
        <x:v>CorporateBondLiquidityDuringtheCOVID-19Crisis</x:v>
      </x:c>
      <x:c r="I621" s="25" t="str"/>
      <x:c r="J621" s="25" t="str"/>
      <x:c r="K621" s="25" t="str">
        <x:v>automatic_screen_pass</x:v>
      </x:c>
      <x:c r="L621" s="25" t="str">
        <x:v>accepted</x:v>
      </x:c>
      <x:c r="M621" s="25" t="str">
        <x:v>no</x:v>
      </x:c>
      <x:c r="N621" s="25" t="str">
        <x:v>saki_research/published_papers/bigio_nuno_passadore_debt_maturity_management_liquidity_costs.pdf</x:v>
      </x:c>
      <x:c r="O621" s="25" t="str">
        <x:v>Kargar, Mahyar, Benjamin T. Lester, David Lindsay, Shuo Liu, Pierre-Oliver Weill, and Diego Zúñiga,“CorporateBondLiquidityDuringtheCOVID-19Crisis,”June2020.</x:v>
      </x:c>
    </x:row>
    <x:row r="622" ht="48" customHeight="1">
      <x:c r="A622" s="24" t="str">
        <x:v>P08-R046</x:v>
      </x:c>
      <x:c r="B622" s="24" t="str">
        <x:v>P08</x:v>
      </x:c>
      <x:c r="C622" s="26" t="n">
        <x:v>46</x:v>
      </x:c>
      <x:c r="D622" s="26" t="n">
        <x:v>46</x:v>
      </x:c>
      <x:c r="E622" s="26" t="n">
        <x:v>46</x:v>
      </x:c>
      <x:c r="F622" s="26" t="str">
        <x:v>Krishnamurthy</x:v>
      </x:c>
      <x:c r="G622" s="26" t="n">
        <x:v>2012</x:v>
      </x:c>
      <x:c r="H622" s="25" t="str">
        <x:v>The aggregate demand for treasury debt</x:v>
      </x:c>
      <x:c r="I622" s="25" t="str"/>
      <x:c r="J622" s="25" t="str"/>
      <x:c r="K622" s="25" t="str">
        <x:v>automatic_screen_pass</x:v>
      </x:c>
      <x:c r="L622" s="25" t="str">
        <x:v>accepted</x:v>
      </x:c>
      <x:c r="M622" s="25" t="str">
        <x:v>no</x:v>
      </x:c>
      <x:c r="N622" s="25" t="str">
        <x:v>saki_research/published_papers/bigio_nuno_passadore_debt_maturity_management_liquidity_costs.pdf</x:v>
      </x:c>
      <x:c r="O622" s="25" t="str">
        <x:v>Krishnamurthy, Arvind and Annette Vissing-Jorgensen, “The aggregate demand for treasury debt,” JournalofPoliticalEconomy,2012, 120(2),233–267.</x:v>
      </x:c>
    </x:row>
    <x:row r="623" ht="48" customHeight="1">
      <x:c r="A623" s="24" t="str">
        <x:v>P08-R047</x:v>
      </x:c>
      <x:c r="B623" s="24" t="str">
        <x:v>P08</x:v>
      </x:c>
      <x:c r="C623" s="26" t="n">
        <x:v>47</x:v>
      </x:c>
      <x:c r="D623" s="26" t="n">
        <x:v>46</x:v>
      </x:c>
      <x:c r="E623" s="26" t="n">
        <x:v>46</x:v>
      </x:c>
      <x:c r="F623" s="26" t="str">
        <x:v>Krusell</x:v>
      </x:c>
      <x:c r="G623" s="26" t="n">
        <x:v>1998</x:v>
      </x:c>
      <x:c r="H623" s="25" t="str">
        <x:v>Incomeandwealthheterogeneityinthemacroeconomy</x:v>
      </x:c>
      <x:c r="I623" s="25" t="str"/>
      <x:c r="J623" s="25" t="str"/>
      <x:c r="K623" s="25" t="str">
        <x:v>automatic_screen_pass</x:v>
      </x:c>
      <x:c r="L623" s="25" t="str">
        <x:v>accepted</x:v>
      </x:c>
      <x:c r="M623" s="25" t="str">
        <x:v>no</x:v>
      </x:c>
      <x:c r="N623" s="25" t="str">
        <x:v>saki_research/published_papers/bigio_nuno_passadore_debt_maturity_management_liquidity_costs.pdf</x:v>
      </x:c>
      <x:c r="O623" s="25" t="str">
        <x:v>Krusell,PerandAnthonyASmithJr,“Incomeandwealthheterogeneityinthemacroeconomy,” Journal ofpoliticalEconomy,1998, 106(5),867–896.</x:v>
      </x:c>
    </x:row>
    <x:row r="624" ht="48" customHeight="1">
      <x:c r="A624" s="24" t="str">
        <x:v>P08-R048</x:v>
      </x:c>
      <x:c r="B624" s="24" t="str">
        <x:v>P08</x:v>
      </x:c>
      <x:c r="C624" s="26" t="n">
        <x:v>48</x:v>
      </x:c>
      <x:c r="D624" s="26" t="n">
        <x:v>46</x:v>
      </x:c>
      <x:c r="E624" s="26" t="n">
        <x:v>46</x:v>
      </x:c>
      <x:c r="F624" s="26" t="str">
        <x:v>Leland</x:v>
      </x:c>
      <x:c r="G624" s="26" t="n">
        <x:v>1996</x:v>
      </x:c>
      <x:c r="H624" s="25" t="str">
        <x:v>OptimalCapitalStructure,EndogenousBankruptcy,andtheTermStructureofCreditSpreads</x:v>
      </x:c>
      <x:c r="I624" s="25" t="str"/>
      <x:c r="J624" s="25" t="str"/>
      <x:c r="K624" s="25" t="str">
        <x:v>automatic_screen_pass</x:v>
      </x:c>
      <x:c r="L624" s="25" t="str">
        <x:v>accepted</x:v>
      </x:c>
      <x:c r="M624" s="25" t="str">
        <x:v>no</x:v>
      </x:c>
      <x:c r="N624" s="25" t="str">
        <x:v>saki_research/published_papers/bigio_nuno_passadore_debt_maturity_management_liquidity_costs.pdf</x:v>
      </x:c>
      <x:c r="O624" s="25" t="str">
        <x:v>Leland,HayneandKlausToft,“OptimalCapitalStructure,EndogenousBankruptcy,andtheTermStructureofCreditSpreads,”TheJournalofFinance,1996, 51(3),987–1019.</x:v>
      </x:c>
    </x:row>
    <x:row r="625" ht="48" customHeight="1">
      <x:c r="A625" s="24" t="str">
        <x:v>P08-R049</x:v>
      </x:c>
      <x:c r="B625" s="24" t="str">
        <x:v>P08</x:v>
      </x:c>
      <x:c r="C625" s="26" t="n">
        <x:v>49</x:v>
      </x:c>
      <x:c r="D625" s="26" t="n">
        <x:v>46</x:v>
      </x:c>
      <x:c r="E625" s="26" t="n">
        <x:v>46</x:v>
      </x:c>
      <x:c r="F625" s="26" t="str">
        <x:v>Lucas</x:v>
      </x:c>
      <x:c r="G625" s="26" t="n">
        <x:v>1983</x:v>
      </x:c>
      <x:c r="H625" s="25" t="str">
        <x:v>Optimalfiscalandmonetarypolicyinaneconomywithoutcapital</x:v>
      </x:c>
      <x:c r="I625" s="25" t="str"/>
      <x:c r="J625" s="25" t="str"/>
      <x:c r="K625" s="25" t="str">
        <x:v>automatic_screen_pass</x:v>
      </x:c>
      <x:c r="L625" s="25" t="str">
        <x:v>accepted</x:v>
      </x:c>
      <x:c r="M625" s="25" t="str">
        <x:v>no</x:v>
      </x:c>
      <x:c r="N625" s="25" t="str">
        <x:v>saki_research/published_papers/bigio_nuno_passadore_debt_maturity_management_liquidity_costs.pdf</x:v>
      </x:c>
      <x:c r="O625" s="25" t="str">
        <x:v>Lucas,RobertEandNancyLStokey,“Optimalfiscalandmonetarypolicyinaneconomywithoutcapital,” JournalofmonetaryEconomics,1983, 12(1),55–93.</x:v>
      </x:c>
    </x:row>
    <x:row r="626" ht="48" customHeight="1">
      <x:c r="A626" s="24" t="str">
        <x:v>P08-R050</x:v>
      </x:c>
      <x:c r="B626" s="24" t="str">
        <x:v>P08</x:v>
      </x:c>
      <x:c r="C626" s="26" t="n">
        <x:v>50</x:v>
      </x:c>
      <x:c r="D626" s="26" t="n">
        <x:v>46</x:v>
      </x:c>
      <x:c r="E626" s="26" t="n">
        <x:v>46</x:v>
      </x:c>
      <x:c r="F626" s="26" t="str">
        <x:v>Lustig</x:v>
      </x:c>
      <x:c r="G626" s="26" t="n">
        <x:v>2008</x:v>
      </x:c>
      <x:c r="H626" s="25" t="str">
        <x:v>Fiscalhedgingwithnominalassets</x:v>
      </x:c>
      <x:c r="I626" s="25" t="str"/>
      <x:c r="J626" s="25" t="str"/>
      <x:c r="K626" s="25" t="str">
        <x:v>automatic_screen_pass</x:v>
      </x:c>
      <x:c r="L626" s="25" t="str">
        <x:v>accepted</x:v>
      </x:c>
      <x:c r="M626" s="25" t="str">
        <x:v>no</x:v>
      </x:c>
      <x:c r="N626" s="25" t="str">
        <x:v>saki_research/published_papers/bigio_nuno_passadore_debt_maturity_management_liquidity_costs.pdf</x:v>
      </x:c>
      <x:c r="O626" s="25" t="str">
        <x:v>Lustig,Hanno,ChristopherSleet,andSevinYeltekin,“Fiscalhedgingwithnominalassets,” Journal of MonetaryEconomics,May2008, 55(4),710–727.</x:v>
      </x:c>
    </x:row>
    <x:row r="627" ht="48" customHeight="1">
      <x:c r="A627" s="24" t="str">
        <x:v>P08-R051</x:v>
      </x:c>
      <x:c r="B627" s="24" t="str">
        <x:v>P08</x:v>
      </x:c>
      <x:c r="C627" s="26" t="n">
        <x:v>51</x:v>
      </x:c>
      <x:c r="D627" s="26" t="n">
        <x:v>46</x:v>
      </x:c>
      <x:c r="E627" s="26" t="n">
        <x:v>46</x:v>
      </x:c>
      <x:c r="F627" s="26" t="str">
        <x:v>Madhavan</x:v>
      </x:c>
      <x:c r="G627" s="26" t="n">
        <x:v>1998</x:v>
      </x:c>
      <x:c r="H627" s="25" t="str">
        <x:v>AnempiricalanalysisofNYSEspecialisttrading</x:v>
      </x:c>
      <x:c r="I627" s="25" t="str"/>
      <x:c r="J627" s="25" t="str"/>
      <x:c r="K627" s="25" t="str">
        <x:v>automatic_screen_pass</x:v>
      </x:c>
      <x:c r="L627" s="25" t="str">
        <x:v>accepted</x:v>
      </x:c>
      <x:c r="M627" s="25" t="str">
        <x:v>no</x:v>
      </x:c>
      <x:c r="N627" s="25" t="str">
        <x:v>saki_research/published_papers/bigio_nuno_passadore_debt_maturity_management_liquidity_costs.pdf</x:v>
      </x:c>
      <x:c r="O627" s="25" t="str">
        <x:v>Madhavan,AnanthandGeorgeSofianos,“AnempiricalanalysisofNYSEspecialisttrading,” Journal of FinancialEconomics,1998, 48(2),189–210.</x:v>
      </x:c>
    </x:row>
    <x:row r="628" ht="48" customHeight="1">
      <x:c r="A628" s="24" t="str">
        <x:v>P08-R052</x:v>
      </x:c>
      <x:c r="B628" s="24" t="str">
        <x:v>P08</x:v>
      </x:c>
      <x:c r="C628" s="26" t="n">
        <x:v>52</x:v>
      </x:c>
      <x:c r="D628" s="26" t="n">
        <x:v>46</x:v>
      </x:c>
      <x:c r="E628" s="26" t="n">
        <x:v>46</x:v>
      </x:c>
      <x:c r="F628" s="26" t="str">
        <x:v>Madhavan</x:v>
      </x:c>
      <x:c r="G628" s="26" t="n">
        <x:v>1991</x:v>
      </x:c>
      <x:c r="H628" s="25" t="str">
        <x:v>ABayesianmodelofintradayspecialistpricing</x:v>
      </x:c>
      <x:c r="I628" s="25" t="str">
        <x:v>inherited_author_notation</x:v>
      </x:c>
      <x:c r="J628" s="25" t="str">
        <x:v>exhaustive_ai_audit_2026-09-17</x:v>
      </x:c>
      <x:c r="K628" s="25" t="str">
        <x:v>exhaustive_visual_correction</x:v>
      </x:c>
      <x:c r="L628" s="25" t="str">
        <x:v>corrected</x:v>
      </x:c>
      <x:c r="M628" s="25" t="str">
        <x:v>no</x:v>
      </x:c>
      <x:c r="N628" s="25" t="str">
        <x:v>saki_research/published_papers/bigio_nuno_passadore_debt_maturity_management_liquidity_costs.pdf</x:v>
      </x:c>
      <x:c r="O628" s="25" t="str">
        <x:v>andSeymourSmidt,“ABayesianmodelofintradayspecialistpricing,” Journal of Financial Economics, 1991,30(1),99–134.</x:v>
      </x:c>
    </x:row>
    <x:row r="629" ht="48" customHeight="1">
      <x:c r="A629" s="24" t="str">
        <x:v>P08-R053</x:v>
      </x:c>
      <x:c r="B629" s="24" t="str">
        <x:v>P08</x:v>
      </x:c>
      <x:c r="C629" s="26" t="n">
        <x:v>53</x:v>
      </x:c>
      <x:c r="D629" s="26" t="n">
        <x:v>46</x:v>
      </x:c>
      <x:c r="E629" s="26" t="n">
        <x:v>46</x:v>
      </x:c>
      <x:c r="F629" s="26" t="str">
        <x:v>Naik</x:v>
      </x:c>
      <x:c r="G629" s="26" t="n">
        <x:v>2003</x:v>
      </x:c>
      <x:c r="H629" s="25" t="str">
        <x:v>Do dealer firms manage inventory on a stock-by-stock or a portfoliobasis?</x:v>
      </x:c>
      <x:c r="I629" s="25" t="str"/>
      <x:c r="J629" s="25" t="str"/>
      <x:c r="K629" s="25" t="str">
        <x:v>automatic_screen_pass</x:v>
      </x:c>
      <x:c r="L629" s="25" t="str">
        <x:v>accepted</x:v>
      </x:c>
      <x:c r="M629" s="25" t="str">
        <x:v>no</x:v>
      </x:c>
      <x:c r="N629" s="25" t="str">
        <x:v>saki_research/published_papers/bigio_nuno_passadore_debt_maturity_management_liquidity_costs.pdf</x:v>
      </x:c>
      <x:c r="O629" s="25" t="str">
        <x:v>Naik, Narayan Y and Pradeep K Yadav, “Do dealer firms manage inventory on a stock-by-stock or a portfoliobasis?,”JournalofFinancialEconomics,2003, 69(2),325–353.</x:v>
      </x:c>
    </x:row>
    <x:row r="630" ht="48" customHeight="1">
      <x:c r="A630" s="24" t="str">
        <x:v>P08-R054</x:v>
      </x:c>
      <x:c r="B630" s="24" t="str">
        <x:v>P08</x:v>
      </x:c>
      <x:c r="C630" s="26" t="n">
        <x:v>54</x:v>
      </x:c>
      <x:c r="D630" s="26" t="n">
        <x:v>46</x:v>
      </x:c>
      <x:c r="E630" s="26" t="n">
        <x:v>46</x:v>
      </x:c>
      <x:c r="F630" s="26" t="str">
        <x:v>Naik</x:v>
      </x:c>
      <x:c r="G630" s="26" t="n">
        <x:v>2003</x:v>
      </x:c>
      <x:c r="H630" s="25" t="str">
        <x:v>Riskmanagementwithderivativesbydealersandmarketqualityingovernmentbondmarkets</x:v>
      </x:c>
      <x:c r="I630" s="25" t="str">
        <x:v>inherited_author_notation</x:v>
      </x:c>
      <x:c r="J630" s="25" t="str"/>
      <x:c r="K630" s="25" t="str">
        <x:v>exhaustive_visual_multiwork_pattern_accepted</x:v>
      </x:c>
      <x:c r="L630" s="25" t="str">
        <x:v>accepted</x:v>
      </x:c>
      <x:c r="M630" s="25" t="str">
        <x:v>sí</x:v>
      </x:c>
      <x:c r="N630" s="25" t="str">
        <x:v>saki_research/published_papers/bigio_nuno_passadore_debt_maturity_management_liquidity_costs.pdf</x:v>
      </x:c>
      <x:c r="O630" s="25" t="str">
        <x:v>and ,“Riskmanagementwithderivativesbydealersandmarketqualityingovernmentbondmarkets,” TheJournalofFinance,2003, 58(5),1873–1904.</x:v>
      </x:c>
    </x:row>
    <x:row r="631" ht="48" customHeight="1">
      <x:c r="A631" s="24" t="str">
        <x:v>P08-R055</x:v>
      </x:c>
      <x:c r="B631" s="24" t="str">
        <x:v>P08</x:v>
      </x:c>
      <x:c r="C631" s="26" t="n">
        <x:v>55</x:v>
      </x:c>
      <x:c r="D631" s="26" t="n">
        <x:v>46</x:v>
      </x:c>
      <x:c r="E631" s="26" t="n">
        <x:v>46</x:v>
      </x:c>
      <x:c r="F631" s="26" t="str">
        <x:v>Pasquariello</x:v>
      </x:c>
      <x:c r="G631" s="26" t="n">
        <x:v>2009</x:v>
      </x:c>
      <x:c r="H631" s="25" t="str">
        <x:v>The on-the-run liquidity phenomenon</x:v>
      </x:c>
      <x:c r="I631" s="25" t="str"/>
      <x:c r="J631" s="25" t="str"/>
      <x:c r="K631" s="25" t="str">
        <x:v>automatic_screen_pass</x:v>
      </x:c>
      <x:c r="L631" s="25" t="str">
        <x:v>accepted</x:v>
      </x:c>
      <x:c r="M631" s="25" t="str">
        <x:v>no</x:v>
      </x:c>
      <x:c r="N631" s="25" t="str">
        <x:v>saki_research/published_papers/bigio_nuno_passadore_debt_maturity_management_liquidity_costs.pdf</x:v>
      </x:c>
      <x:c r="O631" s="25" t="str">
        <x:v>Pasquariello, Paolo and Clara Vega, “The on-the-run liquidity phenomenon,” Journal of Financial Economics,2009, 92(1),1–24.</x:v>
      </x:c>
    </x:row>
    <x:row r="632" ht="48" customHeight="1">
      <x:c r="A632" s="24" t="str">
        <x:v>P08-R056</x:v>
      </x:c>
      <x:c r="B632" s="24" t="str">
        <x:v>P08</x:v>
      </x:c>
      <x:c r="C632" s="26" t="n">
        <x:v>56</x:v>
      </x:c>
      <x:c r="D632" s="26" t="n">
        <x:v>46</x:v>
      </x:c>
      <x:c r="E632" s="26" t="n">
        <x:v>46</x:v>
      </x:c>
      <x:c r="F632" s="26" t="str">
        <x:v>Pelizzon</x:v>
      </x:c>
      <x:c r="G632" s="26" t="n">
        <x:v>2016</x:v>
      </x:c>
      <x:c r="H632" s="25" t="str">
        <x:v>Sovereigncreditrisk,liquidity,andEuropeanCentralBankintervention:Deusexmachina?</x:v>
      </x:c>
      <x:c r="I632" s="25" t="str"/>
      <x:c r="J632" s="25" t="str"/>
      <x:c r="K632" s="25" t="str">
        <x:v>automatic_screen_pass</x:v>
      </x:c>
      <x:c r="L632" s="25" t="str">
        <x:v>accepted</x:v>
      </x:c>
      <x:c r="M632" s="25" t="str">
        <x:v>no</x:v>
      </x:c>
      <x:c r="N632" s="25" t="str">
        <x:v>saki_research/published_papers/bigio_nuno_passadore_debt_maturity_management_liquidity_costs.pdf</x:v>
      </x:c>
      <x:c r="O632" s="25" t="str">
        <x:v>Pelizzon,Loriana,MartiGSubrahmanyam,DavideTomio,andJunUno,“Sovereigncreditrisk,liquidity,andEuropeanCentralBankintervention:Deusexmachina?,”JournalofFinancialEconomics,2016, 122(1),86–115.</x:v>
      </x:c>
    </x:row>
    <x:row r="633" ht="48" customHeight="1">
      <x:c r="A633" s="24" t="str">
        <x:v>P08-R057</x:v>
      </x:c>
      <x:c r="B633" s="24" t="str">
        <x:v>P08</x:v>
      </x:c>
      <x:c r="C633" s="26" t="n">
        <x:v>57</x:v>
      </x:c>
      <x:c r="D633" s="26" t="n">
        <x:v>46</x:v>
      </x:c>
      <x:c r="E633" s="26" t="n">
        <x:v>46</x:v>
      </x:c>
      <x:c r="F633" s="26" t="str">
        <x:v>Reinhart</x:v>
      </x:c>
      <x:c r="G633" s="26" t="n">
        <x:v>2009</x:v>
      </x:c>
      <x:c r="H633" s="25" t="str">
        <x:v>Thistimeisdifferent: Eightcenturiesoffinancialfolly</x:v>
      </x:c>
      <x:c r="I633" s="25" t="str"/>
      <x:c r="J633" s="25" t="str">
        <x:v>local_citation_grammar_v3</x:v>
      </x:c>
      <x:c r="K633" s="25" t="str">
        <x:v>prior_manual_sample</x:v>
      </x:c>
      <x:c r="L633" s="25" t="str">
        <x:v>accepted</x:v>
      </x:c>
      <x:c r="M633" s="25" t="str">
        <x:v>no</x:v>
      </x:c>
      <x:c r="N633" s="25" t="str">
        <x:v>saki_research/published_papers/bigio_nuno_passadore_debt_maturity_management_liquidity_costs.pdf</x:v>
      </x:c>
      <x:c r="O633" s="25" t="str">
        <x:v>Reinhart,CarmenMandKennethSRogoff, Thistimeisdifferent: Eightcenturiesoffinancialfolly,PrincetonUniversityPress,2009.</x:v>
      </x:c>
    </x:row>
    <x:row r="634" ht="48" customHeight="1">
      <x:c r="A634" s="24" t="str">
        <x:v>P08-R058</x:v>
      </x:c>
      <x:c r="B634" s="24" t="str">
        <x:v>P08</x:v>
      </x:c>
      <x:c r="C634" s="26" t="n">
        <x:v>58</x:v>
      </x:c>
      <x:c r="D634" s="26" t="n">
        <x:v>47</x:v>
      </x:c>
      <x:c r="E634" s="26" t="n">
        <x:v>47</x:v>
      </x:c>
      <x:c r="F634" s="26" t="str">
        <x:v>Reiter</x:v>
      </x:c>
      <x:c r="G634" s="26" t="n">
        <x:v>2009</x:v>
      </x:c>
      <x:c r="H634" s="25" t="str">
        <x:v>Solving heterogeneous-agent models by projection and perturbation</x:v>
      </x:c>
      <x:c r="I634" s="25" t="str"/>
      <x:c r="J634" s="25" t="str"/>
      <x:c r="K634" s="25" t="str">
        <x:v>automatic_screen_pass</x:v>
      </x:c>
      <x:c r="L634" s="25" t="str">
        <x:v>accepted</x:v>
      </x:c>
      <x:c r="M634" s="25" t="str">
        <x:v>no</x:v>
      </x:c>
      <x:c r="N634" s="25" t="str">
        <x:v>saki_research/published_papers/bigio_nuno_passadore_debt_maturity_management_liquidity_costs.pdf</x:v>
      </x:c>
      <x:c r="O634" s="25" t="str">
        <x:v>Reiter, Michael, “Solving heterogeneous-agent models by projection and perturbation,” Journal of EconomicDynamicsandControl,2009, 33(3),649–665.</x:v>
      </x:c>
    </x:row>
    <x:row r="635" ht="48" customHeight="1">
      <x:c r="A635" s="24" t="str">
        <x:v>P08-R059</x:v>
      </x:c>
      <x:c r="B635" s="24" t="str">
        <x:v>P08</x:v>
      </x:c>
      <x:c r="C635" s="26" t="n">
        <x:v>59</x:v>
      </x:c>
      <x:c r="D635" s="26" t="n">
        <x:v>47</x:v>
      </x:c>
      <x:c r="E635" s="26" t="n">
        <x:v>47</x:v>
      </x:c>
      <x:c r="F635" s="26" t="str">
        <x:v>Sánchez</x:v>
      </x:c>
      <x:c r="G635" s="26" t="n">
        <x:v>2018</x:v>
      </x:c>
      <x:c r="H635" s="25" t="str">
        <x:v>Sovereign default and maturity choice</x:v>
      </x:c>
      <x:c r="I635" s="25" t="str"/>
      <x:c r="J635" s="25" t="str"/>
      <x:c r="K635" s="25" t="str">
        <x:v>automatic_screen_pass</x:v>
      </x:c>
      <x:c r="L635" s="25" t="str">
        <x:v>accepted</x:v>
      </x:c>
      <x:c r="M635" s="25" t="str">
        <x:v>no</x:v>
      </x:c>
      <x:c r="N635" s="25" t="str">
        <x:v>saki_research/published_papers/bigio_nuno_passadore_debt_maturity_management_liquidity_costs.pdf</x:v>
      </x:c>
      <x:c r="O635" s="25" t="str">
        <x:v>Sánchez, Juan M, Horacio Sapriza, and Emircan Yurdagul, “Sovereign default and maturity choice,” JournalofMonetaryEconomics,2018, 95,72–85.</x:v>
      </x:c>
    </x:row>
    <x:row r="636" ht="48" customHeight="1">
      <x:c r="A636" s="24" t="str">
        <x:v>P08-R060</x:v>
      </x:c>
      <x:c r="B636" s="24" t="str">
        <x:v>P08</x:v>
      </x:c>
      <x:c r="C636" s="26" t="n">
        <x:v>60</x:v>
      </x:c>
      <x:c r="D636" s="26" t="n">
        <x:v>47</x:v>
      </x:c>
      <x:c r="E636" s="26" t="n">
        <x:v>47</x:v>
      </x:c>
      <x:c r="F636" s="26" t="str">
        <x:v>Song</x:v>
      </x:c>
      <x:c r="G636" s="26" t="n">
        <x:v>2018</x:v>
      </x:c>
      <x:c r="H636" s="25" t="str">
        <x:v>QuantitativeeasingauctionsofTreasurybonds</x:v>
      </x:c>
      <x:c r="I636" s="25" t="str"/>
      <x:c r="J636" s="25" t="str"/>
      <x:c r="K636" s="25" t="str">
        <x:v>automatic_screen_pass</x:v>
      </x:c>
      <x:c r="L636" s="25" t="str">
        <x:v>accepted</x:v>
      </x:c>
      <x:c r="M636" s="25" t="str">
        <x:v>no</x:v>
      </x:c>
      <x:c r="N636" s="25" t="str">
        <x:v>saki_research/published_papers/bigio_nuno_passadore_debt_maturity_management_liquidity_costs.pdf</x:v>
      </x:c>
      <x:c r="O636" s="25" t="str">
        <x:v>Song,ZhaogangandHaoxiangZhu,“QuantitativeeasingauctionsofTreasurybonds,” JournalofFinancial Economics,2018, 128(1),103–124.</x:v>
      </x:c>
    </x:row>
    <x:row r="637" ht="48" customHeight="1">
      <x:c r="A637" s="24" t="str">
        <x:v>P08-R061</x:v>
      </x:c>
      <x:c r="B637" s="24" t="str">
        <x:v>P08</x:v>
      </x:c>
      <x:c r="C637" s="26" t="n">
        <x:v>61</x:v>
      </x:c>
      <x:c r="D637" s="26" t="n">
        <x:v>47</x:v>
      </x:c>
      <x:c r="E637" s="26" t="n">
        <x:v>47</x:v>
      </x:c>
      <x:c r="F637" s="26" t="str">
        <x:v>Spindt</x:v>
      </x:c>
      <x:c r="G637" s="26" t="n">
        <x:v>1992</x:v>
      </x:c>
      <x:c r="H637" s="25" t="str">
        <x:v>AreUStreasurybillsunderpricedintheprimarymarket?</x:v>
      </x:c>
      <x:c r="I637" s="25" t="str"/>
      <x:c r="J637" s="25" t="str"/>
      <x:c r="K637" s="25" t="str">
        <x:v>prior_manual_sample</x:v>
      </x:c>
      <x:c r="L637" s="25" t="str">
        <x:v>accepted</x:v>
      </x:c>
      <x:c r="M637" s="25" t="str">
        <x:v>no</x:v>
      </x:c>
      <x:c r="N637" s="25" t="str">
        <x:v>saki_research/published_papers/bigio_nuno_passadore_debt_maturity_management_liquidity_costs.pdf</x:v>
      </x:c>
      <x:c r="O637" s="25" t="str">
        <x:v>Spindt,PaulA.andRichardW.Stolz,“AreUStreasurybillsunderpricedintheprimarymarket?,” Journal ofBanking&amp;Finance,1992, 16(5),891–908.</x:v>
      </x:c>
    </x:row>
    <x:row r="638" ht="48" customHeight="1">
      <x:c r="A638" s="24" t="str">
        <x:v>P08-R062</x:v>
      </x:c>
      <x:c r="B638" s="24" t="str">
        <x:v>P08</x:v>
      </x:c>
      <x:c r="C638" s="26" t="n">
        <x:v>62</x:v>
      </x:c>
      <x:c r="D638" s="26" t="n">
        <x:v>47</x:v>
      </x:c>
      <x:c r="E638" s="26" t="n">
        <x:v>47</x:v>
      </x:c>
      <x:c r="F638" s="26" t="str">
        <x:v>Vayanos</x:v>
      </x:c>
      <x:c r="G638" s="26" t="n">
        <x:v>2021</x:v>
      </x:c>
      <x:c r="H638" s="25" t="str">
        <x:v>APreferred-HabitatModeloftheTermStructureofInterestRates</x:v>
      </x:c>
      <x:c r="I638" s="25" t="str"/>
      <x:c r="J638" s="25" t="str"/>
      <x:c r="K638" s="25" t="str">
        <x:v>automatic_screen_pass</x:v>
      </x:c>
      <x:c r="L638" s="25" t="str">
        <x:v>accepted</x:v>
      </x:c>
      <x:c r="M638" s="25" t="str">
        <x:v>no</x:v>
      </x:c>
      <x:c r="N638" s="25" t="str">
        <x:v>saki_research/published_papers/bigio_nuno_passadore_debt_maturity_management_liquidity_costs.pdf</x:v>
      </x:c>
      <x:c r="O638" s="25" t="str">
        <x:v>Vayanos,DimitriandJean-LucVila,“APreferred-HabitatModeloftheTermStructureofInterestRates,” Econometrica,January2021, 89(1),77–112.</x:v>
      </x:c>
    </x:row>
    <x:row r="639" ht="48" customHeight="1">
      <x:c r="A639" s="24" t="str">
        <x:v>P08-R063</x:v>
      </x:c>
      <x:c r="B639" s="24" t="str">
        <x:v>P08</x:v>
      </x:c>
      <x:c r="C639" s="26" t="n">
        <x:v>63</x:v>
      </x:c>
      <x:c r="D639" s="26" t="n">
        <x:v>47</x:v>
      </x:c>
      <x:c r="E639" s="26" t="n">
        <x:v>47</x:v>
      </x:c>
      <x:c r="F639" s="26" t="str">
        <x:v>Vayanos</x:v>
      </x:c>
      <x:c r="G639" s="26" t="n">
        <x:v>2013</x:v>
      </x:c>
      <x:c r="H639" s="25" t="str">
        <x:v>MarketLiquidity: TheoryandEmpiricalEvidence</x:v>
      </x:c>
      <x:c r="I639" s="25" t="str"/>
      <x:c r="J639" s="25" t="str"/>
      <x:c r="K639" s="25" t="str">
        <x:v>automatic_screen_pass</x:v>
      </x:c>
      <x:c r="L639" s="25" t="str">
        <x:v>accepted</x:v>
      </x:c>
      <x:c r="M639" s="25" t="str">
        <x:v>no</x:v>
      </x:c>
      <x:c r="N639" s="25" t="str">
        <x:v>saki_research/published_papers/bigio_nuno_passadore_debt_maturity_management_liquidity_costs.pdf</x:v>
      </x:c>
      <x:c r="O639" s="25" t="str">
        <x:v>Vayanos,DimitryandJiangWang,“MarketLiquidity: TheoryandEmpiricalEvidence,”inGeorgeConstantinides,MiltonHarris,andReneStulz,eds.,HandbookoftheEconomicsofFinance,2013,chapter19.</x:v>
      </x:c>
    </x:row>
    <x:row r="640" ht="48" customHeight="1">
      <x:c r="A640" s="24" t="str">
        <x:v>P08-R064</x:v>
      </x:c>
      <x:c r="B640" s="24" t="str">
        <x:v>P08</x:v>
      </x:c>
      <x:c r="C640" s="26" t="n">
        <x:v>64</x:v>
      </x:c>
      <x:c r="D640" s="26" t="n">
        <x:v>47</x:v>
      </x:c>
      <x:c r="E640" s="26" t="n">
        <x:v>47</x:v>
      </x:c>
      <x:c r="F640" s="26" t="str">
        <x:v>Wang</x:v>
      </x:c>
      <x:c r="G640" s="26" t="n">
        <x:v>2016</x:v>
      </x:c>
      <x:c r="H640" s="25" t="str">
        <x:v>Optimal consumption and savings with stochastic incomeandrecursiveutility</x:v>
      </x:c>
      <x:c r="I640" s="25" t="str"/>
      <x:c r="J640" s="25" t="str"/>
      <x:c r="K640" s="25" t="str">
        <x:v>automatic_screen_pass</x:v>
      </x:c>
      <x:c r="L640" s="25" t="str">
        <x:v>accepted</x:v>
      </x:c>
      <x:c r="M640" s="25" t="str">
        <x:v>no</x:v>
      </x:c>
      <x:c r="N640" s="25" t="str">
        <x:v>saki_research/published_papers/bigio_nuno_passadore_debt_maturity_management_liquidity_costs.pdf</x:v>
      </x:c>
      <x:c r="O640" s="25" t="str">
        <x:v>Wang, Chong, NengWang, andJinqiangYang, “Optimal consumption and savings with stochastic incomeandrecursiveutility,”JournalofEconomicTheory,2016, 165,292–331.</x:v>
      </x:c>
    </x:row>
    <x:row r="641" ht="48" customHeight="1">
      <x:c r="A641" s="24" t="str">
        <x:v>P08-R065</x:v>
      </x:c>
      <x:c r="B641" s="24" t="str">
        <x:v>P08</x:v>
      </x:c>
      <x:c r="C641" s="26" t="n">
        <x:v>65</x:v>
      </x:c>
      <x:c r="D641" s="26" t="n">
        <x:v>47</x:v>
      </x:c>
      <x:c r="E641" s="26" t="n">
        <x:v>47</x:v>
      </x:c>
      <x:c r="F641" s="26" t="str">
        <x:v>Weill</x:v>
      </x:c>
      <x:c r="G641" s="26" t="n">
        <x:v>2007</x:v>
      </x:c>
      <x:c r="H641" s="25" t="str">
        <x:v>Leaningagainstthewind</x:v>
      </x:c>
      <x:c r="I641" s="25" t="str"/>
      <x:c r="J641" s="25" t="str"/>
      <x:c r="K641" s="25" t="str">
        <x:v>prior_manual_sample</x:v>
      </x:c>
      <x:c r="L641" s="25" t="str">
        <x:v>accepted</x:v>
      </x:c>
      <x:c r="M641" s="25" t="str">
        <x:v>no</x:v>
      </x:c>
      <x:c r="N641" s="25" t="str">
        <x:v>saki_research/published_papers/bigio_nuno_passadore_debt_maturity_management_liquidity_costs.pdf</x:v>
      </x:c>
      <x:c r="O641" s="25" t="str">
        <x:v>Weill,Pierre-Olivier,“Leaningagainstthewind,” TheReviewofEconomicStudies,2007, 74(4),1329–1354.</x:v>
      </x:c>
    </x:row>
    <x:row r="642" ht="48" customHeight="1">
      <x:c r="A642" s="24" t="str">
        <x:v>P08-R066</x:v>
      </x:c>
      <x:c r="B642" s="24" t="str">
        <x:v>P08</x:v>
      </x:c>
      <x:c r="C642" s="26" t="n">
        <x:v>66</x:v>
      </x:c>
      <x:c r="D642" s="26" t="n">
        <x:v>47</x:v>
      </x:c>
      <x:c r="E642" s="26" t="n">
        <x:v>47</x:v>
      </x:c>
      <x:c r="F642" s="26" t="str">
        <x:v>Zame</x:v>
      </x:c>
      <x:c r="G642" s="26" t="n">
        <x:v>1993</x:v>
      </x:c>
      <x:c r="H642" s="25" t="str">
        <x:v>EfficiencyandtheRoleofDefaultWhenSecurityMarketsareIncomplete</x:v>
      </x:c>
      <x:c r="I642" s="25" t="str"/>
      <x:c r="J642" s="25" t="str"/>
      <x:c r="K642" s="25" t="str">
        <x:v>automatic_screen_pass</x:v>
      </x:c>
      <x:c r="L642" s="25" t="str">
        <x:v>accepted</x:v>
      </x:c>
      <x:c r="M642" s="25" t="str">
        <x:v>no</x:v>
      </x:c>
      <x:c r="N642" s="25" t="str">
        <x:v>saki_research/published_papers/bigio_nuno_passadore_debt_maturity_management_liquidity_costs.pdf</x:v>
      </x:c>
      <x:c r="O642" s="25" t="str">
        <x:v>Zame,WilliamR.,“EfficiencyandtheRoleofDefaultWhenSecurityMarketsareIncomplete,”TheAmericanEconomicReview,1993, 83(5),1142–1164.</x:v>
      </x:c>
    </x:row>
    <x:row r="643" ht="48" customHeight="1">
      <x:c r="A643" s="24" t="str">
        <x:v>P04-R001</x:v>
      </x:c>
      <x:c r="B643" s="24" t="str">
        <x:v>P04</x:v>
      </x:c>
      <x:c r="C643" s="26" t="n">
        <x:v>1</x:v>
      </x:c>
      <x:c r="D643" s="26" t="n">
        <x:v>37</x:v>
      </x:c>
      <x:c r="E643" s="26" t="n">
        <x:v>37</x:v>
      </x:c>
      <x:c r="F643" s="26" t="str">
        <x:v>Ajello</x:v>
      </x:c>
      <x:c r="G643" s="26" t="n">
        <x:v>2016</x:v>
      </x:c>
      <x:c r="H643" s="25" t="str">
        <x:v>Financial Intermediation, Investment Dynamics, and Business Cycle Fluctuations</x:v>
      </x:c>
      <x:c r="I643" s="25" t="str"/>
      <x:c r="J643" s="25" t="str"/>
      <x:c r="K643" s="25" t="str">
        <x:v>automatic_screen_pass</x:v>
      </x:c>
      <x:c r="L643" s="25" t="str">
        <x:v>accepted</x:v>
      </x:c>
      <x:c r="M643" s="25" t="str">
        <x:v>no</x:v>
      </x:c>
      <x:c r="N643" s="25" t="str">
        <x:v>saki_research/published_papers/bigio_schneider_liquidity_shocks_business_cycles_asset_prices.pdf</x:v>
      </x:c>
      <x:c r="O643" s="25" t="str">
        <x:v>Ajello, Andrea, “Financial Intermediation, Investment Dynamics, and Business Cycle Fluctuations,” American Economic Review, August 2016, 106 (8), 2256–2303.</x:v>
      </x:c>
    </x:row>
    <x:row r="644" ht="48" customHeight="1">
      <x:c r="A644" s="24" t="str">
        <x:v>P04-R002</x:v>
      </x:c>
      <x:c r="B644" s="24" t="str">
        <x:v>P04</x:v>
      </x:c>
      <x:c r="C644" s="26" t="n">
        <x:v>2</x:v>
      </x:c>
      <x:c r="D644" s="26" t="n">
        <x:v>37</x:v>
      </x:c>
      <x:c r="E644" s="26" t="n">
        <x:v>37</x:v>
      </x:c>
      <x:c r="F644" s="26" t="str">
        <x:v>Bansal</x:v>
      </x:c>
      <x:c r="G644" s="26" t="n">
        <x:v>2004</x:v>
      </x:c>
      <x:c r="H644" s="25" t="str">
        <x:v>Risks for the Long Run: A Potential Resolution of Asset Pricing Puzzles</x:v>
      </x:c>
      <x:c r="I644" s="25" t="str"/>
      <x:c r="J644" s="25" t="str"/>
      <x:c r="K644" s="25" t="str">
        <x:v>automatic_screen_pass</x:v>
      </x:c>
      <x:c r="L644" s="25" t="str">
        <x:v>accepted</x:v>
      </x:c>
      <x:c r="M644" s="25" t="str">
        <x:v>no</x:v>
      </x:c>
      <x:c r="N644" s="25" t="str">
        <x:v>saki_research/published_papers/bigio_schneider_liquidity_shocks_business_cycles_asset_prices.pdf</x:v>
      </x:c>
      <x:c r="O644" s="25" t="str">
        <x:v>Bansal, Ravi and Amir Yaron, “Risks for the Long Run: A Potential Resolution of Asset Pricing Puzzles,” The Journal of Finance, 2004, 59 (4), 1481–1509.</x:v>
      </x:c>
    </x:row>
    <x:row r="645" ht="48" customHeight="1">
      <x:c r="A645" s="24" t="str">
        <x:v>P04-R003</x:v>
      </x:c>
      <x:c r="B645" s="24" t="str">
        <x:v>P04</x:v>
      </x:c>
      <x:c r="C645" s="26" t="n">
        <x:v>3</x:v>
      </x:c>
      <x:c r="D645" s="26" t="n">
        <x:v>37</x:v>
      </x:c>
      <x:c r="E645" s="26" t="n">
        <x:v>37</x:v>
      </x:c>
      <x:c r="F645" s="26" t="str">
        <x:v>Bigio</x:v>
      </x:c>
      <x:c r="G645" s="26" t="n">
        <x:v>2015</x:v>
      </x:c>
      <x:c r="H645" s="25" t="str">
        <x:v>Endogenous Liquidity and the Business Cycle</x:v>
      </x:c>
      <x:c r="I645" s="25" t="str"/>
      <x:c r="J645" s="25" t="str"/>
      <x:c r="K645" s="25" t="str">
        <x:v>exhaustive_visual_multiwork_pattern_accepted</x:v>
      </x:c>
      <x:c r="L645" s="25" t="str">
        <x:v>accepted</x:v>
      </x:c>
      <x:c r="M645" s="25" t="str">
        <x:v>sí</x:v>
      </x:c>
      <x:c r="N645" s="25" t="str">
        <x:v>saki_research/published_papers/bigio_schneider_liquidity_shocks_business_cycles_asset_prices.pdf</x:v>
      </x:c>
      <x:c r="O645" s="25" t="str">
        <x:v>Bigio, Saki, “Endogenous Liquidity and the Business Cycle,” American Economic Review , June 2015, 105 (6), 1883– 1927.</x:v>
      </x:c>
    </x:row>
    <x:row r="646" ht="48" customHeight="1">
      <x:c r="A646" s="24" t="str">
        <x:v>P04-R004</x:v>
      </x:c>
      <x:c r="B646" s="24" t="str">
        <x:v>P04</x:v>
      </x:c>
      <x:c r="C646" s="26" t="n">
        <x:v>4</x:v>
      </x:c>
      <x:c r="D646" s="26" t="n">
        <x:v>37</x:v>
      </x:c>
      <x:c r="E646" s="26" t="n">
        <x:v>37</x:v>
      </x:c>
      <x:c r="F646" s="26" t="str">
        <x:v>Brunnermeier</x:v>
      </x:c>
      <x:c r="G646" s="26" t="n">
        <x:v>2014</x:v>
      </x:c>
      <x:c r="H646" s="25" t="str">
        <x:v>A Macroeconomic Model with a Financial Sector</x:v>
      </x:c>
      <x:c r="I646" s="25" t="str"/>
      <x:c r="J646" s="25" t="str"/>
      <x:c r="K646" s="25" t="str">
        <x:v>automatic_screen_pass</x:v>
      </x:c>
      <x:c r="L646" s="25" t="str">
        <x:v>accepted</x:v>
      </x:c>
      <x:c r="M646" s="25" t="str">
        <x:v>no</x:v>
      </x:c>
      <x:c r="N646" s="25" t="str">
        <x:v>saki_research/published_papers/bigio_schneider_liquidity_shocks_business_cycles_asset_prices.pdf</x:v>
      </x:c>
      <x:c r="O646" s="25" t="str">
        <x:v>Brunnermeier, Markus K. and Yuliy Sannikov , “ A Macroeconomic Model with a Financial Sector,” American Economic Review, 2014, 104 (2), 379–421.</x:v>
      </x:c>
    </x:row>
    <x:row r="647" ht="48" customHeight="1">
      <x:c r="A647" s="24" t="str">
        <x:v>P04-R005</x:v>
      </x:c>
      <x:c r="B647" s="24" t="str">
        <x:v>P04</x:v>
      </x:c>
      <x:c r="C647" s="26" t="n">
        <x:v>5</x:v>
      </x:c>
      <x:c r="D647" s="26" t="n">
        <x:v>37</x:v>
      </x:c>
      <x:c r="E647" s="26" t="n">
        <x:v>37</x:v>
      </x:c>
      <x:c r="F647" s="26" t="str">
        <x:v>Brunnermeier</x:v>
      </x:c>
      <x:c r="G647" s="26" t="n">
        <x:v>2016</x:v>
      </x:c>
      <x:c r="H647" s="25" t="str">
        <x:v>Macro, Money and Finance: A Continuous Time Approach</x:v>
      </x:c>
      <x:c r="I647" s="25" t="str">
        <x:v>inherited_author_notation</x:v>
      </x:c>
      <x:c r="J647" s="25" t="str"/>
      <x:c r="K647" s="25" t="str">
        <x:v>automatic_screen_pass</x:v>
      </x:c>
      <x:c r="L647" s="25" t="str">
        <x:v>accepted</x:v>
      </x:c>
      <x:c r="M647" s="25" t="str">
        <x:v>no</x:v>
      </x:c>
      <x:c r="N647" s="25" t="str">
        <x:v>saki_research/published_papers/bigio_schneider_liquidity_shocks_business_cycles_asset_prices.pdf</x:v>
      </x:c>
      <x:c r="O647" s="25" t="str">
        <x:v>and , “Macro, Money and Finance: A Continuous Time Approach,” Working Paper 22343, National Bureau of Economic Research June 2016.</x:v>
      </x:c>
    </x:row>
    <x:row r="648" ht="48" customHeight="1">
      <x:c r="A648" s="24" t="str">
        <x:v>P04-R006</x:v>
      </x:c>
      <x:c r="B648" s="24" t="str">
        <x:v>P04</x:v>
      </x:c>
      <x:c r="C648" s="26" t="n">
        <x:v>6</x:v>
      </x:c>
      <x:c r="D648" s="26" t="n">
        <x:v>37</x:v>
      </x:c>
      <x:c r="E648" s="26" t="n">
        <x:v>37</x:v>
      </x:c>
      <x:c r="F648" s="26" t="str">
        <x:v>Campanale</x:v>
      </x:c>
      <x:c r="G648" s="26" t="n">
        <x:v>2010</x:v>
      </x:c>
      <x:c r="H648" s="25" t="str">
        <x:v>Asset Pricing in a Production Economy with Chew-Dekel Preferences</x:v>
      </x:c>
      <x:c r="I648" s="25" t="str"/>
      <x:c r="J648" s="25" t="str"/>
      <x:c r="K648" s="25" t="str">
        <x:v>automatic_screen_pass</x:v>
      </x:c>
      <x:c r="L648" s="25" t="str">
        <x:v>accepted</x:v>
      </x:c>
      <x:c r="M648" s="25" t="str">
        <x:v>no</x:v>
      </x:c>
      <x:c r="N648" s="25" t="str">
        <x:v>saki_research/published_papers/bigio_schneider_liquidity_shocks_business_cycles_asset_prices.pdf</x:v>
      </x:c>
      <x:c r="O648" s="25" t="str">
        <x:v>Campanale, Claudio, Rui Castro, and Gian Luca Clementi, “ Asset Pricing in a Production Economy with Chew-Dekel Preferences,” Review of Economic Dynamics, 2010, 13 (2), 379 – 402.</x:v>
      </x:c>
    </x:row>
    <x:row r="649" ht="48" customHeight="1">
      <x:c r="A649" s="24" t="str">
        <x:v>P04-R007</x:v>
      </x:c>
      <x:c r="B649" s="24" t="str">
        <x:v>P04</x:v>
      </x:c>
      <x:c r="C649" s="26" t="n">
        <x:v>7</x:v>
      </x:c>
      <x:c r="D649" s="26" t="n">
        <x:v>37</x:v>
      </x:c>
      <x:c r="E649" s="26" t="n">
        <x:v>37</x:v>
      </x:c>
      <x:c r="F649" s="26" t="str">
        <x:v>Chetty</x:v>
      </x:c>
      <x:c r="G649" s="26" t="n">
        <x:v>2011</x:v>
      </x:c>
      <x:c r="H649" s="25" t="str">
        <x:v>Are Micro and Macro Labor Supply Elasticities Consistent? A Review of Evidence on the Intensive and Extensive Margins</x:v>
      </x:c>
      <x:c r="I649" s="25" t="str"/>
      <x:c r="J649" s="25" t="str"/>
      <x:c r="K649" s="25" t="str">
        <x:v>automatic_screen_pass</x:v>
      </x:c>
      <x:c r="L649" s="25" t="str">
        <x:v>accepted</x:v>
      </x:c>
      <x:c r="M649" s="25" t="str">
        <x:v>no</x:v>
      </x:c>
      <x:c r="N649" s="25" t="str">
        <x:v>saki_research/published_papers/bigio_schneider_liquidity_shocks_business_cycles_asset_prices.pdf</x:v>
      </x:c>
      <x:c r="O649" s="25" t="str">
        <x:v>Chetty, Raj, Adam Guren, Day Manoli, and Andrea Weber , “ Are Micro and Macro Labor Supply Elasticities Consistent? A Review of Evidence on the Intensive and Extensive Margins,”American Economic Review, May 2011, 101 (3), 471–75.</x:v>
      </x:c>
    </x:row>
    <x:row r="650" ht="48" customHeight="1">
      <x:c r="A650" s="24" t="str">
        <x:v>P04-R008</x:v>
      </x:c>
      <x:c r="B650" s="24" t="str">
        <x:v>P04</x:v>
      </x:c>
      <x:c r="C650" s="26" t="n">
        <x:v>8</x:v>
      </x:c>
      <x:c r="D650" s="26" t="n">
        <x:v>37</x:v>
      </x:c>
      <x:c r="E650" s="26" t="n">
        <x:v>37</x:v>
      </x:c>
      <x:c r="F650" s="26" t="str">
        <x:v>Cooper</x:v>
      </x:c>
      <x:c r="G650" s="26" t="n">
        <x:v>1999</x:v>
      </x:c>
      <x:c r="H650" s="25" t="str">
        <x:v>Machine Replacement and the Business Cycle: Lumps and Bumps</x:v>
      </x:c>
      <x:c r="I650" s="25" t="str"/>
      <x:c r="J650" s="25" t="str"/>
      <x:c r="K650" s="25" t="str">
        <x:v>automatic_screen_pass</x:v>
      </x:c>
      <x:c r="L650" s="25" t="str">
        <x:v>accepted</x:v>
      </x:c>
      <x:c r="M650" s="25" t="str">
        <x:v>no</x:v>
      </x:c>
      <x:c r="N650" s="25" t="str">
        <x:v>saki_research/published_papers/bigio_schneider_liquidity_shocks_business_cycles_asset_prices.pdf</x:v>
      </x:c>
      <x:c r="O650" s="25" t="str">
        <x:v>Cooper, Russell, John Haltiwanger, and Laura Power , “Machine Replacement and the Business Cycle: Lumps and Bumps,” American Economic Review, September 1999, 89 (4), 921–946.</x:v>
      </x:c>
    </x:row>
    <x:row r="651" ht="48" customHeight="1">
      <x:c r="A651" s="24" t="str">
        <x:v>P04-R009</x:v>
      </x:c>
      <x:c r="B651" s="24" t="str">
        <x:v>P04</x:v>
      </x:c>
      <x:c r="C651" s="26" t="n">
        <x:v>9</x:v>
      </x:c>
      <x:c r="D651" s="26" t="n">
        <x:v>37</x:v>
      </x:c>
      <x:c r="E651" s="26" t="n">
        <x:v>37</x:v>
      </x:c>
      <x:c r="F651" s="26" t="str">
        <x:v>Croce</x:v>
      </x:c>
      <x:c r="G651" s="26" t="n">
        <x:v>2014</x:v>
      </x:c>
      <x:c r="H651" s="25" t="str">
        <x:v>Long-run productivity risk: A new hope for production-based asset pricing?</x:v>
      </x:c>
      <x:c r="I651" s="25" t="str"/>
      <x:c r="J651" s="25" t="str"/>
      <x:c r="K651" s="25" t="str">
        <x:v>prior_manual_sample</x:v>
      </x:c>
      <x:c r="L651" s="25" t="str">
        <x:v>accepted</x:v>
      </x:c>
      <x:c r="M651" s="25" t="str">
        <x:v>no</x:v>
      </x:c>
      <x:c r="N651" s="25" t="str">
        <x:v>saki_research/published_papers/bigio_schneider_liquidity_shocks_business_cycles_asset_prices.pdf</x:v>
      </x:c>
      <x:c r="O651" s="25" t="str">
        <x:v>Croce, Mariano Massimiliano, “Long-run productivity risk: A new hope for production-based asset pricing?,”Journal of Monetary Economics, 2014, 66, 13 – 31.</x:v>
      </x:c>
    </x:row>
    <x:row r="652" ht="48" customHeight="1">
      <x:c r="A652" s="24" t="str">
        <x:v>P04-R010</x:v>
      </x:c>
      <x:c r="B652" s="24" t="str">
        <x:v>P04</x:v>
      </x:c>
      <x:c r="C652" s="26" t="n">
        <x:v>10</x:v>
      </x:c>
      <x:c r="D652" s="26" t="n">
        <x:v>37</x:v>
      </x:c>
      <x:c r="E652" s="26" t="n">
        <x:v>37</x:v>
      </x:c>
      <x:c r="F652" s="26" t="str">
        <x:v>Del Negro</x:v>
      </x:c>
      <x:c r="G652" s="26" t="n">
        <x:v>2016</x:v>
      </x:c>
      <x:c r="H652" s="25" t="str">
        <x:v>The Great Escape? A Quantitative Evaluation of the Feds Liquidity Facilities</x:v>
      </x:c>
      <x:c r="I652" s="25" t="str"/>
      <x:c r="J652" s="25" t="str"/>
      <x:c r="K652" s="25" t="str">
        <x:v>automatic_screen_pass</x:v>
      </x:c>
      <x:c r="L652" s="25" t="str">
        <x:v>accepted</x:v>
      </x:c>
      <x:c r="M652" s="25" t="str">
        <x:v>no</x:v>
      </x:c>
      <x:c r="N652" s="25" t="str">
        <x:v>saki_research/published_papers/bigio_schneider_liquidity_shocks_business_cycles_asset_prices.pdf</x:v>
      </x:c>
      <x:c r="O652" s="25" t="str">
        <x:v>Del Negro, Marco, Gauti Eggertsson, Andrea Ferrero, and Nobuhiro Kiyotaki , “The Great Escape? A Quantitative Evaluation of the Feds Liquidity Facilities,” Working Paper 22259, National Bureau of Economic Research May 2016.</x:v>
      </x:c>
    </x:row>
    <x:row r="653" ht="48" customHeight="1">
      <x:c r="A653" s="24" t="str">
        <x:v>P04-R011</x:v>
      </x:c>
      <x:c r="B653" s="24" t="str">
        <x:v>P04</x:v>
      </x:c>
      <x:c r="C653" s="26" t="n">
        <x:v>11</x:v>
      </x:c>
      <x:c r="D653" s="26" t="n">
        <x:v>37</x:v>
      </x:c>
      <x:c r="E653" s="26" t="n">
        <x:v>37</x:v>
      </x:c>
      <x:c r="F653" s="26" t="str">
        <x:v>Epstein</x:v>
      </x:c>
      <x:c r="G653" s="26" t="n">
        <x:v>1989</x:v>
      </x:c>
      <x:c r="H653" s="25" t="str">
        <x:v>Substitution, Risk Aversion, and the Temporal Behavior of Consumption and Asset Returns: A Theoretical Framework</x:v>
      </x:c>
      <x:c r="I653" s="25" t="str"/>
      <x:c r="J653" s="25" t="str"/>
      <x:c r="K653" s="25" t="str">
        <x:v>prior_manual_sample</x:v>
      </x:c>
      <x:c r="L653" s="25" t="str">
        <x:v>accepted</x:v>
      </x:c>
      <x:c r="M653" s="25" t="str">
        <x:v>no</x:v>
      </x:c>
      <x:c r="N653" s="25" t="str">
        <x:v>saki_research/published_papers/bigio_schneider_liquidity_shocks_business_cycles_asset_prices.pdf</x:v>
      </x:c>
      <x:c r="O653" s="25" t="str">
        <x:v>Epstein, Larry G. and Stanley E. Zin , “Substitution, Risk Aversion, and the Temporal Behavior of Consumption and Asset Returns: A Theoretical Framework,” Econometrica, 1989, 57 (4), 937–969.</x:v>
      </x:c>
    </x:row>
    <x:row r="654" ht="48" customHeight="1">
      <x:c r="A654" s="24" t="str">
        <x:v>P04-R012</x:v>
      </x:c>
      <x:c r="B654" s="24" t="str">
        <x:v>P04</x:v>
      </x:c>
      <x:c r="C654" s="26" t="n">
        <x:v>12</x:v>
      </x:c>
      <x:c r="D654" s="26" t="n">
        <x:v>37</x:v>
      </x:c>
      <x:c r="E654" s="26" t="n">
        <x:v>37</x:v>
      </x:c>
      <x:c r="F654" s="26" t="str">
        <x:v>He</x:v>
      </x:c>
      <x:c r="G654" s="26" t="n">
        <x:v>2013</x:v>
      </x:c>
      <x:c r="H654" s="25" t="str">
        <x:v>Intermediary Asset Pricing</x:v>
      </x:c>
      <x:c r="I654" s="25" t="str"/>
      <x:c r="J654" s="25" t="str"/>
      <x:c r="K654" s="25" t="str">
        <x:v>prior_manual_sample</x:v>
      </x:c>
      <x:c r="L654" s="25" t="str">
        <x:v>accepted</x:v>
      </x:c>
      <x:c r="M654" s="25" t="str">
        <x:v>no</x:v>
      </x:c>
      <x:c r="N654" s="25" t="str">
        <x:v>saki_research/published_papers/bigio_schneider_liquidity_shocks_business_cycles_asset_prices.pdf</x:v>
      </x:c>
      <x:c r="O654" s="25" t="str">
        <x:v>He, Zhiguo and Arvind Krishnamurthy, “Intermediary Asset Pricing,” American Economic Review, 2013, 103 (2), 732– 70.</x:v>
      </x:c>
    </x:row>
    <x:row r="655" ht="48" customHeight="1">
      <x:c r="A655" s="24" t="str">
        <x:v>P04-R013</x:v>
      </x:c>
      <x:c r="B655" s="24" t="str">
        <x:v>P04</x:v>
      </x:c>
      <x:c r="C655" s="26" t="n">
        <x:v>13</x:v>
      </x:c>
      <x:c r="D655" s="26" t="n">
        <x:v>37</x:v>
      </x:c>
      <x:c r="E655" s="26" t="n">
        <x:v>37</x:v>
      </x:c>
      <x:c r="F655" s="26" t="str">
        <x:v>Jermann</x:v>
      </x:c>
      <x:c r="G655" s="26" t="n">
        <x:v>1998</x:v>
      </x:c>
      <x:c r="H655" s="25" t="str">
        <x:v>Asset pricing in production economies</x:v>
      </x:c>
      <x:c r="I655" s="25" t="str"/>
      <x:c r="J655" s="25" t="str"/>
      <x:c r="K655" s="25" t="str">
        <x:v>automatic_screen_pass</x:v>
      </x:c>
      <x:c r="L655" s="25" t="str">
        <x:v>accepted</x:v>
      </x:c>
      <x:c r="M655" s="25" t="str">
        <x:v>no</x:v>
      </x:c>
      <x:c r="N655" s="25" t="str">
        <x:v>saki_research/published_papers/bigio_schneider_liquidity_shocks_business_cycles_asset_prices.pdf</x:v>
      </x:c>
      <x:c r="O655" s="25" t="str">
        <x:v>Jermann, Urban J., “Asset pricing in production economies,” Journal of Monetary Economics, April 1998, 41 (2), 257– 275.</x:v>
      </x:c>
    </x:row>
    <x:row r="656" ht="48" customHeight="1">
      <x:c r="A656" s="24" t="str">
        <x:v>P04-R014</x:v>
      </x:c>
      <x:c r="B656" s="24" t="str">
        <x:v>P04</x:v>
      </x:c>
      <x:c r="C656" s="26" t="n">
        <x:v>14</x:v>
      </x:c>
      <x:c r="D656" s="26" t="n">
        <x:v>37</x:v>
      </x:c>
      <x:c r="E656" s="26" t="n">
        <x:v>37</x:v>
      </x:c>
      <x:c r="F656" s="26" t="str">
        <x:v>Kiyotaki</x:v>
      </x:c>
      <x:c r="G656" s="26" t="n">
        <x:v>2012</x:v>
      </x:c>
      <x:c r="H656" s="25" t="str">
        <x:v>Liquidity, business cycles, and monetary policy</x:v>
      </x:c>
      <x:c r="I656" s="25" t="str"/>
      <x:c r="J656" s="25" t="str"/>
      <x:c r="K656" s="25" t="str">
        <x:v>automatic_screen_pass</x:v>
      </x:c>
      <x:c r="L656" s="25" t="str">
        <x:v>accepted</x:v>
      </x:c>
      <x:c r="M656" s="25" t="str">
        <x:v>no</x:v>
      </x:c>
      <x:c r="N656" s="25" t="str">
        <x:v>saki_research/published_papers/bigio_schneider_liquidity_shocks_business_cycles_asset_prices.pdf</x:v>
      </x:c>
      <x:c r="O656" s="25" t="str">
        <x:v>Kiyotaki, Nobuhiro and John Moore , “Liquidity, business cycles, and monetary policy.,” Princeton Working Paper, 2012.</x:v>
      </x:c>
    </x:row>
    <x:row r="657" ht="48" customHeight="1">
      <x:c r="A657" s="24" t="str">
        <x:v>P04-R015</x:v>
      </x:c>
      <x:c r="B657" s="24" t="str">
        <x:v>P04</x:v>
      </x:c>
      <x:c r="C657" s="26" t="n">
        <x:v>15</x:v>
      </x:c>
      <x:c r="D657" s="26" t="n">
        <x:v>37</x:v>
      </x:c>
      <x:c r="E657" s="26" t="n">
        <x:v>37</x:v>
      </x:c>
      <x:c r="F657" s="26" t="str">
        <x:v>Kurlat</x:v>
      </x:c>
      <x:c r="G657" s="26" t="n">
        <x:v>2013</x:v>
      </x:c>
      <x:c r="H657" s="25" t="str">
        <x:v>Lemons Markets and the Transmission of Aggregate Shocks</x:v>
      </x:c>
      <x:c r="I657" s="25" t="str"/>
      <x:c r="J657" s="25" t="str"/>
      <x:c r="K657" s="25" t="str">
        <x:v>automatic_screen_pass</x:v>
      </x:c>
      <x:c r="L657" s="25" t="str">
        <x:v>accepted</x:v>
      </x:c>
      <x:c r="M657" s="25" t="str">
        <x:v>no</x:v>
      </x:c>
      <x:c r="N657" s="25" t="str">
        <x:v>saki_research/published_papers/bigio_schneider_liquidity_shocks_business_cycles_asset_prices.pdf</x:v>
      </x:c>
      <x:c r="O657" s="25" t="str">
        <x:v>Kurlat, Pablo, “Lemons Markets and the Transmission of Aggregate Shocks,” American Economic Review, June 2013, 103 (4), 1463–89.</x:v>
      </x:c>
    </x:row>
    <x:row r="658" ht="48" customHeight="1">
      <x:c r="A658" s="24" t="str">
        <x:v>P04-R016</x:v>
      </x:c>
      <x:c r="B658" s="24" t="str">
        <x:v>P04</x:v>
      </x:c>
      <x:c r="C658" s="26" t="n">
        <x:v>16</x:v>
      </x:c>
      <x:c r="D658" s="26" t="n">
        <x:v>37</x:v>
      </x:c>
      <x:c r="E658" s="26" t="n">
        <x:v>37</x:v>
      </x:c>
      <x:c r="F658" s="26" t="str">
        <x:v>Ljungqvist</x:v>
      </x:c>
      <x:c r="G658" s="26" t="n">
        <x:v>2012</x:v>
      </x:c>
      <x:c r="H658" s="25" t="str">
        <x:v>Recursive Macroeconomic Theory</x:v>
      </x:c>
      <x:c r="I658" s="25" t="str"/>
      <x:c r="J658" s="25" t="str">
        <x:v>local_citation_grammar_v3</x:v>
      </x:c>
      <x:c r="K658" s="25" t="str">
        <x:v>automatic_screen_pass</x:v>
      </x:c>
      <x:c r="L658" s="25" t="str">
        <x:v>accepted</x:v>
      </x:c>
      <x:c r="M658" s="25" t="str">
        <x:v>no</x:v>
      </x:c>
      <x:c r="N658" s="25" t="str">
        <x:v>saki_research/published_papers/bigio_schneider_liquidity_shocks_business_cycles_asset_prices.pdf</x:v>
      </x:c>
      <x:c r="O658" s="25" t="str">
        <x:v>Ljungqvist, Lars and Thomas J. Sargent, Recursive Macroeconomic Theory, MIT Press, 2012.</x:v>
      </x:c>
    </x:row>
    <x:row r="659" ht="48" customHeight="1">
      <x:c r="A659" s="24" t="str">
        <x:v>P04-R017</x:v>
      </x:c>
      <x:c r="B659" s="24" t="str">
        <x:v>P04</x:v>
      </x:c>
      <x:c r="C659" s="26" t="n">
        <x:v>17</x:v>
      </x:c>
      <x:c r="D659" s="26" t="n">
        <x:v>37</x:v>
      </x:c>
      <x:c r="E659" s="26" t="n">
        <x:v>37</x:v>
      </x:c>
      <x:c r="F659" s="26" t="str">
        <x:v>Schneider</x:v>
      </x:c>
      <x:c r="G659" s="26" t="n">
        <x:v>2017</x:v>
      </x:c>
      <x:c r="H659" s="25" t="str">
        <x:v>Endogenous and Exogenous Risk Premia</x:v>
      </x:c>
      <x:c r="I659" s="25" t="str"/>
      <x:c r="J659" s="25" t="str"/>
      <x:c r="K659" s="25" t="str">
        <x:v>automatic_screen_pass</x:v>
      </x:c>
      <x:c r="L659" s="25" t="str">
        <x:v>accepted</x:v>
      </x:c>
      <x:c r="M659" s="25" t="str">
        <x:v>no</x:v>
      </x:c>
      <x:c r="N659" s="25" t="str">
        <x:v>saki_research/published_papers/bigio_schneider_liquidity_shocks_business_cycles_asset_prices.pdf</x:v>
      </x:c>
      <x:c r="O659" s="25" t="str">
        <x:v>Schneider, Andres, “Endogenous and Exogenous Risk Premia,” Working Paper , UCLA, 2017.</x:v>
      </x:c>
    </x:row>
    <x:row r="660" ht="48" customHeight="1">
      <x:c r="A660" s="24" t="str">
        <x:v>P04-R018</x:v>
      </x:c>
      <x:c r="B660" s="24" t="str">
        <x:v>P04</x:v>
      </x:c>
      <x:c r="C660" s="26" t="n">
        <x:v>18</x:v>
      </x:c>
      <x:c r="D660" s="26" t="n">
        <x:v>38</x:v>
      </x:c>
      <x:c r="E660" s="26" t="n">
        <x:v>38</x:v>
      </x:c>
      <x:c r="F660" s="26" t="str">
        <x:v>Shi</x:v>
      </x:c>
      <x:c r="G660" s="26" t="n">
        <x:v>2015</x:v>
      </x:c>
      <x:c r="H660" s="25" t="str">
        <x:v>Liquidity, assets and business cycles</x:v>
      </x:c>
      <x:c r="I660" s="25" t="str"/>
      <x:c r="J660" s="25" t="str"/>
      <x:c r="K660" s="25" t="str">
        <x:v>automatic_screen_pass</x:v>
      </x:c>
      <x:c r="L660" s="25" t="str">
        <x:v>accepted</x:v>
      </x:c>
      <x:c r="M660" s="25" t="str">
        <x:v>no</x:v>
      </x:c>
      <x:c r="N660" s="25" t="str">
        <x:v>saki_research/published_papers/bigio_schneider_liquidity_shocks_business_cycles_asset_prices.pdf</x:v>
      </x:c>
      <x:c r="O660" s="25" t="str">
        <x:v>Shi, Shouyong, “Liquidity, assets and business cycles,” Journal of Monetary Economics, 2015, 70 (C), 116–132.</x:v>
      </x:c>
    </x:row>
    <x:row r="661" ht="48" customHeight="1">
      <x:c r="A661" s="24" t="str">
        <x:v>P04-R019</x:v>
      </x:c>
      <x:c r="B661" s="24" t="str">
        <x:v>P04</x:v>
      </x:c>
      <x:c r="C661" s="26" t="n">
        <x:v>19</x:v>
      </x:c>
      <x:c r="D661" s="26" t="n">
        <x:v>38</x:v>
      </x:c>
      <x:c r="E661" s="26" t="n">
        <x:v>38</x:v>
      </x:c>
      <x:c r="F661" s="26" t="str">
        <x:v>Venkateswaran</x:v>
      </x:c>
      <x:c r="G661" s="26" t="n">
        <x:v>2014</x:v>
      </x:c>
      <x:c r="H661" s="25" t="str">
        <x:v>Pledgability and Liquidity: A New Monetarist Model of Financial and Macroeconomic Activity</x:v>
      </x:c>
      <x:c r="I661" s="25" t="str"/>
      <x:c r="J661" s="25" t="str"/>
      <x:c r="K661" s="25" t="str">
        <x:v>automatic_screen_pass</x:v>
      </x:c>
      <x:c r="L661" s="25" t="str">
        <x:v>accepted</x:v>
      </x:c>
      <x:c r="M661" s="25" t="str">
        <x:v>no</x:v>
      </x:c>
      <x:c r="N661" s="25" t="str">
        <x:v>saki_research/published_papers/bigio_schneider_liquidity_shocks_business_cycles_asset_prices.pdf</x:v>
      </x:c>
      <x:c r="O661" s="25" t="str">
        <x:v>Venkateswaran, Venky and Randall Wright, “Pledgability and Liquidity: A New Monetarist Model of Financial and Macroeconomic Activity,” NBER Macroeconomics Annual, 2014, 28 (1), 227–270.</x:v>
      </x:c>
    </x:row>
    <x:row r="662" ht="48" customHeight="1">
      <x:c r="A662" s="24" t="str">
        <x:v>P09-R001</x:v>
      </x:c>
      <x:c r="B662" s="24" t="str">
        <x:v>P09</x:v>
      </x:c>
      <x:c r="C662" s="26" t="n">
        <x:v>1</x:v>
      </x:c>
      <x:c r="D662" s="26" t="n">
        <x:v>35</x:v>
      </x:c>
      <x:c r="E662" s="26" t="n">
        <x:v>35</x:v>
      </x:c>
      <x:c r="F662" s="26" t="str">
        <x:v>Agarwal</x:v>
      </x:c>
      <x:c r="G662" s="26" t="n">
        <x:v>2012</x:v>
      </x:c>
      <x:c r="H662" s="25" t="str">
        <x:v>AdverseSelectioninMortgageSecuritization</x:v>
      </x:c>
      <x:c r="I662" s="25" t="str"/>
      <x:c r="J662" s="25" t="str"/>
      <x:c r="K662" s="25" t="str">
        <x:v>automatic_screen_pass</x:v>
      </x:c>
      <x:c r="L662" s="25" t="str">
        <x:v>accepted</x:v>
      </x:c>
      <x:c r="M662" s="25" t="str">
        <x:v>no</x:v>
      </x:c>
      <x:c r="N662" s="25" t="str">
        <x:v>saki_research/published_papers/bigio_shi_repurchase_options_market_lemons.pdf</x:v>
      </x:c>
      <x:c r="O662" s="25" t="str">
        <x:v>Agarwal,Sumit,YanChang,andAbdullahYavas,“AdverseSelectioninMortgageSecuritization,”JournalofFinancialEconomics,2012,105(3),640–660.</x:v>
      </x:c>
    </x:row>
    <x:row r="663" ht="48" customHeight="1">
      <x:c r="A663" s="24" t="str">
        <x:v>P09-R002</x:v>
      </x:c>
      <x:c r="B663" s="24" t="str">
        <x:v>P09</x:v>
      </x:c>
      <x:c r="C663" s="26" t="n">
        <x:v>2</x:v>
      </x:c>
      <x:c r="D663" s="26" t="n">
        <x:v>35</x:v>
      </x:c>
      <x:c r="E663" s="26" t="n">
        <x:v>35</x:v>
      </x:c>
      <x:c r="F663" s="26" t="str">
        <x:v>Akerlof</x:v>
      </x:c>
      <x:c r="G663" s="26" t="n">
        <x:v>1970</x:v>
      </x:c>
      <x:c r="H663" s="25" t="str">
        <x:v>TheMarketfor"Lemons":QualityUncertaintyandtheMarketMechanism</x:v>
      </x:c>
      <x:c r="I663" s="25" t="str"/>
      <x:c r="J663" s="25" t="str"/>
      <x:c r="K663" s="25" t="str">
        <x:v>automatic_screen_pass</x:v>
      </x:c>
      <x:c r="L663" s="25" t="str">
        <x:v>accepted</x:v>
      </x:c>
      <x:c r="M663" s="25" t="str">
        <x:v>no</x:v>
      </x:c>
      <x:c r="N663" s="25" t="str">
        <x:v>saki_research/published_papers/bigio_shi_repurchase_options_market_lemons.pdf</x:v>
      </x:c>
      <x:c r="O663" s="25" t="str">
        <x:v>Akerlof,GeorgeA.,“TheMarketfor"Lemons":QualityUncertaintyandtheMarketMechanism,”TheQuarterlyJournalofEconomics,1970,84(3),488–500.</x:v>
      </x:c>
    </x:row>
    <x:row r="664" ht="48" customHeight="1">
      <x:c r="A664" s="24" t="str">
        <x:v>P09-R003</x:v>
      </x:c>
      <x:c r="B664" s="24" t="str">
        <x:v>P09</x:v>
      </x:c>
      <x:c r="C664" s="26" t="n">
        <x:v>3</x:v>
      </x:c>
      <x:c r="D664" s="26" t="n">
        <x:v>35</x:v>
      </x:c>
      <x:c r="E664" s="26" t="n">
        <x:v>35</x:v>
      </x:c>
      <x:c r="F664" s="26" t="str">
        <x:v>An</x:v>
      </x:c>
      <x:c r="G664" s="26" t="n">
        <x:v>2011</x:v>
      </x:c>
      <x:c r="H664" s="25" t="str">
        <x:v>AsymmetricInformation,Adverse Selection,andthePricingofCMBS</x:v>
      </x:c>
      <x:c r="I664" s="25" t="str"/>
      <x:c r="J664" s="25" t="str"/>
      <x:c r="K664" s="25" t="str">
        <x:v>prior_manual_sample</x:v>
      </x:c>
      <x:c r="L664" s="25" t="str">
        <x:v>accepted</x:v>
      </x:c>
      <x:c r="M664" s="25" t="str">
        <x:v>no</x:v>
      </x:c>
      <x:c r="N664" s="25" t="str">
        <x:v>saki_research/published_papers/bigio_shi_repurchase_options_market_lemons.pdf</x:v>
      </x:c>
      <x:c r="O664" s="25" t="str">
        <x:v>An,Xudong,YonghengDeng,andStuartA.Gabriel,“AsymmetricInformation,Adverse Selection,andthePricingofCMBS,”JournalofFinancialEconomics,2011,100(2),304–325.</x:v>
      </x:c>
    </x:row>
    <x:row r="665" ht="48" customHeight="1">
      <x:c r="A665" s="24" t="str">
        <x:v>P09-R004</x:v>
      </x:c>
      <x:c r="B665" s="24" t="str">
        <x:v>P09</x:v>
      </x:c>
      <x:c r="C665" s="26" t="n">
        <x:v>4</x:v>
      </x:c>
      <x:c r="D665" s="26" t="n">
        <x:v>35</x:v>
      </x:c>
      <x:c r="E665" s="26" t="n">
        <x:v>35</x:v>
      </x:c>
      <x:c r="F665" s="26" t="str">
        <x:v>Ashcraft</x:v>
      </x:c>
      <x:c r="G665" s="26" t="n">
        <x:v>2008</x:v>
      </x:c>
      <x:c r="H665" s="25" t="str">
        <x:v>UnderstandingtheSecuritizationofSubprime MortgageCredit</x:v>
      </x:c>
      <x:c r="I665" s="25" t="str"/>
      <x:c r="J665" s="25" t="str"/>
      <x:c r="K665" s="25" t="str">
        <x:v>prior_manual_sample</x:v>
      </x:c>
      <x:c r="L665" s="25" t="str">
        <x:v>accepted</x:v>
      </x:c>
      <x:c r="M665" s="25" t="str">
        <x:v>no</x:v>
      </x:c>
      <x:c r="N665" s="25" t="str">
        <x:v>saki_research/published_papers/bigio_shi_repurchase_options_market_lemons.pdf</x:v>
      </x:c>
      <x:c r="O665" s="25" t="str">
        <x:v>Ashcraft,AdamB.andTilSchuermann,“UnderstandingtheSecuritizationofSubprime MortgageCredit,”2008.FRBofNewYorkStaffReport,No.318.</x:v>
      </x:c>
    </x:row>
    <x:row r="666" ht="48" customHeight="1">
      <x:c r="A666" s="24" t="str">
        <x:v>P09-R005</x:v>
      </x:c>
      <x:c r="B666" s="24" t="str">
        <x:v>P09</x:v>
      </x:c>
      <x:c r="C666" s="26" t="n">
        <x:v>5</x:v>
      </x:c>
      <x:c r="D666" s="26" t="n">
        <x:v>35</x:v>
      </x:c>
      <x:c r="E666" s="26" t="n">
        <x:v>35</x:v>
      </x:c>
      <x:c r="F666" s="26" t="str">
        <x:v>Asriyan</x:v>
      </x:c>
      <x:c r="G666" s="26" t="n">
        <x:v>2023</x:v>
      </x:c>
      <x:c r="H666" s="25" t="str">
        <x:v>SecurityDesigninNon-ExclusiveMarketswith AsymmetricInformation</x:v>
      </x:c>
      <x:c r="I666" s="25" t="str"/>
      <x:c r="J666" s="25" t="str"/>
      <x:c r="K666" s="25" t="str">
        <x:v>automatic_screen_pass</x:v>
      </x:c>
      <x:c r="L666" s="25" t="str">
        <x:v>accepted</x:v>
      </x:c>
      <x:c r="M666" s="25" t="str">
        <x:v>no</x:v>
      </x:c>
      <x:c r="N666" s="25" t="str">
        <x:v>saki_research/published_papers/bigio_shi_repurchase_options_market_lemons.pdf</x:v>
      </x:c>
      <x:c r="O666" s="25" t="str">
        <x:v>Asriyan,VladimirandVictoriaVanasco,“SecurityDesigninNon-ExclusiveMarketswith AsymmetricInformation,”TheReviewofEconomicStudies,042023,p.rdad038.</x:v>
      </x:c>
    </x:row>
    <x:row r="667" ht="48" customHeight="1">
      <x:c r="A667" s="24" t="str">
        <x:v>P09-R006</x:v>
      </x:c>
      <x:c r="B667" s="24" t="str">
        <x:v>P09</x:v>
      </x:c>
      <x:c r="C667" s="26" t="n">
        <x:v>6</x:v>
      </x:c>
      <x:c r="D667" s="26" t="n">
        <x:v>35</x:v>
      </x:c>
      <x:c r="E667" s="26" t="n">
        <x:v>35</x:v>
      </x:c>
      <x:c r="F667" s="26" t="str">
        <x:v>Attar</x:v>
      </x:c>
      <x:c r="G667" s="26" t="n">
        <x:v>2011</x:v>
      </x:c>
      <x:c r="H667" s="25" t="str">
        <x:v>NonexclusiveCompetitionin theMarketforLemons</x:v>
      </x:c>
      <x:c r="I667" s="25" t="str"/>
      <x:c r="J667" s="25" t="str"/>
      <x:c r="K667" s="25" t="str">
        <x:v>exhaustive_visual_multiwork_pattern_accepted</x:v>
      </x:c>
      <x:c r="L667" s="25" t="str">
        <x:v>accepted</x:v>
      </x:c>
      <x:c r="M667" s="25" t="str">
        <x:v>sí</x:v>
      </x:c>
      <x:c r="N667" s="25" t="str">
        <x:v>saki_research/published_papers/bigio_shi_repurchase_options_market_lemons.pdf</x:v>
      </x:c>
      <x:c r="O667" s="25" t="str">
        <x:v>Attar,Andrea,ThomasMariotti,andFrançoisSalanié,“NonexclusiveCompetitionin theMarketforLemons,”Econometrica,2011,79(6),1869–1918.</x:v>
      </x:c>
    </x:row>
    <x:row r="668" ht="48" customHeight="1">
      <x:c r="A668" s="24" t="str">
        <x:v>P09-R007</x:v>
      </x:c>
      <x:c r="B668" s="24" t="str">
        <x:v>P09</x:v>
      </x:c>
      <x:c r="C668" s="26" t="n">
        <x:v>7</x:v>
      </x:c>
      <x:c r="D668" s="26" t="n">
        <x:v>35</x:v>
      </x:c>
      <x:c r="E668" s="26" t="n">
        <x:v>35</x:v>
      </x:c>
      <x:c r="F668" s="26" t="str">
        <x:v>Auh</x:v>
      </x:c>
      <x:c r="G668" s="26" t="n">
        <x:v>2022</x:v>
      </x:c>
      <x:c r="H668" s="25" t="str">
        <x:v>LoanTermsandCollateral: Evidencefromthe BilateralRepoMarket</x:v>
      </x:c>
      <x:c r="I668" s="25" t="str"/>
      <x:c r="J668" s="25" t="str"/>
      <x:c r="K668" s="25" t="str">
        <x:v>automatic_screen_pass</x:v>
      </x:c>
      <x:c r="L668" s="25" t="str">
        <x:v>accepted</x:v>
      </x:c>
      <x:c r="M668" s="25" t="str">
        <x:v>no</x:v>
      </x:c>
      <x:c r="N668" s="25" t="str">
        <x:v>saki_research/published_papers/bigio_shi_repurchase_options_market_lemons.pdf</x:v>
      </x:c>
      <x:c r="O668" s="25" t="str">
        <x:v>Auh,JunKyungandMattiaLandoni,“LoanTermsandCollateral: Evidencefromthe BilateralRepoMarket,”TheJournalofFinance,2022,77(6),2997–3036.</x:v>
      </x:c>
    </x:row>
    <x:row r="669" ht="48" customHeight="1">
      <x:c r="A669" s="24" t="str">
        <x:v>P09-R008</x:v>
      </x:c>
      <x:c r="B669" s="24" t="str">
        <x:v>P09</x:v>
      </x:c>
      <x:c r="C669" s="26" t="n">
        <x:v>8</x:v>
      </x:c>
      <x:c r="D669" s="26" t="n">
        <x:v>35</x:v>
      </x:c>
      <x:c r="E669" s="26" t="n">
        <x:v>35</x:v>
      </x:c>
      <x:c r="F669" s="26" t="str">
        <x:v>Baklanova</x:v>
      </x:c>
      <x:c r="G669" s="26" t="n">
        <x:v>2019</x:v>
      </x:c>
      <x:c r="H669" s="25" t="str">
        <x:v>TheUseofCollateralin BilateralRepurchaseandSecuritiesLendingAgreements</x:v>
      </x:c>
      <x:c r="I669" s="25" t="str"/>
      <x:c r="J669" s="25" t="str"/>
      <x:c r="K669" s="25" t="str">
        <x:v>automatic_screen_pass</x:v>
      </x:c>
      <x:c r="L669" s="25" t="str">
        <x:v>accepted</x:v>
      </x:c>
      <x:c r="M669" s="25" t="str">
        <x:v>no</x:v>
      </x:c>
      <x:c r="N669" s="25" t="str">
        <x:v>saki_research/published_papers/bigio_shi_repurchase_options_market_lemons.pdf</x:v>
      </x:c>
      <x:c r="O669" s="25" t="str">
        <x:v>Baklanova,V.,C.Caglio,M.Cipriani,andA.Copeland,“TheUseofCollateralin BilateralRepurchaseandSecuritiesLendingAgreements,”ReviewofEconomicDynamics, 2019,33,228–249.FragmentedFinancialMarkets.</x:v>
      </x:c>
    </x:row>
    <x:row r="670" ht="48" customHeight="1">
      <x:c r="A670" s="24" t="str">
        <x:v>P09-R009</x:v>
      </x:c>
      <x:c r="B670" s="24" t="str">
        <x:v>P09</x:v>
      </x:c>
      <x:c r="C670" s="26" t="n">
        <x:v>9</x:v>
      </x:c>
      <x:c r="D670" s="26" t="n">
        <x:v>35</x:v>
      </x:c>
      <x:c r="E670" s="26" t="n">
        <x:v>35</x:v>
      </x:c>
      <x:c r="F670" s="26" t="str">
        <x:v>Becker</x:v>
      </x:c>
      <x:c r="G670" s="26" t="n">
        <x:v>2023</x:v>
      </x:c>
      <x:c r="H670" s="25" t="str">
        <x:v>AsymmetricInformationandtheSupply-ChainofMortgages:TheCaseofGinnieMae Loans</x:v>
      </x:c>
      <x:c r="I670" s="25" t="str"/>
      <x:c r="J670" s="25" t="str"/>
      <x:c r="K670" s="25" t="str">
        <x:v>automatic_screen_pass</x:v>
      </x:c>
      <x:c r="L670" s="25" t="str">
        <x:v>accepted</x:v>
      </x:c>
      <x:c r="M670" s="25" t="str">
        <x:v>no</x:v>
      </x:c>
      <x:c r="N670" s="25" t="str">
        <x:v>saki_research/published_papers/bigio_shi_repurchase_options_market_lemons.pdf</x:v>
      </x:c>
      <x:c r="O670" s="25" t="str">
        <x:v>Becker,Jonathan,KennethHendricks,Jean-FrancoisHoude,,andDiwakarRaisingh,“AsymmetricInformationandtheSupply-ChainofMortgages:TheCaseofGinnieMae Loans,”2023.UniversityofWisconsinWorkingPaper.</x:v>
      </x:c>
    </x:row>
    <x:row r="671" ht="48" customHeight="1">
      <x:c r="A671" s="24" t="str">
        <x:v>P09-R010</x:v>
      </x:c>
      <x:c r="B671" s="24" t="str">
        <x:v>P09</x:v>
      </x:c>
      <x:c r="C671" s="26" t="n">
        <x:v>10</x:v>
      </x:c>
      <x:c r="D671" s="26" t="n">
        <x:v>36</x:v>
      </x:c>
      <x:c r="E671" s="26" t="n">
        <x:v>36</x:v>
      </x:c>
      <x:c r="F671" s="26" t="str">
        <x:v>Besanko</x:v>
      </x:c>
      <x:c r="G671" s="26" t="n">
        <x:v>1987</x:v>
      </x:c>
      <x:c r="H671" s="25" t="str">
        <x:v>CompetitiveEquilibriumintheCreditMarket underAsymmetricInformation</x:v>
      </x:c>
      <x:c r="I671" s="25" t="str"/>
      <x:c r="J671" s="25" t="str"/>
      <x:c r="K671" s="25" t="str">
        <x:v>prior_manual_sample</x:v>
      </x:c>
      <x:c r="L671" s="25" t="str">
        <x:v>accepted</x:v>
      </x:c>
      <x:c r="M671" s="25" t="str">
        <x:v>no</x:v>
      </x:c>
      <x:c r="N671" s="25" t="str">
        <x:v>saki_research/published_papers/bigio_shi_repurchase_options_market_lemons.pdf</x:v>
      </x:c>
      <x:c r="O671" s="25" t="str">
        <x:v>Besanko,DavidandAnjanVThakor,“CompetitiveEquilibriumintheCreditMarket underAsymmetricInformation,”JournalofEconomicTheory,1987,42(1),167–182.</x:v>
      </x:c>
    </x:row>
    <x:row r="672" ht="48" customHeight="1">
      <x:c r="A672" s="24" t="str">
        <x:v>P09-R011</x:v>
      </x:c>
      <x:c r="B672" s="24" t="str">
        <x:v>P09</x:v>
      </x:c>
      <x:c r="C672" s="26" t="n">
        <x:v>11</x:v>
      </x:c>
      <x:c r="D672" s="26" t="n">
        <x:v>36</x:v>
      </x:c>
      <x:c r="E672" s="26" t="n">
        <x:v>36</x:v>
      </x:c>
      <x:c r="F672" s="26" t="str">
        <x:v>Biais</x:v>
      </x:c>
      <x:c r="G672" s="26" t="n">
        <x:v>2005</x:v>
      </x:c>
      <x:c r="H672" s="25" t="str">
        <x:v>StrategicLiquiditySupplyandSecurityDesign</x:v>
      </x:c>
      <x:c r="I672" s="25" t="str"/>
      <x:c r="J672" s="25" t="str"/>
      <x:c r="K672" s="25" t="str">
        <x:v>automatic_screen_pass</x:v>
      </x:c>
      <x:c r="L672" s="25" t="str">
        <x:v>accepted</x:v>
      </x:c>
      <x:c r="M672" s="25" t="str">
        <x:v>no</x:v>
      </x:c>
      <x:c r="N672" s="25" t="str">
        <x:v>saki_research/published_papers/bigio_shi_repurchase_options_market_lemons.pdf</x:v>
      </x:c>
      <x:c r="O672" s="25" t="str">
        <x:v>Biais,BrunoandThomasMariotti,“StrategicLiquiditySupplyandSecurityDesign,”The ReviewofEconomicStudies,2005,72(3),615–649.</x:v>
      </x:c>
    </x:row>
    <x:row r="673" ht="48" customHeight="1">
      <x:c r="A673" s="24" t="str">
        <x:v>P09-R012</x:v>
      </x:c>
      <x:c r="B673" s="24" t="str">
        <x:v>P09</x:v>
      </x:c>
      <x:c r="C673" s="26" t="n">
        <x:v>12</x:v>
      </x:c>
      <x:c r="D673" s="26" t="n">
        <x:v>36</x:v>
      </x:c>
      <x:c r="E673" s="26" t="n">
        <x:v>36</x:v>
      </x:c>
      <x:c r="F673" s="26" t="str">
        <x:v>Bigio</x:v>
      </x:c>
      <x:c r="G673" s="26" t="n">
        <x:v>2015</x:v>
      </x:c>
      <x:c r="H673" s="25" t="str">
        <x:v>EndogenousLiquidityandtheBusinessCycle</x:v>
      </x:c>
      <x:c r="I673" s="25" t="str"/>
      <x:c r="J673" s="25" t="str"/>
      <x:c r="K673" s="25" t="str">
        <x:v>prior_manual_sample</x:v>
      </x:c>
      <x:c r="L673" s="25" t="str">
        <x:v>accepted</x:v>
      </x:c>
      <x:c r="M673" s="25" t="str">
        <x:v>sí</x:v>
      </x:c>
      <x:c r="N673" s="25" t="str">
        <x:v>saki_research/published_papers/bigio_shi_repurchase_options_market_lemons.pdf</x:v>
      </x:c>
      <x:c r="O673" s="25" t="str">
        <x:v>Bigio,Saki,“EndogenousLiquidityandtheBusinessCycle,”AmericanEconomicReview,June 2015,105(6),1883–1927.</x:v>
      </x:c>
    </x:row>
    <x:row r="674" ht="48" customHeight="1">
      <x:c r="A674" s="24" t="str">
        <x:v>P09-R013</x:v>
      </x:c>
      <x:c r="B674" s="24" t="str">
        <x:v>P09</x:v>
      </x:c>
      <x:c r="C674" s="26" t="n">
        <x:v>13</x:v>
      </x:c>
      <x:c r="D674" s="26" t="n">
        <x:v>36</x:v>
      </x:c>
      <x:c r="E674" s="26" t="n">
        <x:v>36</x:v>
      </x:c>
      <x:c r="F674" s="26" t="str">
        <x:v>Chang</x:v>
      </x:c>
      <x:c r="G674" s="26" t="n">
        <x:v>2017</x:v>
      </x:c>
      <x:c r="H674" s="25" t="str">
        <x:v>AdverseSelectionandLiquidityDistortion</x:v>
      </x:c>
      <x:c r="I674" s="25" t="str"/>
      <x:c r="J674" s="25" t="str"/>
      <x:c r="K674" s="25" t="str">
        <x:v>automatic_screen_pass</x:v>
      </x:c>
      <x:c r="L674" s="25" t="str">
        <x:v>accepted</x:v>
      </x:c>
      <x:c r="M674" s="25" t="str">
        <x:v>no</x:v>
      </x:c>
      <x:c r="N674" s="25" t="str">
        <x:v>saki_research/published_papers/bigio_shi_repurchase_options_market_lemons.pdf</x:v>
      </x:c>
      <x:c r="O674" s="25" t="str">
        <x:v>Chang,Briana,“AdverseSelectionandLiquidityDistortion,”TheReviewofEconomicStudies,042017,85(1),275–306.</x:v>
      </x:c>
    </x:row>
    <x:row r="675" ht="48" customHeight="1">
      <x:c r="A675" s="24" t="str">
        <x:v>P09-R014</x:v>
      </x:c>
      <x:c r="B675" s="24" t="str">
        <x:v>P09</x:v>
      </x:c>
      <x:c r="C675" s="26" t="n">
        <x:v>14</x:v>
      </x:c>
      <x:c r="D675" s="26" t="n">
        <x:v>36</x:v>
      </x:c>
      <x:c r="E675" s="26" t="n">
        <x:v>36</x:v>
      </x:c>
      <x:c r="F675" s="26" t="str">
        <x:v>Copeland</x:v>
      </x:c>
      <x:c r="G675" s="26" t="n">
        <x:v>2014</x:v>
      </x:c>
      <x:c r="H675" s="25" t="str">
        <x:v>RepoRuns: Evidencefrom theTri-PartyRepoMarket</x:v>
      </x:c>
      <x:c r="I675" s="25" t="str"/>
      <x:c r="J675" s="25" t="str"/>
      <x:c r="K675" s="25" t="str">
        <x:v>automatic_screen_pass</x:v>
      </x:c>
      <x:c r="L675" s="25" t="str">
        <x:v>accepted</x:v>
      </x:c>
      <x:c r="M675" s="25" t="str">
        <x:v>no</x:v>
      </x:c>
      <x:c r="N675" s="25" t="str">
        <x:v>saki_research/published_papers/bigio_shi_repurchase_options_market_lemons.pdf</x:v>
      </x:c>
      <x:c r="O675" s="25" t="str">
        <x:v>Copeland,Adam,AntoineMartin,andMichaelWalker,“RepoRuns: Evidencefrom theTri-PartyRepoMarket,”TheJournalofFinance,2014,69(6),2343–2380.</x:v>
      </x:c>
    </x:row>
    <x:row r="676" ht="48" customHeight="1">
      <x:c r="A676" s="24" t="str">
        <x:v>P09-R015</x:v>
      </x:c>
      <x:c r="B676" s="24" t="str">
        <x:v>P09</x:v>
      </x:c>
      <x:c r="C676" s="26" t="n">
        <x:v>15</x:v>
      </x:c>
      <x:c r="D676" s="26" t="n">
        <x:v>36</x:v>
      </x:c>
      <x:c r="E676" s="26" t="n">
        <x:v>36</x:v>
      </x:c>
      <x:c r="F676" s="26" t="str">
        <x:v>Daley</x:v>
      </x:c>
      <x:c r="G676" s="26" t="n">
        <x:v>2012</x:v>
      </x:c>
      <x:c r="H676" s="25" t="str">
        <x:v>WaitingforNewsintheMarketforLemons</x:v>
      </x:c>
      <x:c r="I676" s="25" t="str"/>
      <x:c r="J676" s="25" t="str"/>
      <x:c r="K676" s="25" t="str">
        <x:v>prior_manual_sample</x:v>
      </x:c>
      <x:c r="L676" s="25" t="str">
        <x:v>accepted</x:v>
      </x:c>
      <x:c r="M676" s="25" t="str">
        <x:v>no</x:v>
      </x:c>
      <x:c r="N676" s="25" t="str">
        <x:v>saki_research/published_papers/bigio_shi_repurchase_options_market_lemons.pdf</x:v>
      </x:c>
      <x:c r="O676" s="25" t="str">
        <x:v>Daley,BrendanandBrettGreen,“WaitingforNewsintheMarketforLemons,”Econometrica,2012,80(4),1433–1504.</x:v>
      </x:c>
    </x:row>
    <x:row r="677" ht="48" customHeight="1">
      <x:c r="A677" s="24" t="str">
        <x:v>P09-R016</x:v>
      </x:c>
      <x:c r="B677" s="24" t="str">
        <x:v>P09</x:v>
      </x:c>
      <x:c r="C677" s="26" t="n">
        <x:v>16</x:v>
      </x:c>
      <x:c r="D677" s="26" t="n">
        <x:v>36</x:v>
      </x:c>
      <x:c r="E677" s="26" t="n">
        <x:v>36</x:v>
      </x:c>
      <x:c r="F677" s="26" t="str">
        <x:v>Dang</x:v>
      </x:c>
      <x:c r="G677" s="26" t="n">
        <x:v>2013</x:v>
      </x:c>
      <x:c r="H677" s="25" t="str">
        <x:v>HaircutsandRepoChains</x:v>
      </x:c>
      <x:c r="I677" s="25" t="str"/>
      <x:c r="J677" s="25" t="str"/>
      <x:c r="K677" s="25" t="str">
        <x:v>prior_manual_sample</x:v>
      </x:c>
      <x:c r="L677" s="25" t="str">
        <x:v>accepted</x:v>
      </x:c>
      <x:c r="M677" s="25" t="str">
        <x:v>no</x:v>
      </x:c>
      <x:c r="N677" s="25" t="str">
        <x:v>saki_research/published_papers/bigio_shi_repurchase_options_market_lemons.pdf</x:v>
      </x:c>
      <x:c r="O677" s="25" t="str">
        <x:v>Dang,TriVi,GaryGorton,andBengtHolmström,“HaircutsandRepoChains,”Working Paper,2013.</x:v>
      </x:c>
    </x:row>
    <x:row r="678" ht="48" customHeight="1">
      <x:c r="A678" s="24" t="str">
        <x:v>P09-R017</x:v>
      </x:c>
      <x:c r="B678" s="24" t="str">
        <x:v>P09</x:v>
      </x:c>
      <x:c r="C678" s="26" t="n">
        <x:v>17</x:v>
      </x:c>
      <x:c r="D678" s="26" t="n">
        <x:v>36</x:v>
      </x:c>
      <x:c r="E678" s="26" t="n">
        <x:v>36</x:v>
      </x:c>
      <x:c r="F678" s="26" t="str">
        <x:v>Demarzo</x:v>
      </x:c>
      <x:c r="G678" s="26" t="n">
        <x:v>1999</x:v>
      </x:c>
      <x:c r="H678" s="25" t="str">
        <x:v>ALiquidity-BasedModelofSecurityDesign</x:v>
      </x:c>
      <x:c r="I678" s="25" t="str"/>
      <x:c r="J678" s="25" t="str"/>
      <x:c r="K678" s="25" t="str">
        <x:v>prior_manual_sample</x:v>
      </x:c>
      <x:c r="L678" s="25" t="str">
        <x:v>accepted</x:v>
      </x:c>
      <x:c r="M678" s="25" t="str">
        <x:v>no</x:v>
      </x:c>
      <x:c r="N678" s="25" t="str">
        <x:v>saki_research/published_papers/bigio_shi_repurchase_options_market_lemons.pdf</x:v>
      </x:c>
      <x:c r="O678" s="25" t="str">
        <x:v>Demarzo,PeterandDarrellDuffie,“ALiquidity-BasedModelofSecurityDesign,”Econometrica,1999,67(1),65–99.</x:v>
      </x:c>
    </x:row>
    <x:row r="679" ht="48" customHeight="1">
      <x:c r="A679" s="24" t="str">
        <x:v>P09-R018</x:v>
      </x:c>
      <x:c r="B679" s="24" t="str">
        <x:v>P09</x:v>
      </x:c>
      <x:c r="C679" s="26" t="n">
        <x:v>18</x:v>
      </x:c>
      <x:c r="D679" s="26" t="n">
        <x:v>36</x:v>
      </x:c>
      <x:c r="E679" s="26" t="n">
        <x:v>36</x:v>
      </x:c>
      <x:c r="F679" s="26" t="str">
        <x:v>Duffie</x:v>
      </x:c>
      <x:c r="G679" s="26" t="n">
        <x:v>1996</x:v>
      </x:c>
      <x:c r="H679" s="25" t="str">
        <x:v>SpecialRepoRates</x:v>
      </x:c>
      <x:c r="I679" s="25" t="str"/>
      <x:c r="J679" s="25" t="str"/>
      <x:c r="K679" s="25" t="str">
        <x:v>automatic_screen_pass</x:v>
      </x:c>
      <x:c r="L679" s="25" t="str">
        <x:v>accepted</x:v>
      </x:c>
      <x:c r="M679" s="25" t="str">
        <x:v>no</x:v>
      </x:c>
      <x:c r="N679" s="25" t="str">
        <x:v>saki_research/published_papers/bigio_shi_repurchase_options_market_lemons.pdf</x:v>
      </x:c>
      <x:c r="O679" s="25" t="str">
        <x:v>Duffie,Darrell,“SpecialRepoRates,”TheJournalofFinance,1996,51(2),493–526.</x:v>
      </x:c>
    </x:row>
    <x:row r="680" ht="48" customHeight="1">
      <x:c r="A680" s="24" t="str">
        <x:v>P09-R019</x:v>
      </x:c>
      <x:c r="B680" s="24" t="str">
        <x:v>P09</x:v>
      </x:c>
      <x:c r="C680" s="26" t="n">
        <x:v>19</x:v>
      </x:c>
      <x:c r="D680" s="26" t="n">
        <x:v>36</x:v>
      </x:c>
      <x:c r="E680" s="26" t="n">
        <x:v>36</x:v>
      </x:c>
      <x:c r="F680" s="26" t="str">
        <x:v>Eisfeldt</x:v>
      </x:c>
      <x:c r="G680" s="26" t="n">
        <x:v>2004</x:v>
      </x:c>
      <x:c r="H680" s="25" t="str">
        <x:v>EndogenousLiquidityinAssetMarkets</x:v>
      </x:c>
      <x:c r="I680" s="25" t="str"/>
      <x:c r="J680" s="25" t="str"/>
      <x:c r="K680" s="25" t="str">
        <x:v>automatic_screen_pass</x:v>
      </x:c>
      <x:c r="L680" s="25" t="str">
        <x:v>accepted</x:v>
      </x:c>
      <x:c r="M680" s="25" t="str">
        <x:v>no</x:v>
      </x:c>
      <x:c r="N680" s="25" t="str">
        <x:v>saki_research/published_papers/bigio_shi_repurchase_options_market_lemons.pdf</x:v>
      </x:c>
      <x:c r="O680" s="25" t="str">
        <x:v>Eisfeldt,AndreaL,“EndogenousLiquidityinAssetMarkets,”TheJournalofFinance,2004, 59(1),1–30.</x:v>
      </x:c>
    </x:row>
    <x:row r="681" ht="48" customHeight="1">
      <x:c r="A681" s="24" t="str">
        <x:v>P09-R020</x:v>
      </x:c>
      <x:c r="B681" s="24" t="str">
        <x:v>P09</x:v>
      </x:c>
      <x:c r="C681" s="26" t="n">
        <x:v>20</x:v>
      </x:c>
      <x:c r="D681" s="26" t="n">
        <x:v>36</x:v>
      </x:c>
      <x:c r="E681" s="26" t="n">
        <x:v>36</x:v>
      </x:c>
      <x:c r="F681" s="26" t="str">
        <x:v>Engers</x:v>
      </x:c>
      <x:c r="G681" s="26" t="n">
        <x:v>1987</x:v>
      </x:c>
      <x:c r="H681" s="25" t="str">
        <x:v>MarketEquilibriumwithHiddenKnowledgeand Self-Selection</x:v>
      </x:c>
      <x:c r="I681" s="25" t="str"/>
      <x:c r="J681" s="25" t="str"/>
      <x:c r="K681" s="25" t="str">
        <x:v>automatic_screen_pass</x:v>
      </x:c>
      <x:c r="L681" s="25" t="str">
        <x:v>accepted</x:v>
      </x:c>
      <x:c r="M681" s="25" t="str">
        <x:v>no</x:v>
      </x:c>
      <x:c r="N681" s="25" t="str">
        <x:v>saki_research/published_papers/bigio_shi_repurchase_options_market_lemons.pdf</x:v>
      </x:c>
      <x:c r="O681" s="25" t="str">
        <x:v>Engers,MaximandLuisFernandez,“MarketEquilibriumwithHiddenKnowledgeand Self-Selection,”Econometrica,1987,55(2),425–439.</x:v>
      </x:c>
    </x:row>
    <x:row r="682" ht="48" customHeight="1">
      <x:c r="A682" s="24" t="str">
        <x:v>P09-R021</x:v>
      </x:c>
      <x:c r="B682" s="24" t="str">
        <x:v>P09</x:v>
      </x:c>
      <x:c r="C682" s="26" t="n">
        <x:v>21</x:v>
      </x:c>
      <x:c r="D682" s="26" t="n">
        <x:v>36</x:v>
      </x:c>
      <x:c r="E682" s="26" t="n">
        <x:v>36</x:v>
      </x:c>
      <x:c r="F682" s="26" t="str">
        <x:v>Fostel</x:v>
      </x:c>
      <x:c r="G682" s="26" t="n">
        <x:v>2015</x:v>
      </x:c>
      <x:c r="H682" s="25" t="str">
        <x:v>LeverageandDefaultinBinomialEconomies: A CompleteCharacterization</x:v>
      </x:c>
      <x:c r="I682" s="25" t="str"/>
      <x:c r="J682" s="25" t="str"/>
      <x:c r="K682" s="25" t="str">
        <x:v>automatic_screen_pass</x:v>
      </x:c>
      <x:c r="L682" s="25" t="str">
        <x:v>accepted</x:v>
      </x:c>
      <x:c r="M682" s="25" t="str">
        <x:v>no</x:v>
      </x:c>
      <x:c r="N682" s="25" t="str">
        <x:v>saki_research/published_papers/bigio_shi_repurchase_options_market_lemons.pdf</x:v>
      </x:c>
      <x:c r="O682" s="25" t="str">
        <x:v>Fostel, AnaandJohnGeanakoplos, “LeverageandDefaultinBinomialEconomies: A CompleteCharacterization,”Econometrica,2015,83(6),2191–2229.</x:v>
      </x:c>
    </x:row>
    <x:row r="683" ht="48" customHeight="1">
      <x:c r="A683" s="24" t="str">
        <x:v>P09-R022</x:v>
      </x:c>
      <x:c r="B683" s="24" t="str">
        <x:v>P09</x:v>
      </x:c>
      <x:c r="C683" s="26" t="n">
        <x:v>22</x:v>
      </x:c>
      <x:c r="D683" s="26" t="n">
        <x:v>36</x:v>
      </x:c>
      <x:c r="E683" s="26" t="n">
        <x:v>36</x:v>
      </x:c>
      <x:c r="F683" s="26" t="str">
        <x:v>Fuchs</x:v>
      </x:c>
      <x:c r="G683" s="26" t="n">
        <x:v>2019</x:v>
      </x:c>
      <x:c r="H683" s="25" t="str">
        <x:v>CostsandBenefitsofDynamicTradingina LemonsMarket</x:v>
      </x:c>
      <x:c r="I683" s="25" t="str"/>
      <x:c r="J683" s="25" t="str"/>
      <x:c r="K683" s="25" t="str">
        <x:v>automatic_screen_pass</x:v>
      </x:c>
      <x:c r="L683" s="25" t="str">
        <x:v>accepted</x:v>
      </x:c>
      <x:c r="M683" s="25" t="str">
        <x:v>no</x:v>
      </x:c>
      <x:c r="N683" s="25" t="str">
        <x:v>saki_research/published_papers/bigio_shi_repurchase_options_market_lemons.pdf</x:v>
      </x:c>
      <x:c r="O683" s="25" t="str">
        <x:v>Fuchs,WilliamandAndrzejSkrzypacz,“CostsandBenefitsofDynamicTradingina LemonsMarket,”ReviewofEconomicDynamics,2019,33,105–127.FragmentedFinancial Markets.</x:v>
      </x:c>
    </x:row>
    <x:row r="684" ht="48" customHeight="1">
      <x:c r="A684" s="24" t="str">
        <x:v>P09-R023</x:v>
      </x:c>
      <x:c r="B684" s="24" t="str">
        <x:v>P09</x:v>
      </x:c>
      <x:c r="C684" s="26" t="n">
        <x:v>23</x:v>
      </x:c>
      <x:c r="D684" s="26" t="n">
        <x:v>36</x:v>
      </x:c>
      <x:c r="E684" s="26" t="n">
        <x:v>36</x:v>
      </x:c>
      <x:c r="F684" s="26" t="str">
        <x:v>Gemmo</x:v>
      </x:c>
      <x:c r="G684" s="26" t="n">
        <x:v>2020</x:v>
      </x:c>
      <x:c r="H684" s="25" t="str">
        <x:v>ConstrainedEfficientEquilibriainSelectionMarketswithContinuousTypes</x:v>
      </x:c>
      <x:c r="I684" s="25" t="str"/>
      <x:c r="J684" s="25" t="str"/>
      <x:c r="K684" s="25" t="str">
        <x:v>automatic_screen_pass</x:v>
      </x:c>
      <x:c r="L684" s="25" t="str">
        <x:v>accepted</x:v>
      </x:c>
      <x:c r="M684" s="25" t="str">
        <x:v>no</x:v>
      </x:c>
      <x:c r="N684" s="25" t="str">
        <x:v>saki_research/published_papers/bigio_shi_repurchase_options_market_lemons.pdf</x:v>
      </x:c>
      <x:c r="O684" s="25" t="str">
        <x:v>Gemmo,Irina,ChristianKubitza,andCaseyRothschild,“ConstrainedEfficientEquilibriainSelectionMarketswithContinuousTypes,”JournalofPublicEconomics,2020,190, 104237.</x:v>
      </x:c>
    </x:row>
    <x:row r="685" ht="48" customHeight="1">
      <x:c r="A685" s="24" t="str">
        <x:v>P09-R024</x:v>
      </x:c>
      <x:c r="B685" s="24" t="str">
        <x:v>P09</x:v>
      </x:c>
      <x:c r="C685" s="26" t="n">
        <x:v>24</x:v>
      </x:c>
      <x:c r="D685" s="26" t="n">
        <x:v>37</x:v>
      </x:c>
      <x:c r="E685" s="26" t="n">
        <x:v>37</x:v>
      </x:c>
      <x:c r="F685" s="26" t="str">
        <x:v>Glaeser</x:v>
      </x:c>
      <x:c r="G685" s="26" t="n">
        <x:v>1997</x:v>
      </x:c>
      <x:c r="H685" s="25" t="str">
        <x:v>ThinMarkets,AsymmetricInformation,and Mortgage-BackedSecurities</x:v>
      </x:c>
      <x:c r="I685" s="25" t="str"/>
      <x:c r="J685" s="25" t="str"/>
      <x:c r="K685" s="25" t="str">
        <x:v>automatic_screen_pass</x:v>
      </x:c>
      <x:c r="L685" s="25" t="str">
        <x:v>accepted</x:v>
      </x:c>
      <x:c r="M685" s="25" t="str">
        <x:v>no</x:v>
      </x:c>
      <x:c r="N685" s="25" t="str">
        <x:v>saki_research/published_papers/bigio_shi_repurchase_options_market_lemons.pdf</x:v>
      </x:c>
      <x:c r="O685" s="25" t="str">
        <x:v>Glaeser,EdwardL.andHédiD.Kallal,“ThinMarkets,AsymmetricInformation,and Mortgage-BackedSecurities,”JournalofFinancialIntermediation,1997,6(1),64–86.</x:v>
      </x:c>
    </x:row>
    <x:row r="686" ht="48" customHeight="1">
      <x:c r="A686" s="24" t="str">
        <x:v>P09-R025</x:v>
      </x:c>
      <x:c r="B686" s="24" t="str">
        <x:v>P09</x:v>
      </x:c>
      <x:c r="C686" s="26" t="n">
        <x:v>25</x:v>
      </x:c>
      <x:c r="D686" s="26" t="n">
        <x:v>37</x:v>
      </x:c>
      <x:c r="E686" s="26" t="n">
        <x:v>37</x:v>
      </x:c>
      <x:c r="F686" s="26" t="str">
        <x:v>Gorton</x:v>
      </x:c>
      <x:c r="G686" s="26" t="n">
        <x:v>2012</x:v>
      </x:c>
      <x:c r="H686" s="25" t="str">
        <x:v>SecuritizedBankingandtheRunonRepo</x:v>
      </x:c>
      <x:c r="I686" s="25" t="str"/>
      <x:c r="J686" s="25" t="str"/>
      <x:c r="K686" s="25" t="str">
        <x:v>automatic_screen_pass</x:v>
      </x:c>
      <x:c r="L686" s="25" t="str">
        <x:v>accepted</x:v>
      </x:c>
      <x:c r="M686" s="25" t="str">
        <x:v>no</x:v>
      </x:c>
      <x:c r="N686" s="25" t="str">
        <x:v>saki_research/published_papers/bigio_shi_repurchase_options_market_lemons.pdf</x:v>
      </x:c>
      <x:c r="O686" s="25" t="str">
        <x:v>Gorton,GaryandAndrewMetrick,“SecuritizedBankingandtheRunonRepo,”Journal ofFinancialEconomics,2012,104(3),425–451.</x:v>
      </x:c>
    </x:row>
    <x:row r="687" ht="48" customHeight="1">
      <x:c r="A687" s="24" t="str">
        <x:v>P09-R026</x:v>
      </x:c>
      <x:c r="B687" s="24" t="str">
        <x:v>P09</x:v>
      </x:c>
      <x:c r="C687" s="26" t="n">
        <x:v>26</x:v>
      </x:c>
      <x:c r="D687" s="26" t="n">
        <x:v>37</x:v>
      </x:c>
      <x:c r="E687" s="26" t="n">
        <x:v>37</x:v>
      </x:c>
      <x:c r="F687" s="26" t="str">
        <x:v>Gorton</x:v>
      </x:c>
      <x:c r="G687" s="26" t="n">
        <x:v>2014</x:v>
      </x:c>
      <x:c r="H687" s="25" t="str">
        <x:v>CollateralCrises</x:v>
      </x:c>
      <x:c r="I687" s="25" t="str">
        <x:v>inherited_author_notation</x:v>
      </x:c>
      <x:c r="J687" s="25" t="str">
        <x:v>exhaustive_ai_audit_2026-09-17</x:v>
      </x:c>
      <x:c r="K687" s="25" t="str">
        <x:v>exhaustive_visual_correction</x:v>
      </x:c>
      <x:c r="L687" s="25" t="str">
        <x:v>corrected</x:v>
      </x:c>
      <x:c r="M687" s="25" t="str">
        <x:v>no</x:v>
      </x:c>
      <x:c r="N687" s="25" t="str">
        <x:v>saki_research/published_papers/bigio_shi_repurchase_options_market_lemons.pdf</x:v>
      </x:c>
      <x:c r="O687" s="25" t="str">
        <x:v>andGuillermoOrdoñez,“CollateralCrises,”AmericanEconomicReview,2014,104(2), 343–78.</x:v>
      </x:c>
    </x:row>
    <x:row r="688" ht="48" customHeight="1">
      <x:c r="A688" s="24" t="str">
        <x:v>P09-R027</x:v>
      </x:c>
      <x:c r="B688" s="24" t="str">
        <x:v>P09</x:v>
      </x:c>
      <x:c r="C688" s="26" t="n">
        <x:v>27</x:v>
      </x:c>
      <x:c r="D688" s="26" t="n">
        <x:v>37</x:v>
      </x:c>
      <x:c r="E688" s="26" t="n">
        <x:v>37</x:v>
      </x:c>
      <x:c r="F688" s="26" t="str">
        <x:v>Gorton</x:v>
      </x:c>
      <x:c r="G688" s="26" t="n">
        <x:v>1990</x:v>
      </x:c>
      <x:c r="H688" s="25" t="str">
        <x:v>FinancialIntermediariesandLiquidityCreation</x:v>
      </x:c>
      <x:c r="I688" s="25" t="str"/>
      <x:c r="J688" s="25" t="str"/>
      <x:c r="K688" s="25" t="str">
        <x:v>automatic_screen_pass</x:v>
      </x:c>
      <x:c r="L688" s="25" t="str">
        <x:v>accepted</x:v>
      </x:c>
      <x:c r="M688" s="25" t="str">
        <x:v>no</x:v>
      </x:c>
      <x:c r="N688" s="25" t="str">
        <x:v>saki_research/published_papers/bigio_shi_repurchase_options_market_lemons.pdf</x:v>
      </x:c>
      <x:c r="O688" s="25" t="str">
        <x:v>Gorton,GaryB.andGeorgePennacchi,“FinancialIntermediariesandLiquidityCreation,” JournalofFinance,1990,45(1),49–71.</x:v>
      </x:c>
    </x:row>
    <x:row r="689" ht="48" customHeight="1">
      <x:c r="A689" s="24" t="str">
        <x:v>P09-R028</x:v>
      </x:c>
      <x:c r="B689" s="24" t="str">
        <x:v>P09</x:v>
      </x:c>
      <x:c r="C689" s="26" t="n">
        <x:v>28</x:v>
      </x:c>
      <x:c r="D689" s="26" t="n">
        <x:v>37</x:v>
      </x:c>
      <x:c r="E689" s="26" t="n">
        <x:v>37</x:v>
      </x:c>
      <x:c r="F689" s="26" t="str">
        <x:v>Gorton</x:v>
      </x:c>
      <x:c r="G689" s="26" t="n">
        <x:v>2020</x:v>
      </x:c>
      <x:c r="H689" s="25" t="str">
        <x:v>TheRunonRepoandtheFed’s Response</x:v>
      </x:c>
      <x:c r="I689" s="25" t="str"/>
      <x:c r="J689" s="25" t="str"/>
      <x:c r="K689" s="25" t="str">
        <x:v>prior_manual_sample</x:v>
      </x:c>
      <x:c r="L689" s="25" t="str">
        <x:v>accepted</x:v>
      </x:c>
      <x:c r="M689" s="25" t="str">
        <x:v>no</x:v>
      </x:c>
      <x:c r="N689" s="25" t="str">
        <x:v>saki_research/published_papers/bigio_shi_repurchase_options_market_lemons.pdf</x:v>
      </x:c>
      <x:c r="O689" s="25" t="str">
        <x:v>Gorton,Gary,ToomasLaarits,andAndrewMetrick,“TheRunonRepoandtheFed’s Response,”JournalofFinancialStability,2020,48,100744.</x:v>
      </x:c>
    </x:row>
    <x:row r="690" ht="48" customHeight="1">
      <x:c r="A690" s="24" t="str">
        <x:v>P09-R029</x:v>
      </x:c>
      <x:c r="B690" s="24" t="str">
        <x:v>P09</x:v>
      </x:c>
      <x:c r="C690" s="26" t="n">
        <x:v>29</x:v>
      </x:c>
      <x:c r="D690" s="26" t="n">
        <x:v>37</x:v>
      </x:c>
      <x:c r="E690" s="26" t="n">
        <x:v>37</x:v>
      </x:c>
      <x:c r="F690" s="26" t="str">
        <x:v>Gottardi</x:v>
      </x:c>
      <x:c r="G690" s="26" t="n">
        <x:v>2019</x:v>
      </x:c>
      <x:c r="H690" s="25" t="str">
        <x:v>ATheoryofRepurchaseAgreements,CollateralRe-use,andRepoIntermediation</x:v>
      </x:c>
      <x:c r="I690" s="25" t="str"/>
      <x:c r="J690" s="25" t="str"/>
      <x:c r="K690" s="25" t="str">
        <x:v>prior_manual_sample</x:v>
      </x:c>
      <x:c r="L690" s="25" t="str">
        <x:v>accepted</x:v>
      </x:c>
      <x:c r="M690" s="25" t="str">
        <x:v>no</x:v>
      </x:c>
      <x:c r="N690" s="25" t="str">
        <x:v>saki_research/published_papers/bigio_shi_repurchase_options_market_lemons.pdf</x:v>
      </x:c>
      <x:c r="O690" s="25" t="str">
        <x:v>Gottardi,Piero,VincentMaurin,andCyrilMonnet,“ATheoryofRepurchaseAgreements,CollateralRe-use,andRepoIntermediation,”ReviewofEconomicDynamics,2019.</x:v>
      </x:c>
    </x:row>
    <x:row r="691" ht="48" customHeight="1">
      <x:c r="A691" s="24" t="str">
        <x:v>P09-R030</x:v>
      </x:c>
      <x:c r="B691" s="24" t="str">
        <x:v>P09</x:v>
      </x:c>
      <x:c r="C691" s="26" t="n">
        <x:v>30</x:v>
      </x:c>
      <x:c r="D691" s="26" t="n">
        <x:v>37</x:v>
      </x:c>
      <x:c r="E691" s="26" t="n">
        <x:v>37</x:v>
      </x:c>
      <x:c r="F691" s="26" t="str">
        <x:v>Guerrieri</x:v>
      </x:c>
      <x:c r="G691" s="26" t="n">
        <x:v>2014</x:v>
      </x:c>
      <x:c r="H691" s="25" t="str">
        <x:v>DynamicAdverseSelection:ATheoryofIlliquidity,FireSales,andFlighttoQuality</x:v>
      </x:c>
      <x:c r="I691" s="25" t="str"/>
      <x:c r="J691" s="25" t="str"/>
      <x:c r="K691" s="25" t="str">
        <x:v>exhaustive_visual_multiwork_pattern_accepted</x:v>
      </x:c>
      <x:c r="L691" s="25" t="str">
        <x:v>accepted</x:v>
      </x:c>
      <x:c r="M691" s="25" t="str">
        <x:v>sí</x:v>
      </x:c>
      <x:c r="N691" s="25" t="str">
        <x:v>saki_research/published_papers/bigio_shi_repurchase_options_market_lemons.pdf</x:v>
      </x:c>
      <x:c r="O691" s="25" t="str">
        <x:v>Guerrieri,VeronicaandRobertShimer,“DynamicAdverseSelection:ATheoryofIlliquidity,FireSales,andFlighttoQuality,”AmericanEconomicReview,2014,104(7),1875–1908.</x:v>
      </x:c>
    </x:row>
    <x:row r="692" ht="48" customHeight="1">
      <x:c r="A692" s="24" t="str">
        <x:v>P09-R031</x:v>
      </x:c>
      <x:c r="B692" s="24" t="str">
        <x:v>P09</x:v>
      </x:c>
      <x:c r="C692" s="26" t="n">
        <x:v>31</x:v>
      </x:c>
      <x:c r="D692" s="26" t="n">
        <x:v>37</x:v>
      </x:c>
      <x:c r="E692" s="26" t="n">
        <x:v>37</x:v>
      </x:c>
      <x:c r="F692" s="26" t="str">
        <x:v>Guerrieri</x:v>
      </x:c>
      <x:c r="G692" s="26" t="n">
        <x:v>2018</x:v>
      </x:c>
      <x:c r="H692" s="25" t="str">
        <x:v>MarketswithMultidimensionalPrivateInformation</x:v>
      </x:c>
      <x:c r="I692" s="25" t="str">
        <x:v>inherited_author_notation</x:v>
      </x:c>
      <x:c r="J692" s="25" t="str"/>
      <x:c r="K692" s="25" t="str">
        <x:v>automatic_screen_pass</x:v>
      </x:c>
      <x:c r="L692" s="25" t="str">
        <x:v>accepted</x:v>
      </x:c>
      <x:c r="M692" s="25" t="str">
        <x:v>no</x:v>
      </x:c>
      <x:c r="N692" s="25" t="str">
        <x:v>saki_research/published_papers/bigio_shi_repurchase_options_market_lemons.pdf</x:v>
      </x:c>
      <x:c r="O692" s="25" t="str">
        <x:v>and ,“MarketswithMultidimensionalPrivateInformation,”AmericanEconomicJournal: Microeconomics,May2018,10(2),250–74.</x:v>
      </x:c>
    </x:row>
    <x:row r="693" ht="48" customHeight="1">
      <x:c r="A693" s="24" t="str">
        <x:v>P09-R032</x:v>
      </x:c>
      <x:c r="B693" s="24" t="str">
        <x:v>P09</x:v>
      </x:c>
      <x:c r="C693" s="26" t="n">
        <x:v>32</x:v>
      </x:c>
      <x:c r="D693" s="26" t="n">
        <x:v>37</x:v>
      </x:c>
      <x:c r="E693" s="26" t="n">
        <x:v>37</x:v>
      </x:c>
      <x:c r="F693" s="26" t="str">
        <x:v>Guerrieri</x:v>
      </x:c>
      <x:c r="G693" s="26" t="n">
        <x:v>2010</x:v>
      </x:c>
      <x:c r="H693" s="25" t="str">
        <x:v>AdverseSelectioninCompetitiveSearchEquilibrium</x:v>
      </x:c>
      <x:c r="I693" s="25" t="str">
        <x:v>inherited_author_notation</x:v>
      </x:c>
      <x:c r="J693" s="25" t="str">
        <x:v>exhaustive_ai_audit_2026-09-17</x:v>
      </x:c>
      <x:c r="K693" s="25" t="str">
        <x:v>exhaustive_visual_correction</x:v>
      </x:c>
      <x:c r="L693" s="25" t="str">
        <x:v>corrected</x:v>
      </x:c>
      <x:c r="M693" s="25" t="str">
        <x:v>sí</x:v>
      </x:c>
      <x:c r="N693" s="25" t="str">
        <x:v>saki_research/published_papers/bigio_shi_repurchase_options_market_lemons.pdf</x:v>
      </x:c>
      <x:c r="O693" s="25" t="str">
        <x:v>, ,andRandallWright,“AdverseSelectioninCompetitiveSearchEquilibrium,”Econometrica,2010,78(6),1823–1862.</x:v>
      </x:c>
    </x:row>
    <x:row r="694" ht="48" customHeight="1">
      <x:c r="A694" s="24" t="str">
        <x:v>P09-R033</x:v>
      </x:c>
      <x:c r="B694" s="24" t="str">
        <x:v>P09</x:v>
      </x:c>
      <x:c r="C694" s="26" t="n">
        <x:v>33</x:v>
      </x:c>
      <x:c r="D694" s="26" t="n">
        <x:v>37</x:v>
      </x:c>
      <x:c r="E694" s="26" t="n">
        <x:v>37</x:v>
      </x:c>
      <x:c r="F694" s="26" t="str">
        <x:v>Hart</x:v>
      </x:c>
      <x:c r="G694" s="26" t="n">
        <x:v>1994</x:v>
      </x:c>
      <x:c r="H694" s="25" t="str">
        <x:v>ATheoryofDebtBasedontheInalienabilityofHuman Capital</x:v>
      </x:c>
      <x:c r="I694" s="25" t="str"/>
      <x:c r="J694" s="25" t="str"/>
      <x:c r="K694" s="25" t="str">
        <x:v>automatic_screen_pass</x:v>
      </x:c>
      <x:c r="L694" s="25" t="str">
        <x:v>accepted</x:v>
      </x:c>
      <x:c r="M694" s="25" t="str">
        <x:v>no</x:v>
      </x:c>
      <x:c r="N694" s="25" t="str">
        <x:v>saki_research/published_papers/bigio_shi_repurchase_options_market_lemons.pdf</x:v>
      </x:c>
      <x:c r="O694" s="25" t="str">
        <x:v>Hart,OliverandJohnMoore,“ATheoryofDebtBasedontheInalienabilityofHuman Capital,”TheQuarterlyJournalofEconomics,1994,109(4),841–879.</x:v>
      </x:c>
    </x:row>
    <x:row r="695" ht="48" customHeight="1">
      <x:c r="A695" s="24" t="str">
        <x:v>P09-R034</x:v>
      </x:c>
      <x:c r="B695" s="24" t="str">
        <x:v>P09</x:v>
      </x:c>
      <x:c r="C695" s="26" t="n">
        <x:v>34</x:v>
      </x:c>
      <x:c r="D695" s="26" t="n">
        <x:v>37</x:v>
      </x:c>
      <x:c r="E695" s="26" t="n">
        <x:v>37</x:v>
      </x:c>
      <x:c r="F695" s="26" t="str">
        <x:v>Hendel</x:v>
      </x:c>
      <x:c r="G695" s="26" t="n">
        <x:v>1999</x:v>
      </x:c>
      <x:c r="H695" s="25" t="str">
        <x:v>AdverseSelectioninDurableGoodsMarkets</x:v>
      </x:c>
      <x:c r="I695" s="25" t="str"/>
      <x:c r="J695" s="25" t="str"/>
      <x:c r="K695" s="25" t="str">
        <x:v>automatic_screen_pass</x:v>
      </x:c>
      <x:c r="L695" s="25" t="str">
        <x:v>accepted</x:v>
      </x:c>
      <x:c r="M695" s="25" t="str">
        <x:v>no</x:v>
      </x:c>
      <x:c r="N695" s="25" t="str">
        <x:v>saki_research/published_papers/bigio_shi_repurchase_options_market_lemons.pdf</x:v>
      </x:c>
      <x:c r="O695" s="25" t="str">
        <x:v>Hendel,IgalandAlessandroLizzeri,“AdverseSelectioninDurableGoodsMarkets,”The AmericanEconomicReview,1999,89(5),1097–1115.</x:v>
      </x:c>
    </x:row>
    <x:row r="696" ht="48" customHeight="1">
      <x:c r="A696" s="24" t="str">
        <x:v>P09-R035</x:v>
      </x:c>
      <x:c r="B696" s="24" t="str">
        <x:v>P09</x:v>
      </x:c>
      <x:c r="C696" s="26" t="n">
        <x:v>35</x:v>
      </x:c>
      <x:c r="D696" s="26" t="n">
        <x:v>37</x:v>
      </x:c>
      <x:c r="E696" s="26" t="n">
        <x:v>37</x:v>
      </x:c>
      <x:c r="F696" s="26" t="str">
        <x:v>Hendel</x:v>
      </x:c>
      <x:c r="G696" s="26" t="n">
        <x:v>2002</x:v>
      </x:c>
      <x:c r="H696" s="25" t="str">
        <x:v>TheRoleofLeasingunderAdverseSelection</x:v>
      </x:c>
      <x:c r="I696" s="25" t="str">
        <x:v>inherited_author_notation</x:v>
      </x:c>
      <x:c r="J696" s="25" t="str"/>
      <x:c r="K696" s="25" t="str">
        <x:v>automatic_screen_pass</x:v>
      </x:c>
      <x:c r="L696" s="25" t="str">
        <x:v>accepted</x:v>
      </x:c>
      <x:c r="M696" s="25" t="str">
        <x:v>no</x:v>
      </x:c>
      <x:c r="N696" s="25" t="str">
        <x:v>saki_research/published_papers/bigio_shi_repurchase_options_market_lemons.pdf</x:v>
      </x:c>
      <x:c r="O696" s="25" t="str">
        <x:v>and ,“TheRoleofLeasingunderAdverseSelection,”JournalofPoliticalEconomy,2002, 110(1),113–143.</x:v>
      </x:c>
    </x:row>
    <x:row r="697" ht="48" customHeight="1">
      <x:c r="A697" s="24" t="str">
        <x:v>P09-R036</x:v>
      </x:c>
      <x:c r="B697" s="24" t="str">
        <x:v>P09</x:v>
      </x:c>
      <x:c r="C697" s="26" t="n">
        <x:v>36</x:v>
      </x:c>
      <x:c r="D697" s="26" t="n">
        <x:v>37</x:v>
      </x:c>
      <x:c r="E697" s="26" t="n">
        <x:v>37</x:v>
      </x:c>
      <x:c r="F697" s="26" t="str">
        <x:v>Holmstrom</x:v>
      </x:c>
      <x:c r="G697" s="26" t="n">
        <x:v>2014</x:v>
      </x:c>
      <x:c r="H697" s="25" t="str">
        <x:v>UnderstandingtheRoleofDebtintheFinancialSystem</x:v>
      </x:c>
      <x:c r="I697" s="25" t="str"/>
      <x:c r="J697" s="25" t="str"/>
      <x:c r="K697" s="25" t="str">
        <x:v>prior_manual_sample</x:v>
      </x:c>
      <x:c r="L697" s="25" t="str">
        <x:v>accepted</x:v>
      </x:c>
      <x:c r="M697" s="25" t="str">
        <x:v>no</x:v>
      </x:c>
      <x:c r="N697" s="25" t="str">
        <x:v>saki_research/published_papers/bigio_shi_repurchase_options_market_lemons.pdf</x:v>
      </x:c>
      <x:c r="O697" s="25" t="str">
        <x:v>Holmstrom,Bengt,“UnderstandingtheRoleofDebtintheFinancialSystem,”2014. BIS WorkingPapersNo.479.</x:v>
      </x:c>
    </x:row>
    <x:row r="698" ht="48" customHeight="1">
      <x:c r="A698" s="24" t="str">
        <x:v>P09-R037</x:v>
      </x:c>
      <x:c r="B698" s="24" t="str">
        <x:v>P09</x:v>
      </x:c>
      <x:c r="C698" s="26" t="n">
        <x:v>37</x:v>
      </x:c>
      <x:c r="D698" s="26" t="n">
        <x:v>37</x:v>
      </x:c>
      <x:c r="E698" s="26" t="n">
        <x:v>37</x:v>
      </x:c>
      <x:c r="F698" s="26" t="str">
        <x:v>Holmstrom</x:v>
      </x:c>
      <x:c r="G698" s="26" t="n">
        <x:v>1997</x:v>
      </x:c>
      <x:c r="H698" s="25" t="str">
        <x:v>FinancialIntermediation,LoanableFunds,andtheRealSector</x:v>
      </x:c>
      <x:c r="I698" s="25" t="str">
        <x:v>inherited_author_notation</x:v>
      </x:c>
      <x:c r="J698" s="25" t="str">
        <x:v>exhaustive_ai_audit_2026-09-17</x:v>
      </x:c>
      <x:c r="K698" s="25" t="str">
        <x:v>exhaustive_visual_correction</x:v>
      </x:c>
      <x:c r="L698" s="25" t="str">
        <x:v>corrected</x:v>
      </x:c>
      <x:c r="M698" s="25" t="str">
        <x:v>no</x:v>
      </x:c>
      <x:c r="N698" s="25" t="str">
        <x:v>saki_research/published_papers/bigio_shi_repurchase_options_market_lemons.pdf</x:v>
      </x:c>
      <x:c r="O698" s="25" t="str">
        <x:v>andJeanTirole,“FinancialIntermediation,LoanableFunds,andtheRealSector,”The QuarterlyJournalofEconomics,1997,112(3),663–691.</x:v>
      </x:c>
    </x:row>
    <x:row r="699" ht="48" customHeight="1">
      <x:c r="A699" s="24" t="str">
        <x:v>P09-R038</x:v>
      </x:c>
      <x:c r="B699" s="24" t="str">
        <x:v>P09</x:v>
      </x:c>
      <x:c r="C699" s="26" t="n">
        <x:v>38</x:v>
      </x:c>
      <x:c r="D699" s="26" t="n">
        <x:v>37</x:v>
      </x:c>
      <x:c r="E699" s="26" t="n">
        <x:v>37</x:v>
      </x:c>
      <x:c r="F699" s="26" t="str">
        <x:v>Holmstrom</x:v>
      </x:c>
      <x:c r="G699" s="26" t="n">
        <x:v>1983</x:v>
      </x:c>
      <x:c r="H699" s="25" t="str">
        <x:v>EfficientandDurableDecisionRuleswithIncompleteInformation</x:v>
      </x:c>
      <x:c r="I699" s="25" t="str">
        <x:v>inherited_author_notation</x:v>
      </x:c>
      <x:c r="J699" s="25" t="str">
        <x:v>exhaustive_ai_audit_2026-09-17</x:v>
      </x:c>
      <x:c r="K699" s="25" t="str">
        <x:v>exhaustive_visual_correction</x:v>
      </x:c>
      <x:c r="L699" s="25" t="str">
        <x:v>corrected</x:v>
      </x:c>
      <x:c r="M699" s="25" t="str">
        <x:v>no</x:v>
      </x:c>
      <x:c r="N699" s="25" t="str">
        <x:v>saki_research/published_papers/bigio_shi_repurchase_options_market_lemons.pdf</x:v>
      </x:c>
      <x:c r="O699" s="25" t="str">
        <x:v>andRogerB.Myerson,“EfficientandDurableDecisionRuleswithIncompleteInformation,”Econometrica,1983,51(6),1799–1819.</x:v>
      </x:c>
    </x:row>
    <x:row r="700" ht="48" customHeight="1">
      <x:c r="A700" s="24" t="str">
        <x:v>P09-R039</x:v>
      </x:c>
      <x:c r="B700" s="24" t="str">
        <x:v>P09</x:v>
      </x:c>
      <x:c r="C700" s="26" t="n">
        <x:v>39</x:v>
      </x:c>
      <x:c r="D700" s="26" t="n">
        <x:v>38</x:v>
      </x:c>
      <x:c r="E700" s="26" t="n">
        <x:v>38</x:v>
      </x:c>
      <x:c r="F700" s="26" t="str">
        <x:v>Julliard</x:v>
      </x:c>
      <x:c r="G700" s="26" t="n">
        <x:v>2022</x:v>
      </x:c>
      <x:c r="H700" s="25" t="str">
        <x:v>WhatDrives RepoHaircuts?EvidencefromtheUKMarket</x:v>
      </x:c>
      <x:c r="I700" s="25" t="str"/>
      <x:c r="J700" s="25" t="str"/>
      <x:c r="K700" s="25" t="str">
        <x:v>automatic_screen_pass</x:v>
      </x:c>
      <x:c r="L700" s="25" t="str">
        <x:v>accepted</x:v>
      </x:c>
      <x:c r="M700" s="25" t="str">
        <x:v>no</x:v>
      </x:c>
      <x:c r="N700" s="25" t="str">
        <x:v>saki_research/published_papers/bigio_shi_repurchase_options_market_lemons.pdf</x:v>
      </x:c>
      <x:c r="O700" s="25" t="str">
        <x:v>Julliard,Christian,GaborPinter,KaramfilTodorov,andKathyYuan,“WhatDrives RepoHaircuts?EvidencefromtheUKMarket,”2022.BISWorkingPaper1027.</x:v>
      </x:c>
    </x:row>
    <x:row r="701" ht="48" customHeight="1">
      <x:c r="A701" s="24" t="str">
        <x:v>P09-R040</x:v>
      </x:c>
      <x:c r="B701" s="24" t="str">
        <x:v>P09</x:v>
      </x:c>
      <x:c r="C701" s="26" t="n">
        <x:v>40</x:v>
      </x:c>
      <x:c r="D701" s="26" t="n">
        <x:v>38</x:v>
      </x:c>
      <x:c r="E701" s="26" t="n">
        <x:v>38</x:v>
      </x:c>
      <x:c r="F701" s="26" t="str">
        <x:v>Krishnamurthy</x:v>
      </x:c>
      <x:c r="G701" s="26" t="n">
        <x:v>2014</x:v>
      </x:c>
      <x:c r="H701" s="25" t="str">
        <x:v>SizingUpRepo</x:v>
      </x:c>
      <x:c r="I701" s="25" t="str"/>
      <x:c r="J701" s="25" t="str"/>
      <x:c r="K701" s="25" t="str">
        <x:v>automatic_screen_pass</x:v>
      </x:c>
      <x:c r="L701" s="25" t="str">
        <x:v>accepted</x:v>
      </x:c>
      <x:c r="M701" s="25" t="str">
        <x:v>no</x:v>
      </x:c>
      <x:c r="N701" s="25" t="str">
        <x:v>saki_research/published_papers/bigio_shi_repurchase_options_market_lemons.pdf</x:v>
      </x:c>
      <x:c r="O701" s="25" t="str">
        <x:v>Krishnamurthy,Arvind,StefanNagel,andDmitryOrlov,“SizingUpRepo,”TheJournalofFinance,2014,69(6),2381–2417.</x:v>
      </x:c>
    </x:row>
    <x:row r="702" ht="48" customHeight="1">
      <x:c r="A702" s="24" t="str">
        <x:v>P09-R041</x:v>
      </x:c>
      <x:c r="B702" s="24" t="str">
        <x:v>P09</x:v>
      </x:c>
      <x:c r="C702" s="26" t="n">
        <x:v>41</x:v>
      </x:c>
      <x:c r="D702" s="26" t="n">
        <x:v>38</x:v>
      </x:c>
      <x:c r="E702" s="26" t="n">
        <x:v>38</x:v>
      </x:c>
      <x:c r="F702" s="26" t="str">
        <x:v>Kurlat</x:v>
      </x:c>
      <x:c r="G702" s="26" t="n">
        <x:v>2016</x:v>
      </x:c>
      <x:c r="H702" s="25" t="str">
        <x:v>AssetMarketsWithHeterogeneousInformation</x:v>
      </x:c>
      <x:c r="I702" s="25" t="str"/>
      <x:c r="J702" s="25" t="str">
        <x:v>exhaustive_ai_audit_2026-09-17</x:v>
      </x:c>
      <x:c r="K702" s="25" t="str">
        <x:v>exhaustive_visual_correction</x:v>
      </x:c>
      <x:c r="L702" s="25" t="str">
        <x:v>corrected</x:v>
      </x:c>
      <x:c r="M702" s="25" t="str">
        <x:v>no</x:v>
      </x:c>
      <x:c r="N702" s="25" t="str">
        <x:v>saki_research/published_papers/bigio_shi_repurchase_options_market_lemons.pdf</x:v>
      </x:c>
      <x:c r="O702" s="25" t="str">
        <x:v>Kurlat,Pablo,“AssetMarketsWithHeterogeneousInformation,”Econometrica,2016,84(1), 33–85.</x:v>
      </x:c>
    </x:row>
    <x:row r="703" ht="48" customHeight="1">
      <x:c r="A703" s="24" t="str">
        <x:v>P09-R042</x:v>
      </x:c>
      <x:c r="B703" s="24" t="str">
        <x:v>P09</x:v>
      </x:c>
      <x:c r="C703" s="26" t="n">
        <x:v>42</x:v>
      </x:c>
      <x:c r="D703" s="26" t="n">
        <x:v>38</x:v>
      </x:c>
      <x:c r="E703" s="26" t="n">
        <x:v>38</x:v>
      </x:c>
      <x:c r="F703" s="26" t="str">
        <x:v>Kurlat</x:v>
      </x:c>
      <x:c r="G703" s="26" t="n">
        <x:v>2020</x:v>
      </x:c>
      <x:c r="H703" s="25" t="str">
        <x:v>Signalling to Experts</x:v>
      </x:c>
      <x:c r="I703" s="25" t="str">
        <x:v>inherited_author_notation</x:v>
      </x:c>
      <x:c r="J703" s="25" t="str">
        <x:v>exhaustive_ai_audit_2026-09-17</x:v>
      </x:c>
      <x:c r="K703" s="25" t="str">
        <x:v>exhaustive_visual_correction</x:v>
      </x:c>
      <x:c r="L703" s="25" t="str">
        <x:v>corrected</x:v>
      </x:c>
      <x:c r="M703" s="25" t="str">
        <x:v>no</x:v>
      </x:c>
      <x:c r="N703" s="25" t="str">
        <x:v>saki_research/published_papers/bigio_shi_repurchase_options_market_lemons.pdf</x:v>
      </x:c>
      <x:c r="O703" s="25" t="str">
        <x:v>andFlorianScheuer,“SignallingtoExperts,”TheReviewofEconomicStudies,102020, 88(2),800–850.</x:v>
      </x:c>
    </x:row>
    <x:row r="704" ht="48" customHeight="1">
      <x:c r="A704" s="24" t="str">
        <x:v>P09-R043</x:v>
      </x:c>
      <x:c r="B704" s="24" t="str">
        <x:v>P09</x:v>
      </x:c>
      <x:c r="C704" s="26" t="n">
        <x:v>43</x:v>
      </x:c>
      <x:c r="D704" s="26" t="n">
        <x:v>38</x:v>
      </x:c>
      <x:c r="E704" s="26" t="n">
        <x:v>38</x:v>
      </x:c>
      <x:c r="F704" s="26" t="str">
        <x:v>Lester</x:v>
      </x:c>
      <x:c r="G704" s="26" t="n">
        <x:v>2019</x:v>
      </x:c>
      <x:c r="H704" s="25" t="str">
        <x:v>ScreeningandAdverseSelectioninFrictionalMarkets</x:v>
      </x:c>
      <x:c r="I704" s="25" t="str"/>
      <x:c r="J704" s="25" t="str"/>
      <x:c r="K704" s="25" t="str">
        <x:v>prior_manual_sample</x:v>
      </x:c>
      <x:c r="L704" s="25" t="str">
        <x:v>accepted</x:v>
      </x:c>
      <x:c r="M704" s="25" t="str">
        <x:v>no</x:v>
      </x:c>
      <x:c r="N704" s="25" t="str">
        <x:v>saki_research/published_papers/bigio_shi_repurchase_options_market_lemons.pdf</x:v>
      </x:c>
      <x:c r="O704" s="25" t="str">
        <x:v>Lester,Benjamin,AliShourideh,VenkyVenkateswaran,andArielZetlin-Jones, “ScreeningandAdverseSelectioninFrictionalMarkets,”JournalofPoliticalEconomy,2019, 127(1),338–377.</x:v>
      </x:c>
    </x:row>
    <x:row r="705" ht="48" customHeight="1">
      <x:c r="A705" s="24" t="str">
        <x:v>P09-R044</x:v>
      </x:c>
      <x:c r="B705" s="24" t="str">
        <x:v>P09</x:v>
      </x:c>
      <x:c r="C705" s="26" t="n">
        <x:v>44</x:v>
      </x:c>
      <x:c r="D705" s="26" t="n">
        <x:v>38</x:v>
      </x:c>
      <x:c r="E705" s="26" t="n">
        <x:v>38</x:v>
      </x:c>
      <x:c r="F705" s="26" t="str">
        <x:v>Madison</x:v>
      </x:c>
      <x:c r="G705" s="26" t="n">
        <x:v>2024</x:v>
      </x:c>
      <x:c r="H705" s="25" t="str">
        <x:v>AsymmetricInformationinFrictionalMarketsforLiquidity: CollateralizedCreditvsAssetSale</x:v>
      </x:c>
      <x:c r="I705" s="25" t="str"/>
      <x:c r="J705" s="25" t="str"/>
      <x:c r="K705" s="25" t="str">
        <x:v>automatic_screen_pass</x:v>
      </x:c>
      <x:c r="L705" s="25" t="str">
        <x:v>accepted</x:v>
      </x:c>
      <x:c r="M705" s="25" t="str">
        <x:v>no</x:v>
      </x:c>
      <x:c r="N705" s="25" t="str">
        <x:v>saki_research/published_papers/bigio_shi_repurchase_options_market_lemons.pdf</x:v>
      </x:c>
      <x:c r="O705" s="25" t="str">
        <x:v>Madison,Florian,“AsymmetricInformationinFrictionalMarketsforLiquidity: CollateralizedCreditvsAssetSale,”JournalofEconomicDynamicsandControl,2024,159,104808.</x:v>
      </x:c>
    </x:row>
    <x:row r="706" ht="48" customHeight="1">
      <x:c r="A706" s="24" t="str">
        <x:v>P09-R045</x:v>
      </x:c>
      <x:c r="B706" s="24" t="str">
        <x:v>P09</x:v>
      </x:c>
      <x:c r="C706" s="26" t="n">
        <x:v>45</x:v>
      </x:c>
      <x:c r="D706" s="26" t="n">
        <x:v>38</x:v>
      </x:c>
      <x:c r="E706" s="26" t="n">
        <x:v>38</x:v>
      </x:c>
      <x:c r="F706" s="26" t="str">
        <x:v>Miyazaki</x:v>
      </x:c>
      <x:c r="G706" s="26" t="n">
        <x:v>1977</x:v>
      </x:c>
      <x:c r="H706" s="25" t="str">
        <x:v>TheRatRaceandInternalLaborMarkets</x:v>
      </x:c>
      <x:c r="I706" s="25" t="str"/>
      <x:c r="J706" s="25" t="str"/>
      <x:c r="K706" s="25" t="str">
        <x:v>automatic_screen_pass</x:v>
      </x:c>
      <x:c r="L706" s="25" t="str">
        <x:v>accepted</x:v>
      </x:c>
      <x:c r="M706" s="25" t="str">
        <x:v>no</x:v>
      </x:c>
      <x:c r="N706" s="25" t="str">
        <x:v>saki_research/published_papers/bigio_shi_repurchase_options_market_lemons.pdf</x:v>
      </x:c>
      <x:c r="O706" s="25" t="str">
        <x:v>Miyazaki,Hajime,“TheRatRaceandInternalLaborMarkets,”TheBellJournalofEconomics,1977,8(2),394–418.</x:v>
      </x:c>
    </x:row>
    <x:row r="707" ht="48" customHeight="1">
      <x:c r="A707" s="24" t="str">
        <x:v>P09-R046</x:v>
      </x:c>
      <x:c r="B707" s="24" t="str">
        <x:v>P09</x:v>
      </x:c>
      <x:c r="C707" s="26" t="n">
        <x:v>46</x:v>
      </x:c>
      <x:c r="D707" s="26" t="n">
        <x:v>38</x:v>
      </x:c>
      <x:c r="E707" s="26" t="n">
        <x:v>38</x:v>
      </x:c>
      <x:c r="F707" s="26" t="str">
        <x:v>Monnet</x:v>
      </x:c>
      <x:c r="G707" s="26" t="n">
        <x:v>2017</x:v>
      </x:c>
      <x:c r="H707" s="25" t="str">
        <x:v>WhyRentWhenYouCanBuy?</x:v>
      </x:c>
      <x:c r="I707" s="25" t="str"/>
      <x:c r="J707" s="25" t="str"/>
      <x:c r="K707" s="25" t="str">
        <x:v>automatic_screen_pass</x:v>
      </x:c>
      <x:c r="L707" s="25" t="str">
        <x:v>accepted</x:v>
      </x:c>
      <x:c r="M707" s="25" t="str">
        <x:v>no</x:v>
      </x:c>
      <x:c r="N707" s="25" t="str">
        <x:v>saki_research/published_papers/bigio_shi_repurchase_options_market_lemons.pdf</x:v>
      </x:c>
      <x:c r="O707" s="25" t="str">
        <x:v>Monnet,CyrilandBorghanNarajabad,“WhyRentWhenYouCanBuy?,”FEDSWorking PaperNo.2017-094,2017.</x:v>
      </x:c>
    </x:row>
    <x:row r="708" ht="48" customHeight="1">
      <x:c r="A708" s="24" t="str">
        <x:v>P09-R047</x:v>
      </x:c>
      <x:c r="B708" s="24" t="str">
        <x:v>P09</x:v>
      </x:c>
      <x:c r="C708" s="26" t="n">
        <x:v>47</x:v>
      </x:c>
      <x:c r="D708" s="26" t="n">
        <x:v>38</x:v>
      </x:c>
      <x:c r="E708" s="26" t="n">
        <x:v>38</x:v>
      </x:c>
      <x:c r="F708" s="26" t="str">
        <x:v>Myers</x:v>
      </x:c>
      <x:c r="G708" s="26" t="n">
        <x:v>1984</x:v>
      </x:c>
      <x:c r="H708" s="25" t="str">
        <x:v>CorporateFinancingandInvestmentDecisions WhenFirmsHaveInformationThatInvestorsDoNotHave</x:v>
      </x:c>
      <x:c r="I708" s="25" t="str"/>
      <x:c r="J708" s="25" t="str"/>
      <x:c r="K708" s="25" t="str">
        <x:v>automatic_screen_pass</x:v>
      </x:c>
      <x:c r="L708" s="25" t="str">
        <x:v>accepted</x:v>
      </x:c>
      <x:c r="M708" s="25" t="str">
        <x:v>no</x:v>
      </x:c>
      <x:c r="N708" s="25" t="str">
        <x:v>saki_research/published_papers/bigio_shi_repurchase_options_market_lemons.pdf</x:v>
      </x:c>
      <x:c r="O708" s="25" t="str">
        <x:v>Myers,StewartC.andNicholasS.Majluf,“CorporateFinancingandInvestmentDecisions WhenFirmsHaveInformationThatInvestorsDoNotHave,”JournalofFinancialEconomics, 1984,13(2),187–221.</x:v>
      </x:c>
    </x:row>
    <x:row r="709" ht="48" customHeight="1">
      <x:c r="A709" s="24" t="str">
        <x:v>P09-R048</x:v>
      </x:c>
      <x:c r="B709" s="24" t="str">
        <x:v>P09</x:v>
      </x:c>
      <x:c r="C709" s="26" t="n">
        <x:v>48</x:v>
      </x:c>
      <x:c r="D709" s="26" t="n">
        <x:v>38</x:v>
      </x:c>
      <x:c r="E709" s="26" t="n">
        <x:v>38</x:v>
      </x:c>
      <x:c r="F709" s="26" t="str">
        <x:v>Netzer</x:v>
      </x:c>
      <x:c r="G709" s="26" t="n">
        <x:v>2014</x:v>
      </x:c>
      <x:c r="H709" s="25" t="str">
        <x:v>AGameTheoreticFoundationofCompetitiveEquilibriawithAdverseSelection</x:v>
      </x:c>
      <x:c r="I709" s="25" t="str"/>
      <x:c r="J709" s="25" t="str"/>
      <x:c r="K709" s="25" t="str">
        <x:v>automatic_screen_pass</x:v>
      </x:c>
      <x:c r="L709" s="25" t="str">
        <x:v>accepted</x:v>
      </x:c>
      <x:c r="M709" s="25" t="str">
        <x:v>no</x:v>
      </x:c>
      <x:c r="N709" s="25" t="str">
        <x:v>saki_research/published_papers/bigio_shi_repurchase_options_market_lemons.pdf</x:v>
      </x:c>
      <x:c r="O709" s="25" t="str">
        <x:v>Netzer,NickandFlorianScheuer,“AGameTheoreticFoundationofCompetitiveEquilibriawithAdverseSelection,”InternationalEconomicReview,2014,55(2),399–422.</x:v>
      </x:c>
    </x:row>
    <x:row r="710" ht="48" customHeight="1">
      <x:c r="A710" s="24" t="str">
        <x:v>P09-R049</x:v>
      </x:c>
      <x:c r="B710" s="24" t="str">
        <x:v>P09</x:v>
      </x:c>
      <x:c r="C710" s="26" t="n">
        <x:v>49</x:v>
      </x:c>
      <x:c r="D710" s="26" t="n">
        <x:v>38</x:v>
      </x:c>
      <x:c r="E710" s="26" t="n">
        <x:v>38</x:v>
      </x:c>
      <x:c r="F710" s="26" t="str">
        <x:v>Ozdenoren</x:v>
      </x:c>
      <x:c r="G710" s="26" t="n">
        <x:v>2023</x:v>
      </x:c>
      <x:c r="H710" s="25" t="str">
        <x:v>DynamicAsset-BackedSecurity Design</x:v>
      </x:c>
      <x:c r="I710" s="25" t="str"/>
      <x:c r="J710" s="25" t="str"/>
      <x:c r="K710" s="25" t="str">
        <x:v>automatic_screen_pass</x:v>
      </x:c>
      <x:c r="L710" s="25" t="str">
        <x:v>accepted</x:v>
      </x:c>
      <x:c r="M710" s="25" t="str">
        <x:v>no</x:v>
      </x:c>
      <x:c r="N710" s="25" t="str">
        <x:v>saki_research/published_papers/bigio_shi_repurchase_options_market_lemons.pdf</x:v>
      </x:c>
      <x:c r="O710" s="25" t="str">
        <x:v>Ozdenoren,Emre,KathyYuan,andShengxingZhang,“DynamicAsset-BackedSecurity Design,”TheReviewofEconomicStudies,032023,p.rdad022.</x:v>
      </x:c>
    </x:row>
    <x:row r="711" ht="48" customHeight="1">
      <x:c r="A711" s="24" t="str">
        <x:v>P09-R050</x:v>
      </x:c>
      <x:c r="B711" s="24" t="str">
        <x:v>P09</x:v>
      </x:c>
      <x:c r="C711" s="26" t="n">
        <x:v>50</x:v>
      </x:c>
      <x:c r="D711" s="26" t="n">
        <x:v>38</x:v>
      </x:c>
      <x:c r="E711" s="26" t="n">
        <x:v>38</x:v>
      </x:c>
      <x:c r="F711" s="26" t="str">
        <x:v>Parlatore</x:v>
      </x:c>
      <x:c r="G711" s="26" t="n">
        <x:v>2019</x:v>
      </x:c>
      <x:c r="H711" s="25" t="str">
        <x:v>CollateralizingLiquidity</x:v>
      </x:c>
      <x:c r="I711" s="25" t="str"/>
      <x:c r="J711" s="25" t="str"/>
      <x:c r="K711" s="25" t="str">
        <x:v>automatic_screen_pass</x:v>
      </x:c>
      <x:c r="L711" s="25" t="str">
        <x:v>accepted</x:v>
      </x:c>
      <x:c r="M711" s="25" t="str">
        <x:v>no</x:v>
      </x:c>
      <x:c r="N711" s="25" t="str">
        <x:v>saki_research/published_papers/bigio_shi_repurchase_options_market_lemons.pdf</x:v>
      </x:c>
      <x:c r="O711" s="25" t="str">
        <x:v>Parlatore,Cecilia,“CollateralizingLiquidity,”JournalofFinancialEconomics,2019.</x:v>
      </x:c>
    </x:row>
    <x:row r="712" ht="48" customHeight="1">
      <x:c r="A712" s="24" t="str">
        <x:v>P09-R051</x:v>
      </x:c>
      <x:c r="B712" s="24" t="str">
        <x:v>P09</x:v>
      </x:c>
      <x:c r="C712" s="26" t="n">
        <x:v>51</x:v>
      </x:c>
      <x:c r="D712" s="26" t="n">
        <x:v>38</x:v>
      </x:c>
      <x:c r="E712" s="26" t="n">
        <x:v>38</x:v>
      </x:c>
      <x:c r="F712" s="26" t="str">
        <x:v>Philippon</x:v>
      </x:c>
      <x:c r="G712" s="26" t="n">
        <x:v>2012</x:v>
      </x:c>
      <x:c r="H712" s="25" t="str">
        <x:v>OptimalInterventionsinMarketswithAdverse Selection</x:v>
      </x:c>
      <x:c r="I712" s="25" t="str"/>
      <x:c r="J712" s="25" t="str"/>
      <x:c r="K712" s="25" t="str">
        <x:v>automatic_screen_pass</x:v>
      </x:c>
      <x:c r="L712" s="25" t="str">
        <x:v>accepted</x:v>
      </x:c>
      <x:c r="M712" s="25" t="str">
        <x:v>no</x:v>
      </x:c>
      <x:c r="N712" s="25" t="str">
        <x:v>saki_research/published_papers/bigio_shi_repurchase_options_market_lemons.pdf</x:v>
      </x:c>
      <x:c r="O712" s="25" t="str">
        <x:v>Philippon,ThomasandVasilikiSkreta,“OptimalInterventionsinMarketswithAdverse Selection,”AmericanEconomicReview,February2012,102(1),1–28.</x:v>
      </x:c>
    </x:row>
    <x:row r="713" ht="48" customHeight="1">
      <x:c r="A713" s="24" t="str">
        <x:v>P09-R052</x:v>
      </x:c>
      <x:c r="B713" s="24" t="str">
        <x:v>P09</x:v>
      </x:c>
      <x:c r="C713" s="26" t="n">
        <x:v>52</x:v>
      </x:c>
      <x:c r="D713" s="26" t="n">
        <x:v>38</x:v>
      </x:c>
      <x:c r="E713" s="26" t="n">
        <x:v>38</x:v>
      </x:c>
      <x:c r="F713" s="26" t="str">
        <x:v>Riley</x:v>
      </x:c>
      <x:c r="G713" s="26" t="n">
        <x:v>1979</x:v>
      </x:c>
      <x:c r="H713" s="25" t="str">
        <x:v>InformationalEquilibrium</x:v>
      </x:c>
      <x:c r="I713" s="25" t="str"/>
      <x:c r="J713" s="25" t="str"/>
      <x:c r="K713" s="25" t="str">
        <x:v>automatic_screen_pass</x:v>
      </x:c>
      <x:c r="L713" s="25" t="str">
        <x:v>accepted</x:v>
      </x:c>
      <x:c r="M713" s="25" t="str">
        <x:v>no</x:v>
      </x:c>
      <x:c r="N713" s="25" t="str">
        <x:v>saki_research/published_papers/bigio_shi_repurchase_options_market_lemons.pdf</x:v>
      </x:c>
      <x:c r="O713" s="25" t="str">
        <x:v>Riley,JohnG.,“InformationalEquilibrium,”Econometrica,1979,47(2),331–359.</x:v>
      </x:c>
    </x:row>
    <x:row r="714" ht="48" customHeight="1">
      <x:c r="A714" s="24" t="str">
        <x:v>P09-R053</x:v>
      </x:c>
      <x:c r="B714" s="24" t="str">
        <x:v>P09</x:v>
      </x:c>
      <x:c r="C714" s="26" t="n">
        <x:v>53</x:v>
      </x:c>
      <x:c r="D714" s="26" t="n">
        <x:v>39</x:v>
      </x:c>
      <x:c r="E714" s="26" t="n">
        <x:v>39</x:v>
      </x:c>
      <x:c r="F714" s="26" t="str">
        <x:v>Rothschild</x:v>
      </x:c>
      <x:c r="G714" s="26" t="n">
        <x:v>1976</x:v>
      </x:c>
      <x:c r="H714" s="25" t="str">
        <x:v>EquilibriuminCompetitiveInsuranceMarkets: AnEssayontheEconomicsofImperfectInformation</x:v>
      </x:c>
      <x:c r="I714" s="25" t="str"/>
      <x:c r="J714" s="25" t="str"/>
      <x:c r="K714" s="25" t="str">
        <x:v>automatic_screen_pass</x:v>
      </x:c>
      <x:c r="L714" s="25" t="str">
        <x:v>accepted</x:v>
      </x:c>
      <x:c r="M714" s="25" t="str">
        <x:v>no</x:v>
      </x:c>
      <x:c r="N714" s="25" t="str">
        <x:v>saki_research/published_papers/bigio_shi_repurchase_options_market_lemons.pdf</x:v>
      </x:c>
      <x:c r="O714" s="25" t="str">
        <x:v>Rothschild,MichaelandJosephStiglitz,“EquilibriuminCompetitiveInsuranceMarkets: AnEssayontheEconomicsofImperfectInformation,”TheQuarterlyJournalofEconomics, 1976,90(4),629–649.</x:v>
      </x:c>
    </x:row>
    <x:row r="715" ht="48" customHeight="1">
      <x:c r="A715" s="24" t="str">
        <x:v>P09-R054</x:v>
      </x:c>
      <x:c r="B715" s="24" t="str">
        <x:v>P09</x:v>
      </x:c>
      <x:c r="C715" s="26" t="n">
        <x:v>54</x:v>
      </x:c>
      <x:c r="D715" s="26" t="n">
        <x:v>39</x:v>
      </x:c>
      <x:c r="E715" s="26" t="n">
        <x:v>39</x:v>
      </x:c>
      <x:c r="F715" s="26" t="str">
        <x:v>Spence</x:v>
      </x:c>
      <x:c r="G715" s="26" t="n">
        <x:v>1978</x:v>
      </x:c>
      <x:c r="H715" s="25" t="str">
        <x:v>ProductDifferentiationandPerformanceinInsuranceMarkets</x:v>
      </x:c>
      <x:c r="I715" s="25" t="str"/>
      <x:c r="J715" s="25" t="str"/>
      <x:c r="K715" s="25" t="str">
        <x:v>prior_manual_sample</x:v>
      </x:c>
      <x:c r="L715" s="25" t="str">
        <x:v>accepted</x:v>
      </x:c>
      <x:c r="M715" s="25" t="str">
        <x:v>no</x:v>
      </x:c>
      <x:c r="N715" s="25" t="str">
        <x:v>saki_research/published_papers/bigio_shi_repurchase_options_market_lemons.pdf</x:v>
      </x:c>
      <x:c r="O715" s="25" t="str">
        <x:v>Spence,Michael,“ProductDifferentiationandPerformanceinInsuranceMarkets,”Journal ofPublicEconomics,1978,10(3),427–447.</x:v>
      </x:c>
    </x:row>
    <x:row r="716" ht="48" customHeight="1">
      <x:c r="A716" s="24" t="str">
        <x:v>P09-R055</x:v>
      </x:c>
      <x:c r="B716" s="24" t="str">
        <x:v>P09</x:v>
      </x:c>
      <x:c r="C716" s="26" t="n">
        <x:v>55</x:v>
      </x:c>
      <x:c r="D716" s="26" t="n">
        <x:v>39</x:v>
      </x:c>
      <x:c r="E716" s="26" t="n">
        <x:v>39</x:v>
      </x:c>
      <x:c r="F716" s="26" t="str">
        <x:v>Stantcheva</x:v>
      </x:c>
      <x:c r="G716" s="26" t="n">
        <x:v>2014</x:v>
      </x:c>
      <x:c r="H716" s="25" t="str">
        <x:v>OptimalIncomeTaxationwithAdverseSelectionintheLabourMarket</x:v>
      </x:c>
      <x:c r="I716" s="25" t="str"/>
      <x:c r="J716" s="25" t="str"/>
      <x:c r="K716" s="25" t="str">
        <x:v>prior_manual_sample</x:v>
      </x:c>
      <x:c r="L716" s="25" t="str">
        <x:v>accepted</x:v>
      </x:c>
      <x:c r="M716" s="25" t="str">
        <x:v>no</x:v>
      </x:c>
      <x:c r="N716" s="25" t="str">
        <x:v>saki_research/published_papers/bigio_shi_repurchase_options_market_lemons.pdf</x:v>
      </x:c>
      <x:c r="O716" s="25" t="str">
        <x:v>Stantcheva,Stefanie,“OptimalIncomeTaxationwithAdverseSelectionintheLabourMarket,”TheReviewofEconomicStudies,032014,81(3),1296–1329.</x:v>
      </x:c>
    </x:row>
    <x:row r="717" ht="48" customHeight="1">
      <x:c r="A717" s="24" t="str">
        <x:v>P09-R056</x:v>
      </x:c>
      <x:c r="B717" s="24" t="str">
        <x:v>P09</x:v>
      </x:c>
      <x:c r="C717" s="26" t="n">
        <x:v>56</x:v>
      </x:c>
      <x:c r="D717" s="26" t="n">
        <x:v>39</x:v>
      </x:c>
      <x:c r="E717" s="26" t="n">
        <x:v>39</x:v>
      </x:c>
      <x:c r="F717" s="26" t="str">
        <x:v>Stiglitz</x:v>
      </x:c>
      <x:c r="G717" s="26" t="n">
        <x:v>1981</x:v>
      </x:c>
      <x:c r="H717" s="25" t="str">
        <x:v>CreditRationinginMarketswithImperfectInformation</x:v>
      </x:c>
      <x:c r="I717" s="25" t="str"/>
      <x:c r="J717" s="25" t="str"/>
      <x:c r="K717" s="25" t="str">
        <x:v>automatic_screen_pass</x:v>
      </x:c>
      <x:c r="L717" s="25" t="str">
        <x:v>accepted</x:v>
      </x:c>
      <x:c r="M717" s="25" t="str">
        <x:v>no</x:v>
      </x:c>
      <x:c r="N717" s="25" t="str">
        <x:v>saki_research/published_papers/bigio_shi_repurchase_options_market_lemons.pdf</x:v>
      </x:c>
      <x:c r="O717" s="25" t="str">
        <x:v>Stiglitz,JosephE.andAndrewWeiss,“CreditRationinginMarketswithImperfectInformation,”TheAmericanEconomicReview,1981,71(3),393–410.</x:v>
      </x:c>
    </x:row>
    <x:row r="718" ht="48" customHeight="1">
      <x:c r="A718" s="24" t="str">
        <x:v>P09-R057</x:v>
      </x:c>
      <x:c r="B718" s="24" t="str">
        <x:v>P09</x:v>
      </x:c>
      <x:c r="C718" s="26" t="n">
        <x:v>57</x:v>
      </x:c>
      <x:c r="D718" s="26" t="n">
        <x:v>39</x:v>
      </x:c>
      <x:c r="E718" s="26" t="n">
        <x:v>39</x:v>
      </x:c>
      <x:c r="F718" s="26" t="str">
        <x:v>Suzuki</x:v>
      </x:c>
      <x:c r="G718" s="26" t="n">
        <x:v>2024</x:v>
      </x:c>
      <x:c r="H718" s="25" t="str">
        <x:v>QuantitativeAnalysisofHaircuts: Evidencefrom theJapaneseRepoandSecuritiesLendingMarkets</x:v>
      </x:c>
      <x:c r="I718" s="25" t="str"/>
      <x:c r="J718" s="25" t="str"/>
      <x:c r="K718" s="25" t="str">
        <x:v>automatic_screen_pass</x:v>
      </x:c>
      <x:c r="L718" s="25" t="str">
        <x:v>accepted</x:v>
      </x:c>
      <x:c r="M718" s="25" t="str">
        <x:v>no</x:v>
      </x:c>
      <x:c r="N718" s="25" t="str">
        <x:v>saki_research/published_papers/bigio_shi_repurchase_options_market_lemons.pdf</x:v>
      </x:c>
      <x:c r="O718" s="25" t="str">
        <x:v>Suzuki,KazuyaandKanaSasamoto,“QuantitativeAnalysisofHaircuts: Evidencefrom theJapaneseRepoandSecuritiesLendingMarkets,”2024.SSRN4390755.</x:v>
      </x:c>
    </x:row>
    <x:row r="719" ht="48" customHeight="1">
      <x:c r="A719" s="24" t="str">
        <x:v>P09-R058</x:v>
      </x:c>
      <x:c r="B719" s="24" t="str">
        <x:v>P09</x:v>
      </x:c>
      <x:c r="C719" s="26" t="n">
        <x:v>58</x:v>
      </x:c>
      <x:c r="D719" s="26" t="n">
        <x:v>39</x:v>
      </x:c>
      <x:c r="E719" s="26" t="n">
        <x:v>39</x:v>
      </x:c>
      <x:c r="F719" s="26" t="str">
        <x:v>Tirole</x:v>
      </x:c>
      <x:c r="G719" s="26" t="n">
        <x:v>2012</x:v>
      </x:c>
      <x:c r="H719" s="25" t="str">
        <x:v>OvercomingAdverseSelection: HowPublicInterventionCanRestoreMarket Functioning</x:v>
      </x:c>
      <x:c r="I719" s="25" t="str"/>
      <x:c r="J719" s="25" t="str"/>
      <x:c r="K719" s="25" t="str">
        <x:v>automatic_screen_pass</x:v>
      </x:c>
      <x:c r="L719" s="25" t="str">
        <x:v>accepted</x:v>
      </x:c>
      <x:c r="M719" s="25" t="str">
        <x:v>no</x:v>
      </x:c>
      <x:c r="N719" s="25" t="str">
        <x:v>saki_research/published_papers/bigio_shi_repurchase_options_market_lemons.pdf</x:v>
      </x:c>
      <x:c r="O719" s="25" t="str">
        <x:v>Tirole,Jean,“OvercomingAdverseSelection: HowPublicInterventionCanRestoreMarket Functioning,”TheAmericanEconomicReview,2012,102(1),29–59.</x:v>
      </x:c>
    </x:row>
    <x:row r="720" ht="48" customHeight="1">
      <x:c r="A720" s="24" t="str">
        <x:v>P09-R059</x:v>
      </x:c>
      <x:c r="B720" s="24" t="str">
        <x:v>P09</x:v>
      </x:c>
      <x:c r="C720" s="26" t="n">
        <x:v>59</x:v>
      </x:c>
      <x:c r="D720" s="26" t="n">
        <x:v>39</x:v>
      </x:c>
      <x:c r="E720" s="26" t="n">
        <x:v>39</x:v>
      </x:c>
      <x:c r="F720" s="26" t="str">
        <x:v>Townsend</x:v>
      </x:c>
      <x:c r="G720" s="26" t="n">
        <x:v>1979</x:v>
      </x:c>
      <x:c r="H720" s="25" t="str">
        <x:v>OptimalContractsandCompetitiveMarketswithCostlyStateVerification</x:v>
      </x:c>
      <x:c r="I720" s="25" t="str"/>
      <x:c r="J720" s="25" t="str"/>
      <x:c r="K720" s="25" t="str">
        <x:v>automatic_screen_pass</x:v>
      </x:c>
      <x:c r="L720" s="25" t="str">
        <x:v>accepted</x:v>
      </x:c>
      <x:c r="M720" s="25" t="str">
        <x:v>no</x:v>
      </x:c>
      <x:c r="N720" s="25" t="str">
        <x:v>saki_research/published_papers/bigio_shi_repurchase_options_market_lemons.pdf</x:v>
      </x:c>
      <x:c r="O720" s="25" t="str">
        <x:v>Townsend,Robert,“OptimalContractsandCompetitiveMarketswithCostlyStateVerification,”JournalofEconomicTheory,1979,21,265–293.</x:v>
      </x:c>
    </x:row>
    <x:row r="721" ht="48" customHeight="1">
      <x:c r="A721" s="24" t="str">
        <x:v>P09-R060</x:v>
      </x:c>
      <x:c r="B721" s="24" t="str">
        <x:v>P09</x:v>
      </x:c>
      <x:c r="C721" s="26" t="n">
        <x:v>60</x:v>
      </x:c>
      <x:c r="D721" s="26" t="n">
        <x:v>39</x:v>
      </x:c>
      <x:c r="E721" s="26" t="n">
        <x:v>39</x:v>
      </x:c>
      <x:c r="F721" s="26" t="str">
        <x:v>Wilson</x:v>
      </x:c>
      <x:c r="G721" s="26" t="n">
        <x:v>1977</x:v>
      </x:c>
      <x:c r="H721" s="25" t="str">
        <x:v>AModelofInsuranceMarketswithIncompleteInformation</x:v>
      </x:c>
      <x:c r="I721" s="25" t="str"/>
      <x:c r="J721" s="25" t="str"/>
      <x:c r="K721" s="25" t="str">
        <x:v>automatic_screen_pass</x:v>
      </x:c>
      <x:c r="L721" s="25" t="str">
        <x:v>accepted</x:v>
      </x:c>
      <x:c r="M721" s="25" t="str">
        <x:v>no</x:v>
      </x:c>
      <x:c r="N721" s="25" t="str">
        <x:v>saki_research/published_papers/bigio_shi_repurchase_options_market_lemons.pdf</x:v>
      </x:c>
      <x:c r="O721" s="25" t="str">
        <x:v>Wilson,Charles,“AModelofInsuranceMarketswithIncompleteInformation,”Journalof EconomicTheory,1977,16(2),167–207.</x:v>
      </x:c>
    </x:row>
    <x:row r="722" ht="48" customHeight="1">
      <x:c r="A722" s="24" t="str">
        <x:v>P11-R001</x:v>
      </x:c>
      <x:c r="B722" s="24" t="str">
        <x:v>P11</x:v>
      </x:c>
      <x:c r="C722" s="26" t="n">
        <x:v>1</x:v>
      </x:c>
      <x:c r="D722" s="26" t="n">
        <x:v>49</x:v>
      </x:c>
      <x:c r="E722" s="26" t="n">
        <x:v>49</x:v>
      </x:c>
      <x:c r="F722" s="26" t="str">
        <x:v>Adam</x:v>
      </x:c>
      <x:c r="G722" s="26" t="n">
        <x:v>2019</x:v>
      </x:c>
      <x:c r="H722" s="25" t="str">
        <x:v>Stock Price Cycles and Business Cycles</x:v>
      </x:c>
      <x:c r="I722" s="25" t="str"/>
      <x:c r="J722" s="25" t="str"/>
      <x:c r="K722" s="25" t="str">
        <x:v>automatic_screen_pass</x:v>
      </x:c>
      <x:c r="L722" s="25" t="str">
        <x:v>accepted</x:v>
      </x:c>
      <x:c r="M722" s="25" t="str">
        <x:v>no</x:v>
      </x:c>
      <x:c r="N722" s="25" t="str">
        <x:v>saki_research/published_papers/bigio_silva_zilberman_heterogeneous_beliefs_asset_prices_business_cycles.pdf</x:v>
      </x:c>
      <x:c r="O722" s="25" t="str">
        <x:v>Adam, Klaus and Sebastian Merkel, “Stock Price Cycles and Business Cycles,” 2019. Working Paper.</x:v>
      </x:c>
    </x:row>
    <x:row r="723" ht="48" customHeight="1">
      <x:c r="A723" s="24" t="str">
        <x:v>P11-R002</x:v>
      </x:c>
      <x:c r="B723" s="24" t="str">
        <x:v>P11</x:v>
      </x:c>
      <x:c r="C723" s="26" t="n">
        <x:v>2</x:v>
      </x:c>
      <x:c r="D723" s="26" t="n">
        <x:v>49</x:v>
      </x:c>
      <x:c r="E723" s="26" t="n">
        <x:v>49</x:v>
      </x:c>
      <x:c r="F723" s="26" t="str">
        <x:v>Alvarez</x:v>
      </x:c>
      <x:c r="G723" s="26" t="n">
        <x:v>2018</x:v>
      </x:c>
      <x:c r="H723" s="25" t="str">
        <x:v>The Risk of Becoming Risk Averse: A Model of Asset Pricing and Trade Volumes</x:v>
      </x:c>
      <x:c r="I723" s="25" t="str"/>
      <x:c r="J723" s="25" t="str"/>
      <x:c r="K723" s="25" t="str">
        <x:v>automatic_screen_pass</x:v>
      </x:c>
      <x:c r="L723" s="25" t="str">
        <x:v>accepted</x:v>
      </x:c>
      <x:c r="M723" s="25" t="str">
        <x:v>no</x:v>
      </x:c>
      <x:c r="N723" s="25" t="str">
        <x:v>saki_research/published_papers/bigio_silva_zilberman_heterogeneous_beliefs_asset_prices_business_cycles.pdf</x:v>
      </x:c>
      <x:c r="O723" s="25" t="str">
        <x:v>Alvarez, Fernando and Andrew Atkeson, “The Risk of Becoming Risk Averse: A Model of Asset Pricing and Trade Volumes,” Staff Report 577, Federal Reserve Bank of Minneapolis 2018.</x:v>
      </x:c>
    </x:row>
    <x:row r="724" ht="48" customHeight="1">
      <x:c r="A724" s="24" t="str">
        <x:v>P11-R003</x:v>
      </x:c>
      <x:c r="B724" s="24" t="str">
        <x:v>P11</x:v>
      </x:c>
      <x:c r="C724" s="26" t="n">
        <x:v>3</x:v>
      </x:c>
      <x:c r="D724" s="26" t="n">
        <x:v>49</x:v>
      </x:c>
      <x:c r="E724" s="26" t="n">
        <x:v>49</x:v>
      </x:c>
      <x:c r="F724" s="26" t="str">
        <x:v>Andreasen</x:v>
      </x:c>
      <x:c r="G724" s="26" t="n">
        <x:v>2018</x:v>
      </x:c>
      <x:c r="H724" s="25" t="str">
        <x:v>The Pruned State-Space System for Non-Linear DSGE Models: Theory and Empirical Applications</x:v>
      </x:c>
      <x:c r="I724" s="25" t="str"/>
      <x:c r="J724" s="25" t="str"/>
      <x:c r="K724" s="25" t="str">
        <x:v>automatic_screen_pass</x:v>
      </x:c>
      <x:c r="L724" s="25" t="str">
        <x:v>accepted</x:v>
      </x:c>
      <x:c r="M724" s="25" t="str">
        <x:v>no</x:v>
      </x:c>
      <x:c r="N724" s="25" t="str">
        <x:v>saki_research/published_papers/bigio_silva_zilberman_heterogeneous_beliefs_asset_prices_business_cycles.pdf</x:v>
      </x:c>
      <x:c r="O724" s="25" t="str">
        <x:v>Andreasen, Martin M., Jesús Fernández-Villaverde, and Juan F. Rubio-Ramírez, “The Pruned State-Space System for Non-Linear DSGE Models: Theory and Empirical Applications,”The Review of Economic Studies, 2018,85 (1), 1–49.</x:v>
      </x:c>
    </x:row>
    <x:row r="725" ht="48" customHeight="1">
      <x:c r="A725" s="24" t="str">
        <x:v>P11-R004</x:v>
      </x:c>
      <x:c r="B725" s="24" t="str">
        <x:v>P11</x:v>
      </x:c>
      <x:c r="C725" s="26" t="n">
        <x:v>4</x:v>
      </x:c>
      <x:c r="D725" s="26" t="n">
        <x:v>49</x:v>
      </x:c>
      <x:c r="E725" s="26" t="n">
        <x:v>49</x:v>
      </x:c>
      <x:c r="F725" s="26" t="str">
        <x:v>Angeletos</x:v>
      </x:c>
      <x:c r="G725" s="26" t="n">
        <x:v>2018</x:v>
      </x:c>
      <x:c r="H725" s="25" t="str">
        <x:v>Quantifying Confidence</x:v>
      </x:c>
      <x:c r="I725" s="25" t="str"/>
      <x:c r="J725" s="25" t="str"/>
      <x:c r="K725" s="25" t="str">
        <x:v>automatic_screen_pass</x:v>
      </x:c>
      <x:c r="L725" s="25" t="str">
        <x:v>accepted</x:v>
      </x:c>
      <x:c r="M725" s="25" t="str">
        <x:v>no</x:v>
      </x:c>
      <x:c r="N725" s="25" t="str">
        <x:v>saki_research/published_papers/bigio_silva_zilberman_heterogeneous_beliefs_asset_prices_business_cycles.pdf</x:v>
      </x:c>
      <x:c r="O725" s="25" t="str">
        <x:v>Angeletos, George-Marios, Fabrice Collard, and Harris Dellas, “Quantifying Confidence,” Econometrica, 2018, 86 (5), 1689–1726.</x:v>
      </x:c>
    </x:row>
    <x:row r="726" ht="48" customHeight="1">
      <x:c r="A726" s="24" t="str">
        <x:v>P11-R005</x:v>
      </x:c>
      <x:c r="B726" s="24" t="str">
        <x:v>P11</x:v>
      </x:c>
      <x:c r="C726" s="26" t="n">
        <x:v>5</x:v>
      </x:c>
      <x:c r="D726" s="26" t="n">
        <x:v>49</x:v>
      </x:c>
      <x:c r="E726" s="26" t="n">
        <x:v>49</x:v>
      </x:c>
      <x:c r="F726" s="26" t="str">
        <x:v>Armona</x:v>
      </x:c>
      <x:c r="G726" s="26" t="n">
        <x:v>2019</x:v>
      </x:c>
      <x:c r="H726" s="25" t="str">
        <x:v>Home price expectations and behaviour: Evidencefromarandomizedinformationexperiment</x:v>
      </x:c>
      <x:c r="I726" s="25" t="str"/>
      <x:c r="J726" s="25" t="str"/>
      <x:c r="K726" s="25" t="str">
        <x:v>automatic_screen_pass</x:v>
      </x:c>
      <x:c r="L726" s="25" t="str">
        <x:v>accepted</x:v>
      </x:c>
      <x:c r="M726" s="25" t="str">
        <x:v>no</x:v>
      </x:c>
      <x:c r="N726" s="25" t="str">
        <x:v>saki_research/published_papers/bigio_silva_zilberman_heterogeneous_beliefs_asset_prices_business_cycles.pdf</x:v>
      </x:c>
      <x:c r="O726" s="25" t="str">
        <x:v>Armona, Luis, Andreas Fuster, and Basit Zafar, “Home price expectations and behaviour: Evidencefromarandomizedinformationexperiment,”TheReviewofEconomic Studies, 2019, 86 (4), 1371–1410.</x:v>
      </x:c>
    </x:row>
    <x:row r="727" ht="48" customHeight="1">
      <x:c r="A727" s="24" t="str">
        <x:v>P11-R006</x:v>
      </x:c>
      <x:c r="B727" s="24" t="str">
        <x:v>P11</x:v>
      </x:c>
      <x:c r="C727" s="26" t="n">
        <x:v>6</x:v>
      </x:c>
      <x:c r="D727" s="26" t="n">
        <x:v>49</x:v>
      </x:c>
      <x:c r="E727" s="26" t="n">
        <x:v>49</x:v>
      </x:c>
      <x:c r="F727" s="26" t="str">
        <x:v>Atmaz</x:v>
      </x:c>
      <x:c r="G727" s="26" t="n">
        <x:v>2023</x:v>
      </x:c>
      <x:c r="H727" s="25" t="str">
        <x:v>Contrarians, extrapolators, and stock market momentum and reversal</x:v>
      </x:c>
      <x:c r="I727" s="25" t="str"/>
      <x:c r="J727" s="25" t="str"/>
      <x:c r="K727" s="25" t="str">
        <x:v>automatic_screen_pass</x:v>
      </x:c>
      <x:c r="L727" s="25" t="str">
        <x:v>accepted</x:v>
      </x:c>
      <x:c r="M727" s="25" t="str">
        <x:v>no</x:v>
      </x:c>
      <x:c r="N727" s="25" t="str">
        <x:v>saki_research/published_papers/bigio_silva_zilberman_heterogeneous_beliefs_asset_prices_business_cycles.pdf</x:v>
      </x:c>
      <x:c r="O727" s="25" t="str">
        <x:v>Atmaz, Adem, Huseyin Gulen, Stefano Cassella, and Fangcheng Ruan, “Contrarians, extrapolators, and stock market momentum and reversal,”Management Science, 2023.</x:v>
      </x:c>
    </x:row>
    <x:row r="728" ht="48" customHeight="1">
      <x:c r="A728" s="24" t="str">
        <x:v>P11-R007</x:v>
      </x:c>
      <x:c r="B728" s="24" t="str">
        <x:v>P11</x:v>
      </x:c>
      <x:c r="C728" s="26" t="n">
        <x:v>7</x:v>
      </x:c>
      <x:c r="D728" s="26" t="n">
        <x:v>49</x:v>
      </x:c>
      <x:c r="E728" s="26" t="n">
        <x:v>49</x:v>
      </x:c>
      <x:c r="F728" s="26" t="str">
        <x:v>Bansal</x:v>
      </x:c>
      <x:c r="G728" s="26" t="n">
        <x:v>2004</x:v>
      </x:c>
      <x:c r="H728" s="25" t="str">
        <x:v>Risks for the long run: A potential resolution of asset pricing puzzles</x:v>
      </x:c>
      <x:c r="I728" s="25" t="str"/>
      <x:c r="J728" s="25" t="str"/>
      <x:c r="K728" s="25" t="str">
        <x:v>automatic_screen_pass</x:v>
      </x:c>
      <x:c r="L728" s="25" t="str">
        <x:v>accepted</x:v>
      </x:c>
      <x:c r="M728" s="25" t="str">
        <x:v>no</x:v>
      </x:c>
      <x:c r="N728" s="25" t="str">
        <x:v>saki_research/published_papers/bigio_silva_zilberman_heterogeneous_beliefs_asset_prices_business_cycles.pdf</x:v>
      </x:c>
      <x:c r="O728" s="25" t="str">
        <x:v>Bansal, Ravi and Amir Yaron, “Risks for the long run: A potential resolution of asset pricing puzzles,”The journal of Finance, 2004, 59 (4), 1481–1509.</x:v>
      </x:c>
    </x:row>
    <x:row r="729" ht="48" customHeight="1">
      <x:c r="A729" s="24" t="str">
        <x:v>P11-R008</x:v>
      </x:c>
      <x:c r="B729" s="24" t="str">
        <x:v>P11</x:v>
      </x:c>
      <x:c r="C729" s="26" t="n">
        <x:v>8</x:v>
      </x:c>
      <x:c r="D729" s="26" t="n">
        <x:v>49</x:v>
      </x:c>
      <x:c r="E729" s="26" t="n">
        <x:v>49</x:v>
      </x:c>
      <x:c r="F729" s="26" t="str">
        <x:v>Barlevy</x:v>
      </x:c>
      <x:c r="G729" s="26" t="n">
        <x:v>2014</x:v>
      </x:c>
      <x:c r="H729" s="25" t="str">
        <x:v>A Leverage-Based Model of Speculative Bubbles</x:v>
      </x:c>
      <x:c r="I729" s="25" t="str"/>
      <x:c r="J729" s="25" t="str"/>
      <x:c r="K729" s="25" t="str">
        <x:v>automatic_screen_pass</x:v>
      </x:c>
      <x:c r="L729" s="25" t="str">
        <x:v>accepted</x:v>
      </x:c>
      <x:c r="M729" s="25" t="str">
        <x:v>no</x:v>
      </x:c>
      <x:c r="N729" s="25" t="str">
        <x:v>saki_research/published_papers/bigio_silva_zilberman_heterogeneous_beliefs_asset_prices_business_cycles.pdf</x:v>
      </x:c>
      <x:c r="O729" s="25" t="str">
        <x:v>Barlevy, Gadi, “A Leverage-Based Model of Speculative Bubbles,” Journal of Economic Theory, 2014,153, 459–505.</x:v>
      </x:c>
    </x:row>
    <x:row r="730" ht="48" customHeight="1">
      <x:c r="A730" s="24" t="str">
        <x:v>P11-R009</x:v>
      </x:c>
      <x:c r="B730" s="24" t="str">
        <x:v>P11</x:v>
      </x:c>
      <x:c r="C730" s="26" t="n">
        <x:v>9</x:v>
      </x:c>
      <x:c r="D730" s="26" t="n">
        <x:v>49</x:v>
      </x:c>
      <x:c r="E730" s="26" t="n">
        <x:v>49</x:v>
      </x:c>
      <x:c r="F730" s="26" t="str">
        <x:v>Barlevy</x:v>
      </x:c>
      <x:c r="G730" s="26" t="n">
        <x:v>2022</x:v>
      </x:c>
      <x:c r="H730" s="25" t="str">
        <x:v>On Speculative Frenzies and Stabilization Policy</x:v>
      </x:c>
      <x:c r="I730" s="25" t="str">
        <x:v>inherited_author_notation</x:v>
      </x:c>
      <x:c r="J730" s="25" t="str">
        <x:v>exhaustive_ai_audit_2026-09-17</x:v>
      </x:c>
      <x:c r="K730" s="25" t="str">
        <x:v>exhaustive_visual_correction</x:v>
      </x:c>
      <x:c r="L730" s="25" t="str">
        <x:v>corrected</x:v>
      </x:c>
      <x:c r="M730" s="25" t="str">
        <x:v>no</x:v>
      </x:c>
      <x:c r="N730" s="25" t="str">
        <x:v>saki_research/published_papers/bigio_silva_zilberman_heterogeneous_beliefs_asset_prices_business_cycles.pdf</x:v>
      </x:c>
      <x:c r="O730" s="25" t="str">
        <x:v>, “On Speculative Frenzies and Stabilization Policy,” Working Paper 2022-35, Federal Reserve Bank of Chicago 2022.</x:v>
      </x:c>
    </x:row>
    <x:row r="731" ht="48" customHeight="1">
      <x:c r="A731" s="24" t="str">
        <x:v>P11-R010</x:v>
      </x:c>
      <x:c r="B731" s="24" t="str">
        <x:v>P11</x:v>
      </x:c>
      <x:c r="C731" s="26" t="n">
        <x:v>10</x:v>
      </x:c>
      <x:c r="D731" s="26" t="n">
        <x:v>49</x:v>
      </x:c>
      <x:c r="E731" s="26" t="n">
        <x:v>49</x:v>
      </x:c>
      <x:c r="F731" s="26" t="str">
        <x:v>Belo</x:v>
      </x:c>
      <x:c r="G731" s="26" t="n">
        <x:v>2023</x:v>
      </x:c>
      <x:c r="H731" s="25" t="str">
        <x:v>What drives firms’ hiring decisions? An asset pricing perspective</x:v>
      </x:c>
      <x:c r="I731" s="25" t="str"/>
      <x:c r="J731" s="25" t="str"/>
      <x:c r="K731" s="25" t="str">
        <x:v>prior_manual_sample</x:v>
      </x:c>
      <x:c r="L731" s="25" t="str">
        <x:v>accepted</x:v>
      </x:c>
      <x:c r="M731" s="25" t="str">
        <x:v>no</x:v>
      </x:c>
      <x:c r="N731" s="25" t="str">
        <x:v>saki_research/published_papers/bigio_silva_zilberman_heterogeneous_beliefs_asset_prices_business_cycles.pdf</x:v>
      </x:c>
      <x:c r="O731" s="25" t="str">
        <x:v>Belo, Frederico, Andres Donangelo, Xiaoji Lin, and Ding Luo, “What drives firms’ hiring decisions? An asset pricing perspective,” The Review of Financial Studies, 2023, 36 (9), 3825–3860.</x:v>
      </x:c>
    </x:row>
    <x:row r="732" ht="48" customHeight="1">
      <x:c r="A732" s="24" t="str">
        <x:v>P11-R011</x:v>
      </x:c>
      <x:c r="B732" s="24" t="str">
        <x:v>P11</x:v>
      </x:c>
      <x:c r="C732" s="26" t="n">
        <x:v>11</x:v>
      </x:c>
      <x:c r="D732" s="26" t="n">
        <x:v>49</x:v>
      </x:c>
      <x:c r="E732" s="26" t="n">
        <x:v>49</x:v>
      </x:c>
      <x:c r="F732" s="26" t="str">
        <x:v>Belo</x:v>
      </x:c>
      <x:c r="G732" s="26" t="n">
        <x:v>2014</x:v>
      </x:c>
      <x:c r="H732" s="25" t="str">
        <x:v>Laborhiring,investment,andstockreturnpredictability in the cross section</x:v>
      </x:c>
      <x:c r="I732" s="25" t="str">
        <x:v>inherited_author_notation</x:v>
      </x:c>
      <x:c r="J732" s="25" t="str"/>
      <x:c r="K732" s="25" t="str">
        <x:v>automatic_screen_pass</x:v>
      </x:c>
      <x:c r="L732" s="25" t="str">
        <x:v>accepted</x:v>
      </x:c>
      <x:c r="M732" s="25" t="str">
        <x:v>no</x:v>
      </x:c>
      <x:c r="N732" s="25" t="str">
        <x:v>saki_research/published_papers/bigio_silva_zilberman_heterogeneous_beliefs_asset_prices_business_cycles.pdf</x:v>
      </x:c>
      <x:c r="O732" s="25" t="str">
        <x:v>XiaojiLin,andSantiagoBazdresch,“Laborhiring,investment,andstockreturnpredictability in the cross section,”Journal of Political Economy, 2014,122 (1), 129–177.</x:v>
      </x:c>
    </x:row>
    <x:row r="733" ht="48" customHeight="1">
      <x:c r="A733" s="24" t="str">
        <x:v>P11-R012</x:v>
      </x:c>
      <x:c r="B733" s="24" t="str">
        <x:v>P11</x:v>
      </x:c>
      <x:c r="C733" s="26" t="n">
        <x:v>12</x:v>
      </x:c>
      <x:c r="D733" s="26" t="n">
        <x:v>49</x:v>
      </x:c>
      <x:c r="E733" s="26" t="n">
        <x:v>49</x:v>
      </x:c>
      <x:c r="F733" s="26" t="str">
        <x:v>Bhandari</x:v>
      </x:c>
      <x:c r="G733" s="26" t="n">
        <x:v>2019</x:v>
      </x:c>
      <x:c r="H733" s="25" t="str">
        <x:v>Survey Data and Subjective Beliefs in Business Cycle Models</x:v>
      </x:c>
      <x:c r="I733" s="25" t="str"/>
      <x:c r="J733" s="25" t="str"/>
      <x:c r="K733" s="25" t="str">
        <x:v>automatic_screen_pass</x:v>
      </x:c>
      <x:c r="L733" s="25" t="str">
        <x:v>accepted</x:v>
      </x:c>
      <x:c r="M733" s="25" t="str">
        <x:v>no</x:v>
      </x:c>
      <x:c r="N733" s="25" t="str">
        <x:v>saki_research/published_papers/bigio_silva_zilberman_heterogeneous_beliefs_asset_prices_business_cycles.pdf</x:v>
      </x:c>
      <x:c r="O733" s="25" t="str">
        <x:v>Bhandari, Anmol, Boroviˇcka, and Paul Ho, “Survey Data and Subjective Beliefs in Business Cycle Models,” 2019. Working Paper.</x:v>
      </x:c>
    </x:row>
    <x:row r="734" ht="48" customHeight="1">
      <x:c r="A734" s="24" t="str">
        <x:v>P11-R013</x:v>
      </x:c>
      <x:c r="B734" s="24" t="str">
        <x:v>P11</x:v>
      </x:c>
      <x:c r="C734" s="26" t="n">
        <x:v>13</x:v>
      </x:c>
      <x:c r="D734" s="26" t="n">
        <x:v>49</x:v>
      </x:c>
      <x:c r="E734" s="26" t="n">
        <x:v>49</x:v>
      </x:c>
      <x:c r="F734" s="26" t="str">
        <x:v>Bianchi</x:v>
      </x:c>
      <x:c r="G734" s="26" t="n">
        <x:v>2024</x:v>
      </x:c>
      <x:c r="H734" s="25" t="str">
        <x:v>Diagnosticbusinesscycles</x:v>
      </x:c>
      <x:c r="I734" s="25" t="str"/>
      <x:c r="J734" s="25" t="str"/>
      <x:c r="K734" s="25" t="str">
        <x:v>automatic_screen_pass</x:v>
      </x:c>
      <x:c r="L734" s="25" t="str">
        <x:v>accepted</x:v>
      </x:c>
      <x:c r="M734" s="25" t="str">
        <x:v>no</x:v>
      </x:c>
      <x:c r="N734" s="25" t="str">
        <x:v>saki_research/published_papers/bigio_silva_zilberman_heterogeneous_beliefs_asset_prices_business_cycles.pdf</x:v>
      </x:c>
      <x:c r="O734" s="25" t="str">
        <x:v>Bianchi,Francesco,CosminIlut,andHikaruSaijo,“Diagnosticbusinesscycles,”Review of Economic Studies, 2024,91 (1), 129–162.</x:v>
      </x:c>
    </x:row>
    <x:row r="735" ht="48" customHeight="1">
      <x:c r="A735" s="24" t="str">
        <x:v>P11-R014</x:v>
      </x:c>
      <x:c r="B735" s="24" t="str">
        <x:v>P11</x:v>
      </x:c>
      <x:c r="C735" s="26" t="n">
        <x:v>14</x:v>
      </x:c>
      <x:c r="D735" s="26" t="n">
        <x:v>49</x:v>
      </x:c>
      <x:c r="E735" s="26" t="n">
        <x:v>49</x:v>
      </x:c>
      <x:c r="F735" s="26" t="str">
        <x:v>Binsbergen</x:v>
      </x:c>
      <x:c r="G735" s="26" t="n">
        <x:v>2012</x:v>
      </x:c>
      <x:c r="H735" s="25" t="str">
        <x:v>The term structure of interest rates in a DSGE model with recursive preferences</x:v>
      </x:c>
      <x:c r="I735" s="25" t="str"/>
      <x:c r="J735" s="25" t="str"/>
      <x:c r="K735" s="25" t="str">
        <x:v>prior_manual_sample</x:v>
      </x:c>
      <x:c r="L735" s="25" t="str">
        <x:v>accepted</x:v>
      </x:c>
      <x:c r="M735" s="25" t="str">
        <x:v>no</x:v>
      </x:c>
      <x:c r="N735" s="25" t="str">
        <x:v>saki_research/published_papers/bigio_silva_zilberman_heterogeneous_beliefs_asset_prices_business_cycles.pdf</x:v>
      </x:c>
      <x:c r="O735" s="25" t="str">
        <x:v>Binsbergen, Jules H Van, Jesús Fernández-Villaverde, Ralph SJ Koijen, and Juan Rubio-Ramírez, “The term structure of interest rates in a DSGE model with recursive preferences,”Journal of Monetary Economics, 2012,59 (7), 634–648.</x:v>
      </x:c>
    </x:row>
    <x:row r="736" ht="48" customHeight="1">
      <x:c r="A736" s="24" t="str">
        <x:v>P11-R015</x:v>
      </x:c>
      <x:c r="B736" s="24" t="str">
        <x:v>P11</x:v>
      </x:c>
      <x:c r="C736" s="26" t="n">
        <x:v>15</x:v>
      </x:c>
      <x:c r="D736" s="26" t="n">
        <x:v>50</x:v>
      </x:c>
      <x:c r="E736" s="26" t="n">
        <x:v>50</x:v>
      </x:c>
      <x:c r="F736" s="26" t="str">
        <x:v>Bolton</x:v>
      </x:c>
      <x:c r="G736" s="26" t="n">
        <x:v>2006</x:v>
      </x:c>
      <x:c r="H736" s="25" t="str">
        <x:v>ExecutiveCompensationandShort- Termist Behaviour in Speculative Markets</x:v>
      </x:c>
      <x:c r="I736" s="25" t="str"/>
      <x:c r="J736" s="25" t="str"/>
      <x:c r="K736" s="25" t="str">
        <x:v>automatic_screen_pass</x:v>
      </x:c>
      <x:c r="L736" s="25" t="str">
        <x:v>accepted</x:v>
      </x:c>
      <x:c r="M736" s="25" t="str">
        <x:v>no</x:v>
      </x:c>
      <x:c r="N736" s="25" t="str">
        <x:v>saki_research/published_papers/bigio_silva_zilberman_heterogeneous_beliefs_asset_prices_business_cycles.pdf</x:v>
      </x:c>
      <x:c r="O736" s="25" t="str">
        <x:v>Bolton,Patrick,JoséScheinkman,andWeiXiong,“ExecutiveCompensationandShort- Termist Behaviour in Speculative Markets,” Review of Economic Studies, 07 2006, 73 (3), 577–610.</x:v>
      </x:c>
    </x:row>
    <x:row r="737" ht="48" customHeight="1">
      <x:c r="A737" s="24" t="str">
        <x:v>P11-R016</x:v>
      </x:c>
      <x:c r="B737" s="24" t="str">
        <x:v>P11</x:v>
      </x:c>
      <x:c r="C737" s="26" t="n">
        <x:v>16</x:v>
      </x:c>
      <x:c r="D737" s="26" t="n">
        <x:v>50</x:v>
      </x:c>
      <x:c r="E737" s="26" t="n">
        <x:v>50</x:v>
      </x:c>
      <x:c r="F737" s="26" t="str">
        <x:v>Bordalo</x:v>
      </x:c>
      <x:c r="G737" s="26" t="n">
        <x:v>2018</x:v>
      </x:c>
      <x:c r="H737" s="25" t="str">
        <x:v>Diagnostic Expectations and Credit Cycles</x:v>
      </x:c>
      <x:c r="I737" s="25" t="str"/>
      <x:c r="J737" s="25" t="str"/>
      <x:c r="K737" s="25" t="str">
        <x:v>automatic_screen_pass</x:v>
      </x:c>
      <x:c r="L737" s="25" t="str">
        <x:v>accepted</x:v>
      </x:c>
      <x:c r="M737" s="25" t="str">
        <x:v>no</x:v>
      </x:c>
      <x:c r="N737" s="25" t="str">
        <x:v>saki_research/published_papers/bigio_silva_zilberman_heterogeneous_beliefs_asset_prices_business_cycles.pdf</x:v>
      </x:c>
      <x:c r="O737" s="25" t="str">
        <x:v>Bordalo, Pedro, Nicola Gennaioli, and Andrei Shleifer, “Diagnostic Expectations and Credit Cycles,”Journal of Finance, 2018, 73 (1), 199–227.</x:v>
      </x:c>
    </x:row>
    <x:row r="738" ht="48" customHeight="1">
      <x:c r="A738" s="24" t="str">
        <x:v>P11-R017</x:v>
      </x:c>
      <x:c r="B738" s="24" t="str">
        <x:v>P11</x:v>
      </x:c>
      <x:c r="C738" s="26" t="n">
        <x:v>17</x:v>
      </x:c>
      <x:c r="D738" s="26" t="n">
        <x:v>50</x:v>
      </x:c>
      <x:c r="E738" s="26" t="n">
        <x:v>50</x:v>
      </x:c>
      <x:c r="F738" s="26" t="str">
        <x:v>Bordalo</x:v>
      </x:c>
      <x:c r="G738" s="26" t="n">
        <x:v>2018</x:v>
      </x:c>
      <x:c r="H738" s="25" t="str">
        <x:v>Diagnosticexpectationsandcreditcycles</x:v>
      </x:c>
      <x:c r="I738" s="25" t="str">
        <x:v>inherited_author_notation</x:v>
      </x:c>
      <x:c r="J738" s="25" t="str">
        <x:v>exhaustive_ai_audit_2026-09-17</x:v>
      </x:c>
      <x:c r="K738" s="25" t="str">
        <x:v>exhaustive_visual_correction</x:v>
      </x:c>
      <x:c r="L738" s="25" t="str">
        <x:v>corrected</x:v>
      </x:c>
      <x:c r="M738" s="25" t="str">
        <x:v>no</x:v>
      </x:c>
      <x:c r="N738" s="25" t="str">
        <x:v>saki_research/published_papers/bigio_silva_zilberman_heterogeneous_beliefs_asset_prices_business_cycles.pdf</x:v>
      </x:c>
      <x:c r="O738" s="25" t="str">
        <x:v>, ,and ,“Diagnosticexpectationsandcreditcycles,”TheJournalofFinance,2018,73 (1), 199–227.</x:v>
      </x:c>
    </x:row>
    <x:row r="739" ht="48" customHeight="1">
      <x:c r="A739" s="24" t="str">
        <x:v>P11-R018</x:v>
      </x:c>
      <x:c r="B739" s="24" t="str">
        <x:v>P11</x:v>
      </x:c>
      <x:c r="C739" s="26" t="n">
        <x:v>18</x:v>
      </x:c>
      <x:c r="D739" s="26" t="n">
        <x:v>50</x:v>
      </x:c>
      <x:c r="E739" s="26" t="n">
        <x:v>50</x:v>
      </x:c>
      <x:c r="F739" s="26" t="str">
        <x:v>Bordalo</x:v>
      </x:c>
      <x:c r="G739" s="26" t="n">
        <x:v>2020</x:v>
      </x:c>
      <x:c r="H739" s="25" t="str">
        <x:v>Expectations of fundamentals and stock market puzzles</x:v>
      </x:c>
      <x:c r="I739" s="25" t="str">
        <x:v>inherited_author_notation</x:v>
      </x:c>
      <x:c r="J739" s="25" t="str">
        <x:v>local_citation_grammar_v3; exhaustive_ai_audit_2026-09-17</x:v>
      </x:c>
      <x:c r="K739" s="25" t="str">
        <x:v>exhaustive_visual_correction</x:v>
      </x:c>
      <x:c r="L739" s="25" t="str">
        <x:v>corrected</x:v>
      </x:c>
      <x:c r="M739" s="25" t="str">
        <x:v>no</x:v>
      </x:c>
      <x:c r="N739" s="25" t="str">
        <x:v>saki_research/published_papers/bigio_silva_zilberman_heterogeneous_beliefs_asset_prices_business_cycles.pdf</x:v>
      </x:c>
      <x:c r="O739" s="25" t="str">
        <x:v>, , Rafael La Porta, and Andrei Shleifer, Expectations of fundamentals and stock market puzzles2020.</x:v>
      </x:c>
    </x:row>
    <x:row r="740" ht="48" customHeight="1">
      <x:c r="A740" s="24" t="str">
        <x:v>P11-R019</x:v>
      </x:c>
      <x:c r="B740" s="24" t="str">
        <x:v>P11</x:v>
      </x:c>
      <x:c r="C740" s="26" t="n">
        <x:v>19</x:v>
      </x:c>
      <x:c r="D740" s="26" t="n">
        <x:v>50</x:v>
      </x:c>
      <x:c r="E740" s="26" t="n">
        <x:v>50</x:v>
      </x:c>
      <x:c r="F740" s="26" t="str">
        <x:v>Bordalo</x:v>
      </x:c>
      <x:c r="G740" s="26" t="n">
        <x:v>2020</x:v>
      </x:c>
      <x:c r="H740" s="25" t="str">
        <x:v>Overreaction in macroeconomic expectations</x:v>
      </x:c>
      <x:c r="I740" s="25" t="str">
        <x:v>inherited_author_notation</x:v>
      </x:c>
      <x:c r="J740" s="25" t="str">
        <x:v>exhaustive_ai_audit_2026-09-17</x:v>
      </x:c>
      <x:c r="K740" s="25" t="str">
        <x:v>exhaustive_visual_correction</x:v>
      </x:c>
      <x:c r="L740" s="25" t="str">
        <x:v>corrected</x:v>
      </x:c>
      <x:c r="M740" s="25" t="str">
        <x:v>no</x:v>
      </x:c>
      <x:c r="N740" s="25" t="str">
        <x:v>saki_research/published_papers/bigio_silva_zilberman_heterogeneous_beliefs_asset_prices_business_cycles.pdf</x:v>
      </x:c>
      <x:c r="O740" s="25" t="str">
        <x:v>, , Yueran Ma, and Andrei Shleifer, “Overreaction in macroeconomic expectations,” American Economic Review, 2020, 110(9), 2748–2782.</x:v>
      </x:c>
    </x:row>
    <x:row r="741" ht="48" customHeight="1">
      <x:c r="A741" s="24" t="str">
        <x:v>P11-R020</x:v>
      </x:c>
      <x:c r="B741" s="24" t="str">
        <x:v>P11</x:v>
      </x:c>
      <x:c r="C741" s="26" t="n">
        <x:v>20</x:v>
      </x:c>
      <x:c r="D741" s="26" t="n">
        <x:v>50</x:v>
      </x:c>
      <x:c r="E741" s="26" t="n">
        <x:v>50</x:v>
      </x:c>
      <x:c r="F741" s="26" t="str">
        <x:v>Borovička</x:v>
      </x:c>
      <x:c r="G741" s="26" t="n">
        <x:v>2019</x:v>
      </x:c>
      <x:c r="H741" s="25" t="str">
        <x:v>Risk Premia and Unemployment Fluctuations</x:v>
      </x:c>
      <x:c r="I741" s="25" t="str"/>
      <x:c r="J741" s="25" t="str">
        <x:v>exhaustive_ai_audit_2026-09-17</x:v>
      </x:c>
      <x:c r="K741" s="25" t="str">
        <x:v>exhaustive_visual_correction</x:v>
      </x:c>
      <x:c r="L741" s="25" t="str">
        <x:v>corrected</x:v>
      </x:c>
      <x:c r="M741" s="25" t="str">
        <x:v>no</x:v>
      </x:c>
      <x:c r="N741" s="25" t="str">
        <x:v>saki_research/published_papers/bigio_silva_zilberman_heterogeneous_beliefs_asset_prices_business_cycles.pdf</x:v>
      </x:c>
      <x:c r="O741" s="25" t="str">
        <x:v>Boroviˇcka, Jaroslav and Katarína Boroviˇcková, “Risk Premia and Unemployment Fluctuations,” 2019. Working Paper.</x:v>
      </x:c>
    </x:row>
    <x:row r="742" ht="48" customHeight="1">
      <x:c r="A742" s="24" t="str">
        <x:v>P11-R021</x:v>
      </x:c>
      <x:c r="B742" s="24" t="str">
        <x:v>P11</x:v>
      </x:c>
      <x:c r="C742" s="26" t="n">
        <x:v>21</x:v>
      </x:c>
      <x:c r="D742" s="26" t="n">
        <x:v>50</x:v>
      </x:c>
      <x:c r="E742" s="26" t="n">
        <x:v>50</x:v>
      </x:c>
      <x:c r="F742" s="26" t="str">
        <x:v>Brunnermeier</x:v>
      </x:c>
      <x:c r="G742" s="26" t="n">
        <x:v>2014</x:v>
      </x:c>
      <x:c r="H742" s="25" t="str">
        <x:v>A macroeconomic model with a financial sector</x:v>
      </x:c>
      <x:c r="I742" s="25" t="str"/>
      <x:c r="J742" s="25" t="str"/>
      <x:c r="K742" s="25" t="str">
        <x:v>automatic_screen_pass</x:v>
      </x:c>
      <x:c r="L742" s="25" t="str">
        <x:v>accepted</x:v>
      </x:c>
      <x:c r="M742" s="25" t="str">
        <x:v>no</x:v>
      </x:c>
      <x:c r="N742" s="25" t="str">
        <x:v>saki_research/published_papers/bigio_silva_zilberman_heterogeneous_beliefs_asset_prices_business_cycles.pdf</x:v>
      </x:c>
      <x:c r="O742" s="25" t="str">
        <x:v>Brunnermeier, Markus K and Yuliy Sannikov, “A macroeconomic model with a financial sector,”American Economic Review, 2014, 104(2), 379–421.</x:v>
      </x:c>
    </x:row>
    <x:row r="743" ht="48" customHeight="1">
      <x:c r="A743" s="24" t="str">
        <x:v>P11-R022</x:v>
      </x:c>
      <x:c r="B743" s="24" t="str">
        <x:v>P11</x:v>
      </x:c>
      <x:c r="C743" s="26" t="n">
        <x:v>22</x:v>
      </x:c>
      <x:c r="D743" s="26" t="n">
        <x:v>50</x:v>
      </x:c>
      <x:c r="E743" s="26" t="n">
        <x:v>50</x:v>
      </x:c>
      <x:c r="F743" s="26" t="str">
        <x:v>Buss</x:v>
      </x:c>
      <x:c r="G743" s="26" t="n">
        <x:v>2016</x:v>
      </x:c>
      <x:c r="H743" s="25" t="str">
        <x:v>The Intended and Unintended Consequences of Financial-market Regulations: A General-equilibrium Analysis</x:v>
      </x:c>
      <x:c r="I743" s="25" t="str"/>
      <x:c r="J743" s="25" t="str"/>
      <x:c r="K743" s="25" t="str">
        <x:v>prior_manual_sample</x:v>
      </x:c>
      <x:c r="L743" s="25" t="str">
        <x:v>accepted</x:v>
      </x:c>
      <x:c r="M743" s="25" t="str">
        <x:v>no</x:v>
      </x:c>
      <x:c r="N743" s="25" t="str">
        <x:v>saki_research/published_papers/bigio_silva_zilberman_heterogeneous_beliefs_asset_prices_business_cycles.pdf</x:v>
      </x:c>
      <x:c r="O743" s="25" t="str">
        <x:v>Buss, Adrian, Bernard Dumas, Raman Uppal, and Grigory Vilkov, “The Intended and Unintended Consequences of Financial-market Regulations: A General-equilibrium Analysis,”Journal of Monetary Economics, 2016, 81, 25–43.</x:v>
      </x:c>
    </x:row>
    <x:row r="744" ht="48" customHeight="1">
      <x:c r="A744" s="24" t="str">
        <x:v>P11-R023</x:v>
      </x:c>
      <x:c r="B744" s="24" t="str">
        <x:v>P11</x:v>
      </x:c>
      <x:c r="C744" s="26" t="n">
        <x:v>23</x:v>
      </x:c>
      <x:c r="D744" s="26" t="n">
        <x:v>50</x:v>
      </x:c>
      <x:c r="E744" s="26" t="n">
        <x:v>50</x:v>
      </x:c>
      <x:c r="F744" s="26" t="str">
        <x:v>Caballero</x:v>
      </x:c>
      <x:c r="G744" s="26" t="n">
        <x:v>2020</x:v>
      </x:c>
      <x:c r="H744" s="25" t="str">
        <x:v>A Risk-Centric Model of Demand Recessions and Speculation</x:v>
      </x:c>
      <x:c r="I744" s="25" t="str"/>
      <x:c r="J744" s="25" t="str"/>
      <x:c r="K744" s="25" t="str">
        <x:v>automatic_screen_pass</x:v>
      </x:c>
      <x:c r="L744" s="25" t="str">
        <x:v>accepted</x:v>
      </x:c>
      <x:c r="M744" s="25" t="str">
        <x:v>no</x:v>
      </x:c>
      <x:c r="N744" s="25" t="str">
        <x:v>saki_research/published_papers/bigio_silva_zilberman_heterogeneous_beliefs_asset_prices_business_cycles.pdf</x:v>
      </x:c>
      <x:c r="O744" s="25" t="str">
        <x:v>Caballero, Ricardo J. and Alp Simsek, “A Risk-Centric Model of Demand Recessions and Speculation,”Quarterly Journal of Economics, 2020,135 (3), 1493–1566.</x:v>
      </x:c>
    </x:row>
    <x:row r="745" ht="48" customHeight="1">
      <x:c r="A745" s="24" t="str">
        <x:v>P11-R024</x:v>
      </x:c>
      <x:c r="B745" s="24" t="str">
        <x:v>P11</x:v>
      </x:c>
      <x:c r="C745" s="26" t="n">
        <x:v>24</x:v>
      </x:c>
      <x:c r="D745" s="26" t="n">
        <x:v>50</x:v>
      </x:c>
      <x:c r="E745" s="26" t="n">
        <x:v>50</x:v>
      </x:c>
      <x:c r="F745" s="26" t="str">
        <x:v>Caballero</x:v>
      </x:c>
      <x:c r="G745" s="26" t="n">
        <x:v>2020</x:v>
      </x:c>
      <x:c r="H745" s="25" t="str">
        <x:v>Prudential Monetary Policy</x:v>
      </x:c>
      <x:c r="I745" s="25" t="str">
        <x:v>inherited_author_notation</x:v>
      </x:c>
      <x:c r="J745" s="25" t="str"/>
      <x:c r="K745" s="25" t="str">
        <x:v>automatic_screen_pass</x:v>
      </x:c>
      <x:c r="L745" s="25" t="str">
        <x:v>accepted</x:v>
      </x:c>
      <x:c r="M745" s="25" t="str">
        <x:v>no</x:v>
      </x:c>
      <x:c r="N745" s="25" t="str">
        <x:v>saki_research/published_papers/bigio_silva_zilberman_heterogeneous_beliefs_asset_prices_business_cycles.pdf</x:v>
      </x:c>
      <x:c r="O745" s="25" t="str">
        <x:v>and , “Prudential Monetary Policy,” 2020. Working Paper.</x:v>
      </x:c>
    </x:row>
    <x:row r="746" ht="48" customHeight="1">
      <x:c r="A746" s="24" t="str">
        <x:v>P11-R025</x:v>
      </x:c>
      <x:c r="B746" s="24" t="str">
        <x:v>P11</x:v>
      </x:c>
      <x:c r="C746" s="26" t="n">
        <x:v>25</x:v>
      </x:c>
      <x:c r="D746" s="26" t="n">
        <x:v>50</x:v>
      </x:c>
      <x:c r="E746" s="26" t="n">
        <x:v>50</x:v>
      </x:c>
      <x:c r="F746" s="26" t="str">
        <x:v>Caldara</x:v>
      </x:c>
      <x:c r="G746" s="26" t="n">
        <x:v>2012</x:v>
      </x:c>
      <x:c r="H746" s="25" t="str">
        <x:v>ComputingDSGEmodelswithrecursivepreferencesandstochasticvolatility</x:v>
      </x:c>
      <x:c r="I746" s="25" t="str"/>
      <x:c r="J746" s="25" t="str"/>
      <x:c r="K746" s="25" t="str">
        <x:v>automatic_screen_pass</x:v>
      </x:c>
      <x:c r="L746" s="25" t="str">
        <x:v>accepted</x:v>
      </x:c>
      <x:c r="M746" s="25" t="str">
        <x:v>no</x:v>
      </x:c>
      <x:c r="N746" s="25" t="str">
        <x:v>saki_research/published_papers/bigio_silva_zilberman_heterogeneous_beliefs_asset_prices_business_cycles.pdf</x:v>
      </x:c>
      <x:c r="O746" s="25" t="str">
        <x:v>Caldara, Dario, Jesus Fernandez-Villaverde, Juan F Rubio-Ramirez, and Wen Yao, “ComputingDSGEmodelswithrecursivepreferencesandstochasticvolatility,”Review of Economic Dynamics, 2012,15 (2), 188–206.</x:v>
      </x:c>
    </x:row>
    <x:row r="747" ht="48" customHeight="1">
      <x:c r="A747" s="24" t="str">
        <x:v>P11-R026</x:v>
      </x:c>
      <x:c r="B747" s="24" t="str">
        <x:v>P11</x:v>
      </x:c>
      <x:c r="C747" s="26" t="n">
        <x:v>26</x:v>
      </x:c>
      <x:c r="D747" s="26" t="n">
        <x:v>50</x:v>
      </x:c>
      <x:c r="E747" s="26" t="n">
        <x:v>50</x:v>
      </x:c>
      <x:c r="F747" s="26" t="str">
        <x:v>Campbell</x:v>
      </x:c>
      <x:c r="G747" s="26" t="n">
        <x:v>2003</x:v>
      </x:c>
      <x:c r="H747" s="25" t="str">
        <x:v>Consumption-based asset pricing</x:v>
      </x:c>
      <x:c r="I747" s="25" t="str"/>
      <x:c r="J747" s="25" t="str"/>
      <x:c r="K747" s="25" t="str">
        <x:v>automatic_screen_pass</x:v>
      </x:c>
      <x:c r="L747" s="25" t="str">
        <x:v>accepted</x:v>
      </x:c>
      <x:c r="M747" s="25" t="str">
        <x:v>no</x:v>
      </x:c>
      <x:c r="N747" s="25" t="str">
        <x:v>saki_research/published_papers/bigio_silva_zilberman_heterogeneous_beliefs_asset_prices_business_cycles.pdf</x:v>
      </x:c>
      <x:c r="O747" s="25" t="str">
        <x:v>Campbell, John Y, “Consumption-based asset pricing,” Handbook of the Economics of Finance, 2003, 1, 803–887.</x:v>
      </x:c>
    </x:row>
    <x:row r="748" ht="48" customHeight="1">
      <x:c r="A748" s="24" t="str">
        <x:v>P11-R027</x:v>
      </x:c>
      <x:c r="B748" s="24" t="str">
        <x:v>P11</x:v>
      </x:c>
      <x:c r="C748" s="26" t="n">
        <x:v>27</x:v>
      </x:c>
      <x:c r="D748" s="26" t="n">
        <x:v>50</x:v>
      </x:c>
      <x:c r="E748" s="26" t="n">
        <x:v>50</x:v>
      </x:c>
      <x:c r="F748" s="26" t="str">
        <x:v>Caramp</x:v>
      </x:c>
      <x:c r="G748" s="26" t="n">
        <x:v>2024</x:v>
      </x:c>
      <x:c r="H748" s="25" t="str">
        <x:v>Monetary policy and wealth effects: The role of risk and heterogeneity</x:v>
      </x:c>
      <x:c r="I748" s="25" t="str"/>
      <x:c r="J748" s="25" t="str"/>
      <x:c r="K748" s="25" t="str">
        <x:v>automatic_screen_pass</x:v>
      </x:c>
      <x:c r="L748" s="25" t="str">
        <x:v>accepted</x:v>
      </x:c>
      <x:c r="M748" s="25" t="str">
        <x:v>no</x:v>
      </x:c>
      <x:c r="N748" s="25" t="str">
        <x:v>saki_research/published_papers/bigio_silva_zilberman_heterogeneous_beliefs_asset_prices_business_cycles.pdf</x:v>
      </x:c>
      <x:c r="O748" s="25" t="str">
        <x:v>Caramp, Nicolas and Dejanir H Silva, “Monetary policy and wealth effects: The role of risk and heterogeneity,” Technical Report, CESifo 2024.</x:v>
      </x:c>
    </x:row>
    <x:row r="749" ht="48" customHeight="1">
      <x:c r="A749" s="24" t="str">
        <x:v>P11-R028</x:v>
      </x:c>
      <x:c r="B749" s="24" t="str">
        <x:v>P11</x:v>
      </x:c>
      <x:c r="C749" s="26" t="n">
        <x:v>28</x:v>
      </x:c>
      <x:c r="D749" s="26" t="n">
        <x:v>50</x:v>
      </x:c>
      <x:c r="E749" s="26" t="n">
        <x:v>50</x:v>
      </x:c>
      <x:c r="F749" s="26" t="str">
        <x:v>Chen</x:v>
      </x:c>
      <x:c r="G749" s="26" t="n">
        <x:v>2012</x:v>
      </x:c>
      <x:c r="H749" s="25" t="str">
        <x:v>Rare disasters and risk sharing with heterogeneous beliefs</x:v>
      </x:c>
      <x:c r="I749" s="25" t="str"/>
      <x:c r="J749" s="25" t="str"/>
      <x:c r="K749" s="25" t="str">
        <x:v>automatic_screen_pass</x:v>
      </x:c>
      <x:c r="L749" s="25" t="str">
        <x:v>accepted</x:v>
      </x:c>
      <x:c r="M749" s="25" t="str">
        <x:v>no</x:v>
      </x:c>
      <x:c r="N749" s="25" t="str">
        <x:v>saki_research/published_papers/bigio_silva_zilberman_heterogeneous_beliefs_asset_prices_business_cycles.pdf</x:v>
      </x:c>
      <x:c r="O749" s="25" t="str">
        <x:v>Chen, Hui, Scott Joslin, and Ngoc-Khanh Tran, “Rare disasters and risk sharing with heterogeneous beliefs,”The Review of Financial Studies, 2012,25 (7), 2189–2224.</x:v>
      </x:c>
    </x:row>
    <x:row r="750" ht="48" customHeight="1">
      <x:c r="A750" s="24" t="str">
        <x:v>P11-R029</x:v>
      </x:c>
      <x:c r="B750" s="24" t="str">
        <x:v>P11</x:v>
      </x:c>
      <x:c r="C750" s="26" t="n">
        <x:v>29</x:v>
      </x:c>
      <x:c r="D750" s="26" t="n">
        <x:v>50</x:v>
      </x:c>
      <x:c r="E750" s="26" t="n">
        <x:v>50</x:v>
      </x:c>
      <x:c r="F750" s="26" t="str">
        <x:v>Cochrane</x:v>
      </x:c>
      <x:c r="G750" s="26" t="n">
        <x:v>1992</x:v>
      </x:c>
      <x:c r="H750" s="25" t="str">
        <x:v>Explaining the variance of price–dividend ratios</x:v>
      </x:c>
      <x:c r="I750" s="25" t="str"/>
      <x:c r="J750" s="25" t="str"/>
      <x:c r="K750" s="25" t="str">
        <x:v>automatic_screen_pass</x:v>
      </x:c>
      <x:c r="L750" s="25" t="str">
        <x:v>accepted</x:v>
      </x:c>
      <x:c r="M750" s="25" t="str">
        <x:v>no</x:v>
      </x:c>
      <x:c r="N750" s="25" t="str">
        <x:v>saki_research/published_papers/bigio_silva_zilberman_heterogeneous_beliefs_asset_prices_business_cycles.pdf</x:v>
      </x:c>
      <x:c r="O750" s="25" t="str">
        <x:v>Cochrane, John H, “Explaining the variance of price–dividend ratios,” The Review of Financial Studies, 1992, 5(2), 243–280.</x:v>
      </x:c>
    </x:row>
    <x:row r="751" ht="48" customHeight="1">
      <x:c r="A751" s="24" t="str">
        <x:v>P11-R030</x:v>
      </x:c>
      <x:c r="B751" s="24" t="str">
        <x:v>P11</x:v>
      </x:c>
      <x:c r="C751" s="26" t="n">
        <x:v>30</x:v>
      </x:c>
      <x:c r="D751" s="26" t="n">
        <x:v>50</x:v>
      </x:c>
      <x:c r="E751" s="26" t="n">
        <x:v>50</x:v>
      </x:c>
      <x:c r="F751" s="26" t="str">
        <x:v>Cochrane</x:v>
      </x:c>
      <x:c r="G751" s="26" t="n">
        <x:v>2008</x:v>
      </x:c>
      <x:c r="H751" s="25" t="str">
        <x:v>The Dog That Did Not Bark: A Defense of Return Predictability</x:v>
      </x:c>
      <x:c r="I751" s="25" t="str"/>
      <x:c r="J751" s="25" t="str"/>
      <x:c r="K751" s="25" t="str">
        <x:v>automatic_screen_pass</x:v>
      </x:c>
      <x:c r="L751" s="25" t="str">
        <x:v>accepted</x:v>
      </x:c>
      <x:c r="M751" s="25" t="str">
        <x:v>no</x:v>
      </x:c>
      <x:c r="N751" s="25" t="str">
        <x:v>saki_research/published_papers/bigio_silva_zilberman_heterogeneous_beliefs_asset_prices_business_cycles.pdf</x:v>
      </x:c>
      <x:c r="O751" s="25" t="str">
        <x:v>Cochrane, John H., “The Dog That Did Not Bark: A Defense of Return Predictability,” The Review of Financial Studies, 2008,21 (4), 1533–1575.</x:v>
      </x:c>
    </x:row>
    <x:row r="752" ht="48" customHeight="1">
      <x:c r="A752" s="24" t="str">
        <x:v>P11-R031</x:v>
      </x:c>
      <x:c r="B752" s="24" t="str">
        <x:v>P11</x:v>
      </x:c>
      <x:c r="C752" s="26" t="n">
        <x:v>31</x:v>
      </x:c>
      <x:c r="D752" s="26" t="n">
        <x:v>51</x:v>
      </x:c>
      <x:c r="E752" s="26" t="n">
        <x:v>51</x:v>
      </x:c>
      <x:c r="F752" s="26" t="str">
        <x:v>Cochrane</x:v>
      </x:c>
      <x:c r="G752" s="26" t="n">
        <x:v>2011</x:v>
      </x:c>
      <x:c r="H752" s="25" t="str">
        <x:v>Presidential address: Discount rates</x:v>
      </x:c>
      <x:c r="I752" s="25" t="str"/>
      <x:c r="J752" s="25" t="str"/>
      <x:c r="K752" s="25" t="str">
        <x:v>automatic_screen_pass</x:v>
      </x:c>
      <x:c r="L752" s="25" t="str">
        <x:v>accepted</x:v>
      </x:c>
      <x:c r="M752" s="25" t="str">
        <x:v>no</x:v>
      </x:c>
      <x:c r="N752" s="25" t="str">
        <x:v>saki_research/published_papers/bigio_silva_zilberman_heterogeneous_beliefs_asset_prices_business_cycles.pdf</x:v>
      </x:c>
      <x:c r="O752" s="25" t="str">
        <x:v>Cochrane, John H, “Presidential address: Discount rates,” The Journal of finance, 2011, 66 (4), 1047–1108.</x:v>
      </x:c>
    </x:row>
    <x:row r="753" ht="48" customHeight="1">
      <x:c r="A753" s="24" t="str">
        <x:v>P11-R032</x:v>
      </x:c>
      <x:c r="B753" s="24" t="str">
        <x:v>P11</x:v>
      </x:c>
      <x:c r="C753" s="26" t="n">
        <x:v>32</x:v>
      </x:c>
      <x:c r="D753" s="26" t="n">
        <x:v>51</x:v>
      </x:c>
      <x:c r="E753" s="26" t="n">
        <x:v>51</x:v>
      </x:c>
      <x:c r="F753" s="26" t="str">
        <x:v>Cogley</x:v>
      </x:c>
      <x:c r="G753" s="26" t="n">
        <x:v>1995</x:v>
      </x:c>
      <x:c r="H753" s="25" t="str">
        <x:v>Outputdynamicsinreal-business-cyclemodels</x:v>
      </x:c>
      <x:c r="I753" s="25" t="str"/>
      <x:c r="J753" s="25" t="str"/>
      <x:c r="K753" s="25" t="str">
        <x:v>prior_manual_sample</x:v>
      </x:c>
      <x:c r="L753" s="25" t="str">
        <x:v>accepted</x:v>
      </x:c>
      <x:c r="M753" s="25" t="str">
        <x:v>no</x:v>
      </x:c>
      <x:c r="N753" s="25" t="str">
        <x:v>saki_research/published_papers/bigio_silva_zilberman_heterogeneous_beliefs_asset_prices_business_cycles.pdf</x:v>
      </x:c>
      <x:c r="O753" s="25" t="str">
        <x:v>Cogley,TimothyandJamesMNason,“Outputdynamicsinreal-business-cyclemodels,” The American Economic Review, 1995, pp. 492–511.</x:v>
      </x:c>
    </x:row>
    <x:row r="754" ht="48" customHeight="1">
      <x:c r="A754" s="24" t="str">
        <x:v>P11-R033</x:v>
      </x:c>
      <x:c r="B754" s="24" t="str">
        <x:v>P11</x:v>
      </x:c>
      <x:c r="C754" s="26" t="n">
        <x:v>33</x:v>
      </x:c>
      <x:c r="D754" s="26" t="n">
        <x:v>51</x:v>
      </x:c>
      <x:c r="E754" s="26" t="n">
        <x:v>51</x:v>
      </x:c>
      <x:c r="F754" s="26" t="str">
        <x:v>Coibion</x:v>
      </x:c>
      <x:c r="G754" s="26" t="n">
        <x:v>2015</x:v>
      </x:c>
      <x:c r="H754" s="25" t="str">
        <x:v>Information rigidity and the expectations formation process: A simple framework and new facts</x:v>
      </x:c>
      <x:c r="I754" s="25" t="str"/>
      <x:c r="J754" s="25" t="str"/>
      <x:c r="K754" s="25" t="str">
        <x:v>automatic_screen_pass</x:v>
      </x:c>
      <x:c r="L754" s="25" t="str">
        <x:v>accepted</x:v>
      </x:c>
      <x:c r="M754" s="25" t="str">
        <x:v>no</x:v>
      </x:c>
      <x:c r="N754" s="25" t="str">
        <x:v>saki_research/published_papers/bigio_silva_zilberman_heterogeneous_beliefs_asset_prices_business_cycles.pdf</x:v>
      </x:c>
      <x:c r="O754" s="25" t="str">
        <x:v>Coibion, Olivier and Yuriy Gorodnichenko, “Information rigidity and the expectations formation process: A simple framework and new facts,” American Economic Review, 2015, 105 (8), 2644–2678.</x:v>
      </x:c>
    </x:row>
    <x:row r="755" ht="48" customHeight="1">
      <x:c r="A755" s="24" t="str">
        <x:v>P11-R034</x:v>
      </x:c>
      <x:c r="B755" s="24" t="str">
        <x:v>P11</x:v>
      </x:c>
      <x:c r="C755" s="26" t="n">
        <x:v>34</x:v>
      </x:c>
      <x:c r="D755" s="26" t="n">
        <x:v>51</x:v>
      </x:c>
      <x:c r="E755" s="26" t="n">
        <x:v>51</x:v>
      </x:c>
      <x:c r="F755" s="26" t="str">
        <x:v>Cui</x:v>
      </x:c>
      <x:c r="G755" s="26" t="n">
        <x:v>2024</x:v>
      </x:c>
      <x:c r="H755" s="25" t="str">
        <x:v>The Subjective Belief Factor</x:v>
      </x:c>
      <x:c r="I755" s="25" t="str"/>
      <x:c r="J755" s="25" t="str"/>
      <x:c r="K755" s="25" t="str">
        <x:v>automatic_screen_pass</x:v>
      </x:c>
      <x:c r="L755" s="25" t="str">
        <x:v>accepted</x:v>
      </x:c>
      <x:c r="M755" s="25" t="str">
        <x:v>no</x:v>
      </x:c>
      <x:c r="N755" s="25" t="str">
        <x:v>saki_research/published_papers/bigio_silva_zilberman_heterogeneous_beliefs_asset_prices_business_cycles.pdf</x:v>
      </x:c>
      <x:c r="O755" s="25" t="str">
        <x:v>Cui, Tingyue, Ricardo De La O, and Sean Myers, “The Subjective Belief Factor,” 2024. Working paper, SSRN 5205569.</x:v>
      </x:c>
    </x:row>
    <x:row r="756" ht="48" customHeight="1">
      <x:c r="A756" s="24" t="str">
        <x:v>P11-R035</x:v>
      </x:c>
      <x:c r="B756" s="24" t="str">
        <x:v>P11</x:v>
      </x:c>
      <x:c r="C756" s="26" t="n">
        <x:v>35</x:v>
      </x:c>
      <x:c r="D756" s="26" t="n">
        <x:v>51</x:v>
      </x:c>
      <x:c r="E756" s="26" t="n">
        <x:v>51</x:v>
      </x:c>
      <x:c r="F756" s="26" t="str">
        <x:v>Danthine</x:v>
      </x:c>
      <x:c r="G756" s="26" t="n">
        <x:v>2002</x:v>
      </x:c>
      <x:c r="H756" s="25" t="str">
        <x:v>Labour relations and asset returns</x:v>
      </x:c>
      <x:c r="I756" s="25" t="str"/>
      <x:c r="J756" s="25" t="str"/>
      <x:c r="K756" s="25" t="str">
        <x:v>automatic_screen_pass</x:v>
      </x:c>
      <x:c r="L756" s="25" t="str">
        <x:v>accepted</x:v>
      </x:c>
      <x:c r="M756" s="25" t="str">
        <x:v>no</x:v>
      </x:c>
      <x:c r="N756" s="25" t="str">
        <x:v>saki_research/published_papers/bigio_silva_zilberman_heterogeneous_beliefs_asset_prices_business_cycles.pdf</x:v>
      </x:c>
      <x:c r="O756" s="25" t="str">
        <x:v>Danthine, Jean-Pierre and John B Donaldson, “Labour relations and asset returns,” The Review of Economic Studies, 2002,69 (1), 41–64.</x:v>
      </x:c>
    </x:row>
    <x:row r="757" ht="48" customHeight="1">
      <x:c r="A757" s="24" t="str">
        <x:v>P11-R036</x:v>
      </x:c>
      <x:c r="B757" s="24" t="str">
        <x:v>P11</x:v>
      </x:c>
      <x:c r="C757" s="26" t="n">
        <x:v>36</x:v>
      </x:c>
      <x:c r="D757" s="26" t="n">
        <x:v>51</x:v>
      </x:c>
      <x:c r="E757" s="26" t="n">
        <x:v>51</x:v>
      </x:c>
      <x:c r="F757" s="26" t="str">
        <x:v>Detemple</x:v>
      </x:c>
      <x:c r="G757" s="26" t="n">
        <x:v>1994</x:v>
      </x:c>
      <x:c r="H757" s="25" t="str">
        <x:v>Intertemporal Asset Pricing with Heterogeneous Beliefs</x:v>
      </x:c>
      <x:c r="I757" s="25" t="str"/>
      <x:c r="J757" s="25" t="str"/>
      <x:c r="K757" s="25" t="str">
        <x:v>prior_manual_sample</x:v>
      </x:c>
      <x:c r="L757" s="25" t="str">
        <x:v>accepted</x:v>
      </x:c>
      <x:c r="M757" s="25" t="str">
        <x:v>no</x:v>
      </x:c>
      <x:c r="N757" s="25" t="str">
        <x:v>saki_research/published_papers/bigio_silva_zilberman_heterogeneous_beliefs_asset_prices_business_cycles.pdf</x:v>
      </x:c>
      <x:c r="O757" s="25" t="str">
        <x:v>Detemple, Jerome and Shashidhar Murthy, “Intertemporal Asset Pricing with Heterogeneous Beliefs,”Journal of Economic Theory, 1994, 62 (2), 294 – 320.</x:v>
      </x:c>
    </x:row>
    <x:row r="758" ht="48" customHeight="1">
      <x:c r="A758" s="24" t="str">
        <x:v>P11-R037</x:v>
      </x:c>
      <x:c r="B758" s="24" t="str">
        <x:v>P11</x:v>
      </x:c>
      <x:c r="C758" s="26" t="n">
        <x:v>37</x:v>
      </x:c>
      <x:c r="D758" s="26" t="n">
        <x:v>51</x:v>
      </x:c>
      <x:c r="E758" s="26" t="n">
        <x:v>51</x:v>
      </x:c>
      <x:c r="F758" s="26" t="str">
        <x:v>Tella</x:v>
      </x:c>
      <x:c r="G758" s="26" t="n">
        <x:v>2019</x:v>
      </x:c>
      <x:c r="H758" s="25" t="str">
        <x:v>Risk Premium Shocks Can Create Inefficient Recessions</x:v>
      </x:c>
      <x:c r="I758" s="25" t="str"/>
      <x:c r="J758" s="25" t="str"/>
      <x:c r="K758" s="25" t="str">
        <x:v>automatic_screen_pass</x:v>
      </x:c>
      <x:c r="L758" s="25" t="str">
        <x:v>accepted</x:v>
      </x:c>
      <x:c r="M758" s="25" t="str">
        <x:v>no</x:v>
      </x:c>
      <x:c r="N758" s="25" t="str">
        <x:v>saki_research/published_papers/bigio_silva_zilberman_heterogeneous_beliefs_asset_prices_business_cycles.pdf</x:v>
      </x:c>
      <x:c r="O758" s="25" t="str">
        <x:v>Di Tella, Sebastian and Robert E. Hall, “Risk Premium Shocks Can Create Inefficient Recessions,” 2019. Working Paper.</x:v>
      </x:c>
    </x:row>
    <x:row r="759" ht="48" customHeight="1">
      <x:c r="A759" s="24" t="str">
        <x:v>P11-R038</x:v>
      </x:c>
      <x:c r="B759" s="24" t="str">
        <x:v>P11</x:v>
      </x:c>
      <x:c r="C759" s="26" t="n">
        <x:v>38</x:v>
      </x:c>
      <x:c r="D759" s="26" t="n">
        <x:v>51</x:v>
      </x:c>
      <x:c r="E759" s="26" t="n">
        <x:v>51</x:v>
      </x:c>
      <x:c r="F759" s="26" t="str">
        <x:v>Donangelo</x:v>
      </x:c>
      <x:c r="G759" s="26" t="n">
        <x:v>2019</x:v>
      </x:c>
      <x:c r="H759" s="25" t="str">
        <x:v>The cross-section of labor leverage and equity returns</x:v>
      </x:c>
      <x:c r="I759" s="25" t="str"/>
      <x:c r="J759" s="25" t="str"/>
      <x:c r="K759" s="25" t="str">
        <x:v>automatic_screen_pass</x:v>
      </x:c>
      <x:c r="L759" s="25" t="str">
        <x:v>accepted</x:v>
      </x:c>
      <x:c r="M759" s="25" t="str">
        <x:v>no</x:v>
      </x:c>
      <x:c r="N759" s="25" t="str">
        <x:v>saki_research/published_papers/bigio_silva_zilberman_heterogeneous_beliefs_asset_prices_business_cycles.pdf</x:v>
      </x:c>
      <x:c r="O759" s="25" t="str">
        <x:v>Donangelo, Andres, Francois Gourio, Matthias Kehrig, and Miguel Palacios, “The cross-section of labor leverage and equity returns,” Journal of Financial Economics, 2019, 132 (2), 497–518.</x:v>
      </x:c>
    </x:row>
    <x:row r="760" ht="48" customHeight="1">
      <x:c r="A760" s="24" t="str">
        <x:v>P11-R039</x:v>
      </x:c>
      <x:c r="B760" s="24" t="str">
        <x:v>P11</x:v>
      </x:c>
      <x:c r="C760" s="26" t="n">
        <x:v>39</x:v>
      </x:c>
      <x:c r="D760" s="26" t="n">
        <x:v>51</x:v>
      </x:c>
      <x:c r="E760" s="26" t="n">
        <x:v>51</x:v>
      </x:c>
      <x:c r="F760" s="26" t="str">
        <x:v>Eusepi</x:v>
      </x:c>
      <x:c r="G760" s="26" t="n">
        <x:v>2011</x:v>
      </x:c>
      <x:c r="H760" s="25" t="str">
        <x:v>Expectations,Learning,andBusinessCycleFluctuations</x:v>
      </x:c>
      <x:c r="I760" s="25" t="str"/>
      <x:c r="J760" s="25" t="str"/>
      <x:c r="K760" s="25" t="str">
        <x:v>automatic_screen_pass</x:v>
      </x:c>
      <x:c r="L760" s="25" t="str">
        <x:v>accepted</x:v>
      </x:c>
      <x:c r="M760" s="25" t="str">
        <x:v>no</x:v>
      </x:c>
      <x:c r="N760" s="25" t="str">
        <x:v>saki_research/published_papers/bigio_silva_zilberman_heterogeneous_beliefs_asset_prices_business_cycles.pdf</x:v>
      </x:c>
      <x:c r="O760" s="25" t="str">
        <x:v>Eusepi,StefanoandBrucePreston,“Expectations,Learning,andBusinessCycleFluctuations,”American Economic Review, 2011, 101(6), 2844–72.</x:v>
      </x:c>
    </x:row>
    <x:row r="761" ht="48" customHeight="1">
      <x:c r="A761" s="24" t="str">
        <x:v>P11-R040</x:v>
      </x:c>
      <x:c r="B761" s="24" t="str">
        <x:v>P11</x:v>
      </x:c>
      <x:c r="C761" s="26" t="n">
        <x:v>40</x:v>
      </x:c>
      <x:c r="D761" s="26" t="n">
        <x:v>51</x:v>
      </x:c>
      <x:c r="E761" s="26" t="n">
        <x:v>51</x:v>
      </x:c>
      <x:c r="F761" s="26" t="str">
        <x:v>Falato</x:v>
      </x:c>
      <x:c r="G761" s="26" t="n">
        <x:v>2024</x:v>
      </x:c>
      <x:c r="H761" s="25" t="str">
        <x:v>Information Spreads</x:v>
      </x:c>
      <x:c r="I761" s="25" t="str"/>
      <x:c r="J761" s="25" t="str"/>
      <x:c r="K761" s="25" t="str">
        <x:v>automatic_screen_pass</x:v>
      </x:c>
      <x:c r="L761" s="25" t="str">
        <x:v>accepted</x:v>
      </x:c>
      <x:c r="M761" s="25" t="str">
        <x:v>no</x:v>
      </x:c>
      <x:c r="N761" s="25" t="str">
        <x:v>saki_research/published_papers/bigio_silva_zilberman_heterogeneous_beliefs_asset_prices_business_cycles.pdf</x:v>
      </x:c>
      <x:c r="O761" s="25" t="str">
        <x:v>Falato, Antonio, Joseph P. Kaboski, and Jasmine Xiao, “Information Spreads,” Working Paper, Board of Governors of the Federal Reserve System November 2024.</x:v>
      </x:c>
    </x:row>
    <x:row r="762" ht="48" customHeight="1">
      <x:c r="A762" s="24" t="str">
        <x:v>P11-R041</x:v>
      </x:c>
      <x:c r="B762" s="24" t="str">
        <x:v>P11</x:v>
      </x:c>
      <x:c r="C762" s="26" t="n">
        <x:v>41</x:v>
      </x:c>
      <x:c r="D762" s="26" t="n">
        <x:v>51</x:v>
      </x:c>
      <x:c r="E762" s="26" t="n">
        <x:v>51</x:v>
      </x:c>
      <x:c r="F762" s="26" t="str">
        <x:v>Farhi</x:v>
      </x:c>
      <x:c r="G762" s="26" t="n">
        <x:v>2019</x:v>
      </x:c>
      <x:c r="H762" s="25" t="str">
        <x:v>Monetarypolicy,boundedrationality,andincomplete markets</x:v>
      </x:c>
      <x:c r="I762" s="25" t="str"/>
      <x:c r="J762" s="25" t="str"/>
      <x:c r="K762" s="25" t="str">
        <x:v>automatic_screen_pass</x:v>
      </x:c>
      <x:c r="L762" s="25" t="str">
        <x:v>accepted</x:v>
      </x:c>
      <x:c r="M762" s="25" t="str">
        <x:v>no</x:v>
      </x:c>
      <x:c r="N762" s="25" t="str">
        <x:v>saki_research/published_papers/bigio_silva_zilberman_heterogeneous_beliefs_asset_prices_business_cycles.pdf</x:v>
      </x:c>
      <x:c r="O762" s="25" t="str">
        <x:v>Farhi,EmmanuelandIvánWerning,“Monetarypolicy,boundedrationality,andincomplete markets,”American Economic Review, 2019,109 (11), 3887–3928.</x:v>
      </x:c>
    </x:row>
    <x:row r="763" ht="48" customHeight="1">
      <x:c r="A763" s="24" t="str">
        <x:v>P11-R042</x:v>
      </x:c>
      <x:c r="B763" s="24" t="str">
        <x:v>P11</x:v>
      </x:c>
      <x:c r="C763" s="26" t="n">
        <x:v>42</x:v>
      </x:c>
      <x:c r="D763" s="26" t="n">
        <x:v>51</x:v>
      </x:c>
      <x:c r="E763" s="26" t="n">
        <x:v>51</x:v>
      </x:c>
      <x:c r="F763" s="26" t="str">
        <x:v>Favilukis</x:v>
      </x:c>
      <x:c r="G763" s="26" t="n">
        <x:v>2016</x:v>
      </x:c>
      <x:c r="H763" s="25" t="str">
        <x:v>Does wage rigidity make firms riskier? Evidence from long-horizon return predictability</x:v>
      </x:c>
      <x:c r="I763" s="25" t="str"/>
      <x:c r="J763" s="25" t="str"/>
      <x:c r="K763" s="25" t="str">
        <x:v>automatic_screen_pass</x:v>
      </x:c>
      <x:c r="L763" s="25" t="str">
        <x:v>accepted</x:v>
      </x:c>
      <x:c r="M763" s="25" t="str">
        <x:v>no</x:v>
      </x:c>
      <x:c r="N763" s="25" t="str">
        <x:v>saki_research/published_papers/bigio_silva_zilberman_heterogeneous_beliefs_asset_prices_business_cycles.pdf</x:v>
      </x:c>
      <x:c r="O763" s="25" t="str">
        <x:v>Favilukis, Jack and Xiaoji Lin, “Does wage rigidity make firms riskier? Evidence from long-horizon return predictability,”Journal of Monetary Economics, 2016, 78, 80–95.</x:v>
      </x:c>
    </x:row>
    <x:row r="764" ht="48" customHeight="1">
      <x:c r="A764" s="24" t="str">
        <x:v>P11-R043</x:v>
      </x:c>
      <x:c r="B764" s="24" t="str">
        <x:v>P11</x:v>
      </x:c>
      <x:c r="C764" s="26" t="n">
        <x:v>43</x:v>
      </x:c>
      <x:c r="D764" s="26" t="n">
        <x:v>51</x:v>
      </x:c>
      <x:c r="E764" s="26" t="n">
        <x:v>51</x:v>
      </x:c>
      <x:c r="F764" s="26" t="str">
        <x:v>Fisher</x:v>
      </x:c>
      <x:c r="G764" s="26" t="n">
        <x:v>1933</x:v>
      </x:c>
      <x:c r="H764" s="25" t="str">
        <x:v>The Debt-Deflation Theory of Great Depressions, Vol. 1</x:v>
      </x:c>
      <x:c r="I764" s="25" t="str"/>
      <x:c r="J764" s="25" t="str">
        <x:v>local_citation_grammar_v3</x:v>
      </x:c>
      <x:c r="K764" s="25" t="str">
        <x:v>automatic_screen_pass</x:v>
      </x:c>
      <x:c r="L764" s="25" t="str">
        <x:v>accepted</x:v>
      </x:c>
      <x:c r="M764" s="25" t="str">
        <x:v>no</x:v>
      </x:c>
      <x:c r="N764" s="25" t="str">
        <x:v>saki_research/published_papers/bigio_silva_zilberman_heterogeneous_beliefs_asset_prices_business_cycles.pdf</x:v>
      </x:c>
      <x:c r="O764" s="25" t="str">
        <x:v>Fisher, Irving, The Debt-Deflation Theory of Great Depressions, Vol. 1 1933.</x:v>
      </x:c>
    </x:row>
    <x:row r="765" ht="48" customHeight="1">
      <x:c r="A765" s="24" t="str">
        <x:v>P11-R044</x:v>
      </x:c>
      <x:c r="B765" s="24" t="str">
        <x:v>P11</x:v>
      </x:c>
      <x:c r="C765" s="26" t="n">
        <x:v>44</x:v>
      </x:c>
      <x:c r="D765" s="26" t="n">
        <x:v>51</x:v>
      </x:c>
      <x:c r="E765" s="26" t="n">
        <x:v>51</x:v>
      </x:c>
      <x:c r="F765" s="26" t="str">
        <x:v>Fostel</x:v>
      </x:c>
      <x:c r="G765" s="26" t="n">
        <x:v>2008</x:v>
      </x:c>
      <x:c r="H765" s="25" t="str">
        <x:v>LeverageCyclesandtheAnxiousEconomy</x:v>
      </x:c>
      <x:c r="I765" s="25" t="str"/>
      <x:c r="J765" s="25" t="str"/>
      <x:c r="K765" s="25" t="str">
        <x:v>automatic_screen_pass</x:v>
      </x:c>
      <x:c r="L765" s="25" t="str">
        <x:v>accepted</x:v>
      </x:c>
      <x:c r="M765" s="25" t="str">
        <x:v>no</x:v>
      </x:c>
      <x:c r="N765" s="25" t="str">
        <x:v>saki_research/published_papers/bigio_silva_zilberman_heterogeneous_beliefs_asset_prices_business_cycles.pdf</x:v>
      </x:c>
      <x:c r="O765" s="25" t="str">
        <x:v>Fostel,AnaandJohnGeanakoplos,“LeverageCyclesandtheAnxiousEconomy,”American Economic Review, 2008,98 (4), 1211–44.</x:v>
      </x:c>
    </x:row>
    <x:row r="766" ht="48" customHeight="1">
      <x:c r="A766" s="24" t="str">
        <x:v>P11-R045</x:v>
      </x:c>
      <x:c r="B766" s="24" t="str">
        <x:v>P11</x:v>
      </x:c>
      <x:c r="C766" s="26" t="n">
        <x:v>45</x:v>
      </x:c>
      <x:c r="D766" s="26" t="n">
        <x:v>51</x:v>
      </x:c>
      <x:c r="E766" s="26" t="n">
        <x:v>51</x:v>
      </x:c>
      <x:c r="F766" s="26" t="str">
        <x:v>Fuster</x:v>
      </x:c>
      <x:c r="G766" s="26" t="n">
        <x:v>2010</x:v>
      </x:c>
      <x:c r="H766" s="25" t="str">
        <x:v>Naturalexpectationsandmacroeconomic fluctuations</x:v>
      </x:c>
      <x:c r="I766" s="25" t="str"/>
      <x:c r="J766" s="25" t="str"/>
      <x:c r="K766" s="25" t="str">
        <x:v>automatic_screen_pass</x:v>
      </x:c>
      <x:c r="L766" s="25" t="str">
        <x:v>accepted</x:v>
      </x:c>
      <x:c r="M766" s="25" t="str">
        <x:v>no</x:v>
      </x:c>
      <x:c r="N766" s="25" t="str">
        <x:v>saki_research/published_papers/bigio_silva_zilberman_heterogeneous_beliefs_asset_prices_business_cycles.pdf</x:v>
      </x:c>
      <x:c r="O766" s="25" t="str">
        <x:v>Fuster,Andreas,DavidLaibson,andBrockMendel,“Naturalexpectationsandmacroeconomic fluctuations,”Journal of Economic Perspectives, 2010, 24 (4), 67–84.</x:v>
      </x:c>
    </x:row>
    <x:row r="767" ht="48" customHeight="1">
      <x:c r="A767" s="24" t="str">
        <x:v>P11-R046</x:v>
      </x:c>
      <x:c r="B767" s="24" t="str">
        <x:v>P11</x:v>
      </x:c>
      <x:c r="C767" s="26" t="n">
        <x:v>46</x:v>
      </x:c>
      <x:c r="D767" s="26" t="n">
        <x:v>51</x:v>
      </x:c>
      <x:c r="E767" s="26" t="n">
        <x:v>51</x:v>
      </x:c>
      <x:c r="F767" s="26" t="str">
        <x:v>Gabaix</x:v>
      </x:c>
      <x:c r="G767" s="26" t="n">
        <x:v>2019</x:v>
      </x:c>
      <x:c r="H767" s="25" t="str">
        <x:v>Behavioralinattention</x:v>
      </x:c>
      <x:c r="I767" s="25" t="str"/>
      <x:c r="J767" s="25" t="str"/>
      <x:c r="K767" s="25" t="str">
        <x:v>prior_manual_sample</x:v>
      </x:c>
      <x:c r="L767" s="25" t="str">
        <x:v>accepted</x:v>
      </x:c>
      <x:c r="M767" s="25" t="str">
        <x:v>sí</x:v>
      </x:c>
      <x:c r="N767" s="25" t="str">
        <x:v>saki_research/published_papers/bigio_silva_zilberman_heterogeneous_beliefs_asset_prices_business_cycles.pdf</x:v>
      </x:c>
      <x:c r="O767" s="25" t="str">
        <x:v>Gabaix,Xavier,“Behavioralinattention,”in“Handbookofbehavioraleconomics: Applications and foundations 1,” Vol. 2, Elsevier, 2019, pp. 261–343.</x:v>
      </x:c>
    </x:row>
    <x:row r="768" ht="48" customHeight="1">
      <x:c r="A768" s="24" t="str">
        <x:v>P11-R047</x:v>
      </x:c>
      <x:c r="B768" s="24" t="str">
        <x:v>P11</x:v>
      </x:c>
      <x:c r="C768" s="26" t="n">
        <x:v>47</x:v>
      </x:c>
      <x:c r="D768" s="26" t="n">
        <x:v>52</x:v>
      </x:c>
      <x:c r="E768" s="26" t="n">
        <x:v>52</x:v>
      </x:c>
      <x:c r="F768" s="26" t="str">
        <x:v>Gârleanu</x:v>
      </x:c>
      <x:c r="G768" s="26" t="n">
        <x:v>2015</x:v>
      </x:c>
      <x:c r="H768" s="25" t="str">
        <x:v>Young, old, conservative, and bold: The implicationsofheterogeneityandfinitelivesforassetpricing</x:v>
      </x:c>
      <x:c r="I768" s="25" t="str"/>
      <x:c r="J768" s="25" t="str"/>
      <x:c r="K768" s="25" t="str">
        <x:v>automatic_screen_pass</x:v>
      </x:c>
      <x:c r="L768" s="25" t="str">
        <x:v>accepted</x:v>
      </x:c>
      <x:c r="M768" s="25" t="str">
        <x:v>no</x:v>
      </x:c>
      <x:c r="N768" s="25" t="str">
        <x:v>saki_research/published_papers/bigio_silva_zilberman_heterogeneous_beliefs_asset_prices_business_cycles.pdf</x:v>
      </x:c>
      <x:c r="O768" s="25" t="str">
        <x:v>Gârleanu, Nicolae and Stavros Panageas, “Young, old, conservative, and bold: The implicationsofheterogeneityandfinitelivesforassetpricing,”JournalofPoliticalEconomy, 2015, 123 (3), 670–685.</x:v>
      </x:c>
    </x:row>
    <x:row r="769" ht="48" customHeight="1">
      <x:c r="A769" s="24" t="str">
        <x:v>P11-R048</x:v>
      </x:c>
      <x:c r="B769" s="24" t="str">
        <x:v>P11</x:v>
      </x:c>
      <x:c r="C769" s="26" t="n">
        <x:v>48</x:v>
      </x:c>
      <x:c r="D769" s="26" t="n">
        <x:v>52</x:v>
      </x:c>
      <x:c r="E769" s="26" t="n">
        <x:v>52</x:v>
      </x:c>
      <x:c r="F769" s="26" t="str">
        <x:v>Geanakoplos</x:v>
      </x:c>
      <x:c r="G769" s="26" t="n">
        <x:v>2003</x:v>
      </x:c>
      <x:c r="H769" s="25" t="str">
        <x:v>Liquidity, Default, and Crashes: Endogenous Contracts in General Equilibrium</x:v>
      </x:c>
      <x:c r="I769" s="25" t="str"/>
      <x:c r="J769" s="25" t="str"/>
      <x:c r="K769" s="25" t="str">
        <x:v>prior_manual_sample</x:v>
      </x:c>
      <x:c r="L769" s="25" t="str">
        <x:v>accepted</x:v>
      </x:c>
      <x:c r="M769" s="25" t="str">
        <x:v>no</x:v>
      </x:c>
      <x:c r="N769" s="25" t="str">
        <x:v>saki_research/published_papers/bigio_silva_zilberman_heterogeneous_beliefs_asset_prices_business_cycles.pdf</x:v>
      </x:c>
      <x:c r="O769" s="25" t="str">
        <x:v>Geanakoplos, John, “Liquidity, Default, and Crashes: Endogenous Contracts in General Equilibrium,” in Mathias Dewatripont, Lars Peter Hansen, and Stephen J.Editors Turnovsky, eds., Advances in Economics and Econometrics: Theory and Applications, Eighth World Congress, Vol. 2 of Econometric Society Monographs, Cambridge University Press, 2003, pp. 170–205.</x:v>
      </x:c>
    </x:row>
    <x:row r="770" ht="48" customHeight="1">
      <x:c r="A770" s="24" t="str">
        <x:v>P11-R049</x:v>
      </x:c>
      <x:c r="B770" s="24" t="str">
        <x:v>P11</x:v>
      </x:c>
      <x:c r="C770" s="26" t="n">
        <x:v>49</x:v>
      </x:c>
      <x:c r="D770" s="26" t="n">
        <x:v>52</x:v>
      </x:c>
      <x:c r="E770" s="26" t="n">
        <x:v>52</x:v>
      </x:c>
      <x:c r="F770" s="26" t="str">
        <x:v>Geanakoplos</x:v>
      </x:c>
      <x:c r="G770" s="26" t="n">
        <x:v>2009</x:v>
      </x:c>
      <x:c r="H770" s="25" t="str">
        <x:v>The Leverage Cycle</x:v>
      </x:c>
      <x:c r="I770" s="25" t="str">
        <x:v>inherited_author_notation</x:v>
      </x:c>
      <x:c r="J770" s="25" t="str">
        <x:v>exhaustive_ai_audit_2026-09-17</x:v>
      </x:c>
      <x:c r="K770" s="25" t="str">
        <x:v>exhaustive_visual_correction</x:v>
      </x:c>
      <x:c r="L770" s="25" t="str">
        <x:v>corrected</x:v>
      </x:c>
      <x:c r="M770" s="25" t="str">
        <x:v>no</x:v>
      </x:c>
      <x:c r="N770" s="25" t="str">
        <x:v>saki_research/published_papers/bigio_silva_zilberman_heterogeneous_beliefs_asset_prices_business_cycles.pdf</x:v>
      </x:c>
      <x:c r="O770" s="25" t="str">
        <x:v>, “The Leverage Cycle,” in Daron Acemoglu, Kenneth Rogoff, and Michael Woodford, eds., NBER Macroeconomics Annual 2009, Volume 24, University of Chicago Press, 2010, pp. 1–65.</x:v>
      </x:c>
    </x:row>
    <x:row r="771" ht="48" customHeight="1">
      <x:c r="A771" s="24" t="str">
        <x:v>P11-R050</x:v>
      </x:c>
      <x:c r="B771" s="24" t="str">
        <x:v>P11</x:v>
      </x:c>
      <x:c r="C771" s="26" t="n">
        <x:v>50</x:v>
      </x:c>
      <x:c r="D771" s="26" t="n">
        <x:v>52</x:v>
      </x:c>
      <x:c r="E771" s="26" t="n">
        <x:v>52</x:v>
      </x:c>
      <x:c r="F771" s="26" t="str">
        <x:v>Geanakoplos</x:v>
      </x:c>
      <x:c r="G771" s="26" t="n">
        <x:v>1990</x:v>
      </x:c>
      <x:c r="H771" s="25" t="str">
        <x:v>Generic inefficiency of stock market equilibrium when markets are incomplete</x:v>
      </x:c>
      <x:c r="I771" s="25" t="str">
        <x:v>inherited_author_notation</x:v>
      </x:c>
      <x:c r="J771" s="25" t="str"/>
      <x:c r="K771" s="25" t="str">
        <x:v>automatic_screen_pass</x:v>
      </x:c>
      <x:c r="L771" s="25" t="str">
        <x:v>accepted</x:v>
      </x:c>
      <x:c r="M771" s="25" t="str">
        <x:v>no</x:v>
      </x:c>
      <x:c r="N771" s="25" t="str">
        <x:v>saki_research/published_papers/bigio_silva_zilberman_heterogeneous_beliefs_asset_prices_business_cycles.pdf</x:v>
      </x:c>
      <x:c r="O771" s="25" t="str">
        <x:v>Michael Magill, Martine Quinzii, and Jacques Dreze, “Generic inefficiency of stock market equilibrium when markets are incomplete,” Journal of Mathematical Economics, 1990, 19 (1-2), 113–151.</x:v>
      </x:c>
    </x:row>
    <x:row r="772" ht="48" customHeight="1">
      <x:c r="A772" s="24" t="str">
        <x:v>P11-R051</x:v>
      </x:c>
      <x:c r="B772" s="24" t="str">
        <x:v>P11</x:v>
      </x:c>
      <x:c r="C772" s="26" t="n">
        <x:v>51</x:v>
      </x:c>
      <x:c r="D772" s="26" t="n">
        <x:v>52</x:v>
      </x:c>
      <x:c r="E772" s="26" t="n">
        <x:v>52</x:v>
      </x:c>
      <x:c r="F772" s="26" t="str">
        <x:v>Gennaioli</x:v>
      </x:c>
      <x:c r="G772" s="26" t="n">
        <x:v>2010</x:v>
      </x:c>
      <x:c r="H772" s="25" t="str">
        <x:v>WhatComestoMind</x:v>
      </x:c>
      <x:c r="I772" s="25" t="str"/>
      <x:c r="J772" s="25" t="str"/>
      <x:c r="K772" s="25" t="str">
        <x:v>automatic_screen_pass</x:v>
      </x:c>
      <x:c r="L772" s="25" t="str">
        <x:v>accepted</x:v>
      </x:c>
      <x:c r="M772" s="25" t="str">
        <x:v>no</x:v>
      </x:c>
      <x:c r="N772" s="25" t="str">
        <x:v>saki_research/published_papers/bigio_silva_zilberman_heterogeneous_beliefs_asset_prices_business_cycles.pdf</x:v>
      </x:c>
      <x:c r="O772" s="25" t="str">
        <x:v>Gennaioli,NicolaandAndreiShleifer,“WhatComestoMind,”QuarterlyJournalofEconomics, 2010,125 (4), 1399–1433.</x:v>
      </x:c>
    </x:row>
    <x:row r="773" ht="48" customHeight="1">
      <x:c r="A773" s="24" t="str">
        <x:v>P11-R052</x:v>
      </x:c>
      <x:c r="B773" s="24" t="str">
        <x:v>P11</x:v>
      </x:c>
      <x:c r="C773" s="26" t="n">
        <x:v>52</x:v>
      </x:c>
      <x:c r="D773" s="26" t="n">
        <x:v>52</x:v>
      </x:c>
      <x:c r="E773" s="26" t="n">
        <x:v>52</x:v>
      </x:c>
      <x:c r="F773" s="26" t="str">
        <x:v>Gennaioli</x:v>
      </x:c>
      <x:c r="G773" s="26" t="n">
        <x:v>2015</x:v>
      </x:c>
      <x:c r="H773" s="25" t="str">
        <x:v>Expectations and Investment</x:v>
      </x:c>
      <x:c r="I773" s="25" t="str">
        <x:v>inherited_author_notation</x:v>
      </x:c>
      <x:c r="J773" s="25" t="str"/>
      <x:c r="K773" s="25" t="str">
        <x:v>automatic_screen_pass</x:v>
      </x:c>
      <x:c r="L773" s="25" t="str">
        <x:v>accepted</x:v>
      </x:c>
      <x:c r="M773" s="25" t="str">
        <x:v>no</x:v>
      </x:c>
      <x:c r="N773" s="25" t="str">
        <x:v>saki_research/published_papers/bigio_silva_zilberman_heterogeneous_beliefs_asset_prices_business_cycles.pdf</x:v>
      </x:c>
      <x:c r="O773" s="25" t="str">
        <x:v>Yueran Ma, and Andrei Shleifer, “Expectations and Investment,” in Martin EichenbaumandJonathanA.Parker,eds.,NBERMacroeconomicsAnnual2015,Volume30,University of Chicago Press, 2016, pp. 379–431.</x:v>
      </x:c>
    </x:row>
    <x:row r="774" ht="48" customHeight="1">
      <x:c r="A774" s="24" t="str">
        <x:v>P11-R053</x:v>
      </x:c>
      <x:c r="B774" s="24" t="str">
        <x:v>P11</x:v>
      </x:c>
      <x:c r="C774" s="26" t="n">
        <x:v>53</x:v>
      </x:c>
      <x:c r="D774" s="26" t="n">
        <x:v>52</x:v>
      </x:c>
      <x:c r="E774" s="26" t="n">
        <x:v>52</x:v>
      </x:c>
      <x:c r="F774" s="26" t="str">
        <x:v>Giglio</x:v>
      </x:c>
      <x:c r="G774" s="26" t="n">
        <x:v>2021</x:v>
      </x:c>
      <x:c r="H774" s="25" t="str">
        <x:v>Five facts about beliefs and portfolios</x:v>
      </x:c>
      <x:c r="I774" s="25" t="str"/>
      <x:c r="J774" s="25" t="str"/>
      <x:c r="K774" s="25" t="str">
        <x:v>automatic_screen_pass</x:v>
      </x:c>
      <x:c r="L774" s="25" t="str">
        <x:v>accepted</x:v>
      </x:c>
      <x:c r="M774" s="25" t="str">
        <x:v>no</x:v>
      </x:c>
      <x:c r="N774" s="25" t="str">
        <x:v>saki_research/published_papers/bigio_silva_zilberman_heterogeneous_beliefs_asset_prices_business_cycles.pdf</x:v>
      </x:c>
      <x:c r="O774" s="25" t="str">
        <x:v>Giglio, Stefano, Matteo Maggiori, Johannes Stroebel, and Stephen Utkus, “Five facts about beliefs and portfolios,”American Economic Review, 2021, 111(5), 1481–1522.</x:v>
      </x:c>
    </x:row>
    <x:row r="775" ht="48" customHeight="1">
      <x:c r="A775" s="24" t="str">
        <x:v>P11-R054</x:v>
      </x:c>
      <x:c r="B775" s="24" t="str">
        <x:v>P11</x:v>
      </x:c>
      <x:c r="C775" s="26" t="n">
        <x:v>54</x:v>
      </x:c>
      <x:c r="D775" s="26" t="n">
        <x:v>52</x:v>
      </x:c>
      <x:c r="E775" s="26" t="n">
        <x:v>52</x:v>
      </x:c>
      <x:c r="F775" s="26" t="str">
        <x:v>Gilchrist</x:v>
      </x:c>
      <x:c r="G775" s="26" t="n">
        <x:v>2005</x:v>
      </x:c>
      <x:c r="H775" s="25" t="str">
        <x:v>DoStockPriceBubbles Influence Corporate Investment?</x:v>
      </x:c>
      <x:c r="I775" s="25" t="str"/>
      <x:c r="J775" s="25" t="str"/>
      <x:c r="K775" s="25" t="str">
        <x:v>automatic_screen_pass</x:v>
      </x:c>
      <x:c r="L775" s="25" t="str">
        <x:v>accepted</x:v>
      </x:c>
      <x:c r="M775" s="25" t="str">
        <x:v>no</x:v>
      </x:c>
      <x:c r="N775" s="25" t="str">
        <x:v>saki_research/published_papers/bigio_silva_zilberman_heterogeneous_beliefs_asset_prices_business_cycles.pdf</x:v>
      </x:c>
      <x:c r="O775" s="25" t="str">
        <x:v>Gilchrist,Simon,CharlesP.Himmelberg,andGurHuberman,“DoStockPriceBubbles Influence Corporate Investment?,”Journal of Monetary Economics, 2005, 52 (4), 805–827.</x:v>
      </x:c>
    </x:row>
    <x:row r="776" ht="48" customHeight="1">
      <x:c r="A776" s="24" t="str">
        <x:v>P11-R055</x:v>
      </x:c>
      <x:c r="B776" s="24" t="str">
        <x:v>P11</x:v>
      </x:c>
      <x:c r="C776" s="26" t="n">
        <x:v>55</x:v>
      </x:c>
      <x:c r="D776" s="26" t="n">
        <x:v>52</x:v>
      </x:c>
      <x:c r="E776" s="26" t="n">
        <x:v>52</x:v>
      </x:c>
      <x:c r="F776" s="26" t="str">
        <x:v>Greenwood</x:v>
      </x:c>
      <x:c r="G776" s="26" t="n">
        <x:v>2014</x:v>
      </x:c>
      <x:c r="H776" s="25" t="str">
        <x:v>Expectations of Returns and Expected Returns</x:v>
      </x:c>
      <x:c r="I776" s="25" t="str"/>
      <x:c r="J776" s="25" t="str"/>
      <x:c r="K776" s="25" t="str">
        <x:v>automatic_screen_pass</x:v>
      </x:c>
      <x:c r="L776" s="25" t="str">
        <x:v>accepted</x:v>
      </x:c>
      <x:c r="M776" s="25" t="str">
        <x:v>no</x:v>
      </x:c>
      <x:c r="N776" s="25" t="str">
        <x:v>saki_research/published_papers/bigio_silva_zilberman_heterogeneous_beliefs_asset_prices_business_cycles.pdf</x:v>
      </x:c>
      <x:c r="O776" s="25" t="str">
        <x:v>Greenwood, Robin and Andrei Shleifer, “Expectations of Returns and Expected Returns,”Review of Financial Studies, 2014,27 (3), 714–746.</x:v>
      </x:c>
    </x:row>
    <x:row r="777" ht="48" customHeight="1">
      <x:c r="A777" s="24" t="str">
        <x:v>P11-R056</x:v>
      </x:c>
      <x:c r="B777" s="24" t="str">
        <x:v>P11</x:v>
      </x:c>
      <x:c r="C777" s="26" t="n">
        <x:v>56</x:v>
      </x:c>
      <x:c r="D777" s="26" t="n">
        <x:v>52</x:v>
      </x:c>
      <x:c r="E777" s="26" t="n">
        <x:v>52</x:v>
      </x:c>
      <x:c r="F777" s="26" t="str">
        <x:v>Guerreiro</x:v>
      </x:c>
      <x:c r="G777" s="26" t="n">
        <x:v>2022</x:v>
      </x:c>
      <x:c r="H777" s="25" t="str">
        <x:v>Belief Disagreement and Business Cycles</x:v>
      </x:c>
      <x:c r="I777" s="25" t="str"/>
      <x:c r="J777" s="25" t="str"/>
      <x:c r="K777" s="25" t="str">
        <x:v>automatic_screen_pass</x:v>
      </x:c>
      <x:c r="L777" s="25" t="str">
        <x:v>accepted</x:v>
      </x:c>
      <x:c r="M777" s="25" t="str">
        <x:v>no</x:v>
      </x:c>
      <x:c r="N777" s="25" t="str">
        <x:v>saki_research/published_papers/bigio_silva_zilberman_heterogeneous_beliefs_asset_prices_business_cycles.pdf</x:v>
      </x:c>
      <x:c r="O777" s="25" t="str">
        <x:v>Guerreiro, Joao, “Belief Disagreement and Business Cycles,” 2022. Working Paper, UCLA.</x:v>
      </x:c>
    </x:row>
    <x:row r="778" ht="48" customHeight="1">
      <x:c r="A778" s="24" t="str">
        <x:v>P11-R057</x:v>
      </x:c>
      <x:c r="B778" s="24" t="str">
        <x:v>P11</x:v>
      </x:c>
      <x:c r="C778" s="26" t="n">
        <x:v>57</x:v>
      </x:c>
      <x:c r="D778" s="26" t="n">
        <x:v>52</x:v>
      </x:c>
      <x:c r="E778" s="26" t="n">
        <x:v>52</x:v>
      </x:c>
      <x:c r="F778" s="26" t="str">
        <x:v>Hall</x:v>
      </x:c>
      <x:c r="G778" s="26" t="n">
        <x:v>2017</x:v>
      </x:c>
      <x:c r="H778" s="25" t="str">
        <x:v>High Discounts and High Unemployment</x:v>
      </x:c>
      <x:c r="I778" s="25" t="str"/>
      <x:c r="J778" s="25" t="str"/>
      <x:c r="K778" s="25" t="str">
        <x:v>automatic_screen_pass</x:v>
      </x:c>
      <x:c r="L778" s="25" t="str">
        <x:v>accepted</x:v>
      </x:c>
      <x:c r="M778" s="25" t="str">
        <x:v>no</x:v>
      </x:c>
      <x:c r="N778" s="25" t="str">
        <x:v>saki_research/published_papers/bigio_silva_zilberman_heterogeneous_beliefs_asset_prices_business_cycles.pdf</x:v>
      </x:c>
      <x:c r="O778" s="25" t="str">
        <x:v>Hall, Robert E., “High Discounts and High Unemployment,” American Economic Review, 2017, 107 (2), 305–30.</x:v>
      </x:c>
    </x:row>
    <x:row r="779" ht="48" customHeight="1">
      <x:c r="A779" s="24" t="str">
        <x:v>P11-R058</x:v>
      </x:c>
      <x:c r="B779" s="24" t="str">
        <x:v>P11</x:v>
      </x:c>
      <x:c r="C779" s="26" t="n">
        <x:v>58</x:v>
      </x:c>
      <x:c r="D779" s="26" t="n">
        <x:v>52</x:v>
      </x:c>
      <x:c r="E779" s="26" t="n">
        <x:v>52</x:v>
      </x:c>
      <x:c r="F779" s="26" t="str">
        <x:v>Hansen</x:v>
      </x:c>
      <x:c r="G779" s="26" t="n">
        <x:v>1991</x:v>
      </x:c>
      <x:c r="H779" s="25" t="str">
        <x:v>Implications of security market data for models of dynamic economies</x:v>
      </x:c>
      <x:c r="I779" s="25" t="str"/>
      <x:c r="J779" s="25" t="str"/>
      <x:c r="K779" s="25" t="str">
        <x:v>automatic_screen_pass</x:v>
      </x:c>
      <x:c r="L779" s="25" t="str">
        <x:v>accepted</x:v>
      </x:c>
      <x:c r="M779" s="25" t="str">
        <x:v>no</x:v>
      </x:c>
      <x:c r="N779" s="25" t="str">
        <x:v>saki_research/published_papers/bigio_silva_zilberman_heterogeneous_beliefs_asset_prices_business_cycles.pdf</x:v>
      </x:c>
      <x:c r="O779" s="25" t="str">
        <x:v>Hansen, Lars Peter and Ravi Jagannathan, “Implications of security market data for models of dynamic economies,”Journal of political economy, 1991, 99 (2), 225–262.</x:v>
      </x:c>
    </x:row>
    <x:row r="780" ht="48" customHeight="1">
      <x:c r="A780" s="24" t="str">
        <x:v>P11-R059</x:v>
      </x:c>
      <x:c r="B780" s="24" t="str">
        <x:v>P11</x:v>
      </x:c>
      <x:c r="C780" s="26" t="n">
        <x:v>59</x:v>
      </x:c>
      <x:c r="D780" s="26" t="n">
        <x:v>52</x:v>
      </x:c>
      <x:c r="E780" s="26" t="n">
        <x:v>52</x:v>
      </x:c>
      <x:c r="F780" s="26" t="str">
        <x:v>Harrison</x:v>
      </x:c>
      <x:c r="G780" s="26" t="n">
        <x:v>1978</x:v>
      </x:c>
      <x:c r="H780" s="25" t="str">
        <x:v>Speculative Investor Behavior in a Stock Market with Heterogeneous Expectations</x:v>
      </x:c>
      <x:c r="I780" s="25" t="str"/>
      <x:c r="J780" s="25" t="str"/>
      <x:c r="K780" s="25" t="str">
        <x:v>automatic_screen_pass</x:v>
      </x:c>
      <x:c r="L780" s="25" t="str">
        <x:v>accepted</x:v>
      </x:c>
      <x:c r="M780" s="25" t="str">
        <x:v>no</x:v>
      </x:c>
      <x:c r="N780" s="25" t="str">
        <x:v>saki_research/published_papers/bigio_silva_zilberman_heterogeneous_beliefs_asset_prices_business_cycles.pdf</x:v>
      </x:c>
      <x:c r="O780" s="25" t="str">
        <x:v>Harrison, J. Michael and David M. Kreps, “Speculative Investor Behavior in a Stock Market with Heterogeneous Expectations,” Quarterly Journal of Economics, 1978, 92 (2), 323–336.</x:v>
      </x:c>
    </x:row>
    <x:row r="781" ht="48" customHeight="1">
      <x:c r="A781" s="24" t="str">
        <x:v>P11-R060</x:v>
      </x:c>
      <x:c r="B781" s="24" t="str">
        <x:v>P11</x:v>
      </x:c>
      <x:c r="C781" s="26" t="n">
        <x:v>60</x:v>
      </x:c>
      <x:c r="D781" s="26" t="n">
        <x:v>52</x:v>
      </x:c>
      <x:c r="E781" s="26" t="n">
        <x:v>52</x:v>
      </x:c>
      <x:c r="F781" s="26" t="str">
        <x:v>He</x:v>
      </x:c>
      <x:c r="G781" s="26" t="n">
        <x:v>2013</x:v>
      </x:c>
      <x:c r="H781" s="25" t="str">
        <x:v>Intermediary asset pricing</x:v>
      </x:c>
      <x:c r="I781" s="25" t="str"/>
      <x:c r="J781" s="25" t="str"/>
      <x:c r="K781" s="25" t="str">
        <x:v>automatic_screen_pass</x:v>
      </x:c>
      <x:c r="L781" s="25" t="str">
        <x:v>accepted</x:v>
      </x:c>
      <x:c r="M781" s="25" t="str">
        <x:v>no</x:v>
      </x:c>
      <x:c r="N781" s="25" t="str">
        <x:v>saki_research/published_papers/bigio_silva_zilberman_heterogeneous_beliefs_asset_prices_business_cycles.pdf</x:v>
      </x:c>
      <x:c r="O781" s="25" t="str">
        <x:v>He, Zhiguo and Arvind Krishnamurthy, “Intermediary asset pricing,” American Economic Review, 2013,103 (2), 732–70.</x:v>
      </x:c>
    </x:row>
    <x:row r="782" ht="48" customHeight="1">
      <x:c r="A782" s="24" t="str">
        <x:v>P11-R061</x:v>
      </x:c>
      <x:c r="B782" s="24" t="str">
        <x:v>P11</x:v>
      </x:c>
      <x:c r="C782" s="26" t="n">
        <x:v>61</x:v>
      </x:c>
      <x:c r="D782" s="26" t="n">
        <x:v>53</x:v>
      </x:c>
      <x:c r="E782" s="26" t="n">
        <x:v>53</x:v>
      </x:c>
      <x:c r="F782" s="26" t="str">
        <x:v>Iachan</x:v>
      </x:c>
      <x:c r="G782" s="26" t="n">
        <x:v>2019</x:v>
      </x:c>
      <x:c r="H782" s="25" t="str">
        <x:v>The Choice Channel of Financial Innovation</x:v>
      </x:c>
      <x:c r="I782" s="25" t="str"/>
      <x:c r="J782" s="25" t="str"/>
      <x:c r="K782" s="25" t="str">
        <x:v>prior_manual_sample</x:v>
      </x:c>
      <x:c r="L782" s="25" t="str">
        <x:v>accepted</x:v>
      </x:c>
      <x:c r="M782" s="25" t="str">
        <x:v>no</x:v>
      </x:c>
      <x:c r="N782" s="25" t="str">
        <x:v>saki_research/published_papers/bigio_silva_zilberman_heterogeneous_beliefs_asset_prices_business_cycles.pdf</x:v>
      </x:c>
      <x:c r="O782" s="25" t="str">
        <x:v>Iachan, Felipe S., Plamen T. Nenov, and Alp Simsek, “The Choice Channel of Financial Innovation,” 2019. Working Paper.</x:v>
      </x:c>
    </x:row>
    <x:row r="783" ht="48" customHeight="1">
      <x:c r="A783" s="24" t="str">
        <x:v>P11-R062</x:v>
      </x:c>
      <x:c r="B783" s="24" t="str">
        <x:v>P11</x:v>
      </x:c>
      <x:c r="C783" s="26" t="n">
        <x:v>62</x:v>
      </x:c>
      <x:c r="D783" s="26" t="n">
        <x:v>53</x:v>
      </x:c>
      <x:c r="E783" s="26" t="n">
        <x:v>53</x:v>
      </x:c>
      <x:c r="F783" s="26" t="str">
        <x:v>Jaimovich</x:v>
      </x:c>
      <x:c r="G783" s="26" t="n">
        <x:v>2009</x:v>
      </x:c>
      <x:c r="H783" s="25" t="str">
        <x:v>Can News about the Future Drive the Business Cycle?</x:v>
      </x:c>
      <x:c r="I783" s="25" t="str"/>
      <x:c r="J783" s="25" t="str"/>
      <x:c r="K783" s="25" t="str">
        <x:v>prior_manual_sample</x:v>
      </x:c>
      <x:c r="L783" s="25" t="str">
        <x:v>accepted</x:v>
      </x:c>
      <x:c r="M783" s="25" t="str">
        <x:v>no</x:v>
      </x:c>
      <x:c r="N783" s="25" t="str">
        <x:v>saki_research/published_papers/bigio_silva_zilberman_heterogeneous_beliefs_asset_prices_business_cycles.pdf</x:v>
      </x:c>
      <x:c r="O783" s="25" t="str">
        <x:v>Jaimovich, Nir and Sergio Rebelo, “Can News about the Future Drive the Business Cycle?,” American Economic Review, 2009,99 (4), 1097–1118.</x:v>
      </x:c>
    </x:row>
    <x:row r="784" ht="48" customHeight="1">
      <x:c r="A784" s="24" t="str">
        <x:v>P11-R063</x:v>
      </x:c>
      <x:c r="B784" s="24" t="str">
        <x:v>P11</x:v>
      </x:c>
      <x:c r="C784" s="26" t="n">
        <x:v>63</x:v>
      </x:c>
      <x:c r="D784" s="26" t="n">
        <x:v>53</x:v>
      </x:c>
      <x:c r="E784" s="26" t="n">
        <x:v>53</x:v>
      </x:c>
      <x:c r="F784" s="26" t="str">
        <x:v>Keane</x:v>
      </x:c>
      <x:c r="G784" s="26" t="n">
        <x:v>2012</x:v>
      </x:c>
      <x:c r="H784" s="25" t="str">
        <x:v>Micro and macro labor supply elasticities: A reassessment of conventional wisdom</x:v>
      </x:c>
      <x:c r="I784" s="25" t="str"/>
      <x:c r="J784" s="25" t="str"/>
      <x:c r="K784" s="25" t="str">
        <x:v>automatic_screen_pass</x:v>
      </x:c>
      <x:c r="L784" s="25" t="str">
        <x:v>accepted</x:v>
      </x:c>
      <x:c r="M784" s="25" t="str">
        <x:v>no</x:v>
      </x:c>
      <x:c r="N784" s="25" t="str">
        <x:v>saki_research/published_papers/bigio_silva_zilberman_heterogeneous_beliefs_asset_prices_business_cycles.pdf</x:v>
      </x:c>
      <x:c r="O784" s="25" t="str">
        <x:v>Keane, Michael and Richard Rogerson, “Micro and macro labor supply elasticities: A reassessment of conventional wisdom,” Journal of Economic Literature, 2012, 50 (2), 464– 476.</x:v>
      </x:c>
    </x:row>
    <x:row r="785" ht="48" customHeight="1">
      <x:c r="A785" s="24" t="str">
        <x:v>P11-R064</x:v>
      </x:c>
      <x:c r="B785" s="24" t="str">
        <x:v>P11</x:v>
      </x:c>
      <x:c r="C785" s="26" t="n">
        <x:v>64</x:v>
      </x:c>
      <x:c r="D785" s="26" t="n">
        <x:v>53</x:v>
      </x:c>
      <x:c r="E785" s="26" t="n">
        <x:v>53</x:v>
      </x:c>
      <x:c r="F785" s="26" t="str">
        <x:v>Kehoe</x:v>
      </x:c>
      <x:c r="G785" s="26" t="n">
        <x:v>2019</x:v>
      </x:c>
      <x:c r="H785" s="25" t="str">
        <x:v>Asset Prices and Unemployment Fluctuations</x:v>
      </x:c>
      <x:c r="I785" s="25" t="str"/>
      <x:c r="J785" s="25" t="str"/>
      <x:c r="K785" s="25" t="str">
        <x:v>automatic_screen_pass</x:v>
      </x:c>
      <x:c r="L785" s="25" t="str">
        <x:v>accepted</x:v>
      </x:c>
      <x:c r="M785" s="25" t="str">
        <x:v>no</x:v>
      </x:c>
      <x:c r="N785" s="25" t="str">
        <x:v>saki_research/published_papers/bigio_silva_zilberman_heterogeneous_beliefs_asset_prices_business_cycles.pdf</x:v>
      </x:c>
      <x:c r="O785" s="25" t="str">
        <x:v>Kehoe, Patrick J., Pierlauro Lopez, Virgiliu Midrigan, and Elena Pastorino, “Asset Prices and Unemployment Fluctuations,” 2019. Working Paper.</x:v>
      </x:c>
    </x:row>
    <x:row r="786" ht="48" customHeight="1">
      <x:c r="A786" s="24" t="str">
        <x:v>P11-R065</x:v>
      </x:c>
      <x:c r="B786" s="24" t="str">
        <x:v>P11</x:v>
      </x:c>
      <x:c r="C786" s="26" t="n">
        <x:v>65</x:v>
      </x:c>
      <x:c r="D786" s="26" t="n">
        <x:v>53</x:v>
      </x:c>
      <x:c r="E786" s="26" t="n">
        <x:v>53</x:v>
      </x:c>
      <x:c r="F786" s="26" t="str">
        <x:v>Keynes</x:v>
      </x:c>
      <x:c r="G786" s="26" t="n">
        <x:v>1936</x:v>
      </x:c>
      <x:c r="H786" s="25" t="str">
        <x:v>The General Theory of Employment, Interest, and Money</x:v>
      </x:c>
      <x:c r="I786" s="25" t="str"/>
      <x:c r="J786" s="25" t="str">
        <x:v>local_citation_grammar_v3</x:v>
      </x:c>
      <x:c r="K786" s="25" t="str">
        <x:v>automatic_screen_pass</x:v>
      </x:c>
      <x:c r="L786" s="25" t="str">
        <x:v>accepted</x:v>
      </x:c>
      <x:c r="M786" s="25" t="str">
        <x:v>no</x:v>
      </x:c>
      <x:c r="N786" s="25" t="str">
        <x:v>saki_research/published_papers/bigio_silva_zilberman_heterogeneous_beliefs_asset_prices_business_cycles.pdf</x:v>
      </x:c>
      <x:c r="O786" s="25" t="str">
        <x:v>Keynes, John Maynard, The General Theory of Employment, Interest, and Money, London: Macmillan, 1936.</x:v>
      </x:c>
    </x:row>
    <x:row r="787" ht="48" customHeight="1">
      <x:c r="A787" s="24" t="str">
        <x:v>P11-R066</x:v>
      </x:c>
      <x:c r="B787" s="24" t="str">
        <x:v>P11</x:v>
      </x:c>
      <x:c r="C787" s="26" t="n">
        <x:v>66</x:v>
      </x:c>
      <x:c r="D787" s="26" t="n">
        <x:v>53</x:v>
      </x:c>
      <x:c r="E787" s="26" t="n">
        <x:v>53</x:v>
      </x:c>
      <x:c r="F787" s="26" t="str">
        <x:v>Kindleberger</x:v>
      </x:c>
      <x:c r="G787" s="26" t="n">
        <x:v>1996</x:v>
      </x:c>
      <x:c r="H787" s="25" t="str">
        <x:v>Manias, Panics and Crashes: A History of financial crises</x:v>
      </x:c>
      <x:c r="I787" s="25" t="str"/>
      <x:c r="J787" s="25" t="str"/>
      <x:c r="K787" s="25" t="str">
        <x:v>automatic_screen_pass</x:v>
      </x:c>
      <x:c r="L787" s="25" t="str">
        <x:v>accepted</x:v>
      </x:c>
      <x:c r="M787" s="25" t="str">
        <x:v>no</x:v>
      </x:c>
      <x:c r="N787" s="25" t="str">
        <x:v>saki_research/published_papers/bigio_silva_zilberman_heterogeneous_beliefs_asset_prices_business_cycles.pdf</x:v>
      </x:c>
      <x:c r="O787" s="25" t="str">
        <x:v>Kindleberger, Charles P., “Manias, Panics and Crashes: A History of financial crises,” London: Macmilla, 1996.</x:v>
      </x:c>
    </x:row>
    <x:row r="788" ht="48" customHeight="1">
      <x:c r="A788" s="24" t="str">
        <x:v>P11-R067</x:v>
      </x:c>
      <x:c r="B788" s="24" t="str">
        <x:v>P11</x:v>
      </x:c>
      <x:c r="C788" s="26" t="n">
        <x:v>67</x:v>
      </x:c>
      <x:c r="D788" s="26" t="n">
        <x:v>53</x:v>
      </x:c>
      <x:c r="E788" s="26" t="n">
        <x:v>53</x:v>
      </x:c>
      <x:c r="F788" s="26" t="str">
        <x:v>Krishnamurthy</x:v>
      </x:c>
      <x:c r="G788" s="26" t="n">
        <x:v>2017</x:v>
      </x:c>
      <x:c r="H788" s="25" t="str">
        <x:v>How credit cycles across a financial crisis</x:v>
      </x:c>
      <x:c r="I788" s="25" t="str"/>
      <x:c r="J788" s="25" t="str"/>
      <x:c r="K788" s="25" t="str">
        <x:v>automatic_screen_pass</x:v>
      </x:c>
      <x:c r="L788" s="25" t="str">
        <x:v>accepted</x:v>
      </x:c>
      <x:c r="M788" s="25" t="str">
        <x:v>no</x:v>
      </x:c>
      <x:c r="N788" s="25" t="str">
        <x:v>saki_research/published_papers/bigio_silva_zilberman_heterogeneous_beliefs_asset_prices_business_cycles.pdf</x:v>
      </x:c>
      <x:c r="O788" s="25" t="str">
        <x:v>Krishnamurthy, Arvind and Tyler Muir, “How credit cycles across a financial crisis,” Technical Report, National Bureau of Economic Research 2017.</x:v>
      </x:c>
    </x:row>
    <x:row r="789" ht="48" customHeight="1">
      <x:c r="A789" s="24" t="str">
        <x:v>P11-R068</x:v>
      </x:c>
      <x:c r="B789" s="24" t="str">
        <x:v>P11</x:v>
      </x:c>
      <x:c r="C789" s="26" t="n">
        <x:v>68</x:v>
      </x:c>
      <x:c r="D789" s="26" t="n">
        <x:v>53</x:v>
      </x:c>
      <x:c r="E789" s="26" t="n">
        <x:v>53</x:v>
      </x:c>
      <x:c r="F789" s="26" t="str">
        <x:v>Krishnamurthy</x:v>
      </x:c>
      <x:c r="G789" s="26" t="n">
        <x:v>2020</x:v>
      </x:c>
      <x:c r="H789" s="25" t="str">
        <x:v>Dissecting mechanisms of financial crises: Intermediation and sentiment</x:v>
      </x:c>
      <x:c r="I789" s="25" t="str">
        <x:v>inherited_author_notation</x:v>
      </x:c>
      <x:c r="J789" s="25" t="str"/>
      <x:c r="K789" s="25" t="str">
        <x:v>automatic_screen_pass</x:v>
      </x:c>
      <x:c r="L789" s="25" t="str">
        <x:v>accepted</x:v>
      </x:c>
      <x:c r="M789" s="25" t="str">
        <x:v>no</x:v>
      </x:c>
      <x:c r="N789" s="25" t="str">
        <x:v>saki_research/published_papers/bigio_silva_zilberman_heterogeneous_beliefs_asset_prices_business_cycles.pdf</x:v>
      </x:c>
      <x:c r="O789" s="25" t="str">
        <x:v>and Wenhao Li, “Dissecting mechanisms of financial crises: Intermediation and sentiment,” Technical Report, National Bureau of Economic Research 2020.</x:v>
      </x:c>
    </x:row>
    <x:row r="790" ht="48" customHeight="1">
      <x:c r="A790" s="24" t="str">
        <x:v>P11-R069</x:v>
      </x:c>
      <x:c r="B790" s="24" t="str">
        <x:v>P11</x:v>
      </x:c>
      <x:c r="C790" s="26" t="n">
        <x:v>69</x:v>
      </x:c>
      <x:c r="D790" s="26" t="n">
        <x:v>53</x:v>
      </x:c>
      <x:c r="E790" s="26" t="n">
        <x:v>53</x:v>
      </x:c>
      <x:c r="F790" s="26" t="str">
        <x:v>Kubler</x:v>
      </x:c>
      <x:c r="G790" s="26" t="n">
        <x:v>2012</x:v>
      </x:c>
      <x:c r="H790" s="25" t="str">
        <x:v>Financial Innovation and Asset Price Volatility</x:v>
      </x:c>
      <x:c r="I790" s="25" t="str"/>
      <x:c r="J790" s="25" t="str"/>
      <x:c r="K790" s="25" t="str">
        <x:v>automatic_screen_pass</x:v>
      </x:c>
      <x:c r="L790" s="25" t="str">
        <x:v>accepted</x:v>
      </x:c>
      <x:c r="M790" s="25" t="str">
        <x:v>no</x:v>
      </x:c>
      <x:c r="N790" s="25" t="str">
        <x:v>saki_research/published_papers/bigio_silva_zilberman_heterogeneous_beliefs_asset_prices_business_cycles.pdf</x:v>
      </x:c>
      <x:c r="O790" s="25" t="str">
        <x:v>Kubler, Felix and Karl Schmedders, “Financial Innovation and Asset Price Volatility,” American Economic Review, May 2012, 102(3), 147–51.</x:v>
      </x:c>
    </x:row>
    <x:row r="791" ht="48" customHeight="1">
      <x:c r="A791" s="24" t="str">
        <x:v>P11-R070</x:v>
      </x:c>
      <x:c r="B791" s="24" t="str">
        <x:v>P11</x:v>
      </x:c>
      <x:c r="C791" s="26" t="n">
        <x:v>70</x:v>
      </x:c>
      <x:c r="D791" s="26" t="n">
        <x:v>53</x:v>
      </x:c>
      <x:c r="E791" s="26" t="n">
        <x:v>53</x:v>
      </x:c>
      <x:c r="F791" s="26" t="str">
        <x:v>Kydland</x:v>
      </x:c>
      <x:c r="G791" s="26" t="n">
        <x:v>1982</x:v>
      </x:c>
      <x:c r="H791" s="25" t="str">
        <x:v>Time to Build and Aggregate Fluctuations</x:v>
      </x:c>
      <x:c r="I791" s="25" t="str"/>
      <x:c r="J791" s="25" t="str"/>
      <x:c r="K791" s="25" t="str">
        <x:v>prior_manual_sample</x:v>
      </x:c>
      <x:c r="L791" s="25" t="str">
        <x:v>accepted</x:v>
      </x:c>
      <x:c r="M791" s="25" t="str">
        <x:v>no</x:v>
      </x:c>
      <x:c r="N791" s="25" t="str">
        <x:v>saki_research/published_papers/bigio_silva_zilberman_heterogeneous_beliefs_asset_prices_business_cycles.pdf</x:v>
      </x:c>
      <x:c r="O791" s="25" t="str">
        <x:v>Kydland, Finn E. and Edward C. Prescott, “Time to Build and Aggregate Fluctuations,” Econometrica, 1982,50 (6), 1345–1370.</x:v>
      </x:c>
    </x:row>
    <x:row r="792" ht="48" customHeight="1">
      <x:c r="A792" s="24" t="str">
        <x:v>P11-R071</x:v>
      </x:c>
      <x:c r="B792" s="24" t="str">
        <x:v>P11</x:v>
      </x:c>
      <x:c r="C792" s="26" t="n">
        <x:v>71</x:v>
      </x:c>
      <x:c r="D792" s="26" t="n">
        <x:v>53</x:v>
      </x:c>
      <x:c r="E792" s="26" t="n">
        <x:v>53</x:v>
      </x:c>
      <x:c r="F792" s="26" t="str">
        <x:v>Lev</x:v>
      </x:c>
      <x:c r="G792" s="26" t="n">
        <x:v>1974</x:v>
      </x:c>
      <x:c r="H792" s="25" t="str">
        <x:v>Ontheassociationbetweenoperatingleverageandrisk</x:v>
      </x:c>
      <x:c r="I792" s="25" t="str"/>
      <x:c r="J792" s="25" t="str"/>
      <x:c r="K792" s="25" t="str">
        <x:v>prior_manual_sample</x:v>
      </x:c>
      <x:c r="L792" s="25" t="str">
        <x:v>accepted</x:v>
      </x:c>
      <x:c r="M792" s="25" t="str">
        <x:v>no</x:v>
      </x:c>
      <x:c r="N792" s="25" t="str">
        <x:v>saki_research/published_papers/bigio_silva_zilberman_heterogeneous_beliefs_asset_prices_business_cycles.pdf</x:v>
      </x:c>
      <x:c r="O792" s="25" t="str">
        <x:v>Lev,Baruch,“Ontheassociationbetweenoperatingleverageandrisk,”JournalofFinancial and Quantitative Analysis, 1974, 9(4), 627–641.</x:v>
      </x:c>
    </x:row>
    <x:row r="793" ht="48" customHeight="1">
      <x:c r="A793" s="24" t="str">
        <x:v>P11-R072</x:v>
      </x:c>
      <x:c r="B793" s="24" t="str">
        <x:v>P11</x:v>
      </x:c>
      <x:c r="C793" s="26" t="n">
        <x:v>72</x:v>
      </x:c>
      <x:c r="D793" s="26" t="n">
        <x:v>53</x:v>
      </x:c>
      <x:c r="E793" s="26" t="n">
        <x:v>53</x:v>
      </x:c>
      <x:c r="F793" s="26" t="str">
        <x:v>Ljungqvist</x:v>
      </x:c>
      <x:c r="G793" s="26" t="n">
        <x:v>2006</x:v>
      </x:c>
      <x:c r="H793" s="25" t="str">
        <x:v>DoTaxesExplainEuropeanEmployment? Indivisible Labor, Human Capital, Lotteries and Savings</x:v>
      </x:c>
      <x:c r="I793" s="25" t="str"/>
      <x:c r="J793" s="25" t="str"/>
      <x:c r="K793" s="25" t="str">
        <x:v>automatic_screen_pass</x:v>
      </x:c>
      <x:c r="L793" s="25" t="str">
        <x:v>accepted</x:v>
      </x:c>
      <x:c r="M793" s="25" t="str">
        <x:v>no</x:v>
      </x:c>
      <x:c r="N793" s="25" t="str">
        <x:v>saki_research/published_papers/bigio_silva_zilberman_heterogeneous_beliefs_asset_prices_business_cycles.pdf</x:v>
      </x:c>
      <x:c r="O793" s="25" t="str">
        <x:v>Ljungqvist,LarsandThomasJ.Sargent,“DoTaxesExplainEuropeanEmployment? Indivisible Labor, Human Capital, Lotteries and Savings,” in Daron Acemoglu, Kenneth Rogoff, and Michael Woodford, eds., NBER Macroeconomics Annual 2006, Vol. 21, Cambridge, Massachusetts: MIT Press, 2007, pp. 181–246.</x:v>
      </x:c>
    </x:row>
    <x:row r="794" ht="48" customHeight="1">
      <x:c r="A794" s="24" t="str">
        <x:v>P11-R073</x:v>
      </x:c>
      <x:c r="B794" s="24" t="str">
        <x:v>P11</x:v>
      </x:c>
      <x:c r="C794" s="26" t="n">
        <x:v>73</x:v>
      </x:c>
      <x:c r="D794" s="26" t="n">
        <x:v>53</x:v>
      </x:c>
      <x:c r="E794" s="26" t="n">
        <x:v>53</x:v>
      </x:c>
      <x:c r="F794" s="26" t="str">
        <x:v>Lo</x:v>
      </x:c>
      <x:c r="G794" s="26" t="n">
        <x:v>2000</x:v>
      </x:c>
      <x:c r="H794" s="25" t="str">
        <x:v>Trading volume: Definitions, data analysis, and implications of portfolio theory</x:v>
      </x:c>
      <x:c r="I794" s="25" t="str"/>
      <x:c r="J794" s="25" t="str"/>
      <x:c r="K794" s="25" t="str">
        <x:v>automatic_screen_pass</x:v>
      </x:c>
      <x:c r="L794" s="25" t="str">
        <x:v>accepted</x:v>
      </x:c>
      <x:c r="M794" s="25" t="str">
        <x:v>no</x:v>
      </x:c>
      <x:c r="N794" s="25" t="str">
        <x:v>saki_research/published_papers/bigio_silva_zilberman_heterogeneous_beliefs_asset_prices_business_cycles.pdf</x:v>
      </x:c>
      <x:c r="O794" s="25" t="str">
        <x:v>Lo, Andrew W and Jiang Wang, “Trading volume: Definitions, data analysis, and implications of portfolio theory,”Review of Financial Studies, 2000, 13(2), 257–360.</x:v>
      </x:c>
    </x:row>
    <x:row r="795" ht="48" customHeight="1">
      <x:c r="A795" s="24" t="str">
        <x:v>P11-R074</x:v>
      </x:c>
      <x:c r="B795" s="24" t="str">
        <x:v>P11</x:v>
      </x:c>
      <x:c r="C795" s="26" t="n">
        <x:v>74</x:v>
      </x:c>
      <x:c r="D795" s="26" t="n">
        <x:v>53</x:v>
      </x:c>
      <x:c r="E795" s="26" t="n">
        <x:v>53</x:v>
      </x:c>
      <x:c r="F795" s="26" t="str">
        <x:v>López-Salido</x:v>
      </x:c>
      <x:c r="G795" s="26" t="n">
        <x:v>2017</x:v>
      </x:c>
      <x:c r="H795" s="25" t="str">
        <x:v>Credit-market sentiment and the business cycle</x:v>
      </x:c>
      <x:c r="I795" s="25" t="str"/>
      <x:c r="J795" s="25" t="str"/>
      <x:c r="K795" s="25" t="str">
        <x:v>automatic_screen_pass</x:v>
      </x:c>
      <x:c r="L795" s="25" t="str">
        <x:v>accepted</x:v>
      </x:c>
      <x:c r="M795" s="25" t="str">
        <x:v>no</x:v>
      </x:c>
      <x:c r="N795" s="25" t="str">
        <x:v>saki_research/published_papers/bigio_silva_zilberman_heterogeneous_beliefs_asset_prices_business_cycles.pdf</x:v>
      </x:c>
      <x:c r="O795" s="25" t="str">
        <x:v>López-Salido, David, Jeremy C Stein, and Egon Zakrajšek, “Credit-market sentiment and the business cycle,”The Quarterly Journal of Economics, 2017,132 (3), 1373–1426.</x:v>
      </x:c>
    </x:row>
    <x:row r="796" ht="48" customHeight="1">
      <x:c r="A796" s="24" t="str">
        <x:v>P11-R075</x:v>
      </x:c>
      <x:c r="B796" s="24" t="str">
        <x:v>P11</x:v>
      </x:c>
      <x:c r="C796" s="26" t="n">
        <x:v>75</x:v>
      </x:c>
      <x:c r="D796" s="26" t="n">
        <x:v>53</x:v>
      </x:c>
      <x:c r="E796" s="26" t="n">
        <x:v>53</x:v>
      </x:c>
      <x:c r="F796" s="26" t="str">
        <x:v>Mankiw</x:v>
      </x:c>
      <x:c r="G796" s="26" t="n">
        <x:v>2010</x:v>
      </x:c>
      <x:c r="H796" s="25" t="str">
        <x:v>Imperfect information and aggregate supply</x:v>
      </x:c>
      <x:c r="I796" s="25" t="str"/>
      <x:c r="J796" s="25" t="str"/>
      <x:c r="K796" s="25" t="str">
        <x:v>automatic_screen_pass</x:v>
      </x:c>
      <x:c r="L796" s="25" t="str">
        <x:v>accepted</x:v>
      </x:c>
      <x:c r="M796" s="25" t="str">
        <x:v>no</x:v>
      </x:c>
      <x:c r="N796" s="25" t="str">
        <x:v>saki_research/published_papers/bigio_silva_zilberman_heterogeneous_beliefs_asset_prices_business_cycles.pdf</x:v>
      </x:c>
      <x:c r="O796" s="25" t="str">
        <x:v>Mankiw, N Gregory and Ricardo Reis, “Imperfect information and aggregate supply,” Handbook of monetary economics, 2010, 3, 183–229.</x:v>
      </x:c>
    </x:row>
    <x:row r="797" ht="48" customHeight="1">
      <x:c r="A797" s="24" t="str">
        <x:v>P11-R076</x:v>
      </x:c>
      <x:c r="B797" s="24" t="str">
        <x:v>P11</x:v>
      </x:c>
      <x:c r="C797" s="26" t="n">
        <x:v>76</x:v>
      </x:c>
      <x:c r="D797" s="26" t="n">
        <x:v>53</x:v>
      </x:c>
      <x:c r="E797" s="26" t="n">
        <x:v>53</x:v>
      </x:c>
      <x:c r="F797" s="26" t="str">
        <x:v>Mankiw</x:v>
      </x:c>
      <x:c r="G797" s="26" t="n">
        <x:v>1991</x:v>
      </x:c>
      <x:c r="H797" s="25" t="str">
        <x:v>The Consumption of Stockholders and Nonstockholders</x:v>
      </x:c>
      <x:c r="I797" s="25" t="str"/>
      <x:c r="J797" s="25" t="str"/>
      <x:c r="K797" s="25" t="str">
        <x:v>automatic_screen_pass</x:v>
      </x:c>
      <x:c r="L797" s="25" t="str">
        <x:v>accepted</x:v>
      </x:c>
      <x:c r="M797" s="25" t="str">
        <x:v>no</x:v>
      </x:c>
      <x:c r="N797" s="25" t="str">
        <x:v>saki_research/published_papers/bigio_silva_zilberman_heterogeneous_beliefs_asset_prices_business_cycles.pdf</x:v>
      </x:c>
      <x:c r="O797" s="25" t="str">
        <x:v>Mankiw, N. Gregory and Stephen P. Zeldes, “The Consumption of Stockholders and Nonstockholders,”Journal of Financial Economics, 1991,29 (1), 97–112.</x:v>
      </x:c>
    </x:row>
    <x:row r="798" ht="48" customHeight="1">
      <x:c r="A798" s="24" t="str">
        <x:v>P11-R077</x:v>
      </x:c>
      <x:c r="B798" s="24" t="str">
        <x:v>P11</x:v>
      </x:c>
      <x:c r="C798" s="26" t="n">
        <x:v>77</x:v>
      </x:c>
      <x:c r="D798" s="26" t="n">
        <x:v>54</x:v>
      </x:c>
      <x:c r="E798" s="26" t="n">
        <x:v>54</x:v>
      </x:c>
      <x:c r="F798" s="26" t="str">
        <x:v>Martin</x:v>
      </x:c>
      <x:c r="G798" s="26" t="n">
        <x:v>2022</x:v>
      </x:c>
      <x:c r="H798" s="25" t="str">
        <x:v>Sentiment and speculation in a market with heterogeneous beliefs</x:v>
      </x:c>
      <x:c r="I798" s="25" t="str"/>
      <x:c r="J798" s="25" t="str"/>
      <x:c r="K798" s="25" t="str">
        <x:v>automatic_screen_pass</x:v>
      </x:c>
      <x:c r="L798" s="25" t="str">
        <x:v>accepted</x:v>
      </x:c>
      <x:c r="M798" s="25" t="str">
        <x:v>no</x:v>
      </x:c>
      <x:c r="N798" s="25" t="str">
        <x:v>saki_research/published_papers/bigio_silva_zilberman_heterogeneous_beliefs_asset_prices_business_cycles.pdf</x:v>
      </x:c>
      <x:c r="O798" s="25" t="str">
        <x:v>Martin, Ian and Dimitris Papadimitriou, “Sentiment and speculation in a market with heterogeneous beliefs,”American Economic Review, 2022, 112(8), 2465–2517.</x:v>
      </x:c>
    </x:row>
    <x:row r="799" ht="48" customHeight="1">
      <x:c r="A799" s="24" t="str">
        <x:v>P11-R078</x:v>
      </x:c>
      <x:c r="B799" s="24" t="str">
        <x:v>P11</x:v>
      </x:c>
      <x:c r="C799" s="26" t="n">
        <x:v>78</x:v>
      </x:c>
      <x:c r="D799" s="26" t="n">
        <x:v>54</x:v>
      </x:c>
      <x:c r="E799" s="26" t="n">
        <x:v>54</x:v>
      </x:c>
      <x:c r="F799" s="26" t="str">
        <x:v>McCarthy</x:v>
      </x:c>
      <x:c r="G799" s="26" t="n">
        <x:v>2025</x:v>
      </x:c>
      <x:c r="H799" s="25" t="str">
        <x:v>HeterogeneousBeliefsandStockMarket Fluctuations</x:v>
      </x:c>
      <x:c r="I799" s="25" t="str"/>
      <x:c r="J799" s="25" t="str"/>
      <x:c r="K799" s="25" t="str">
        <x:v>automatic_screen_pass</x:v>
      </x:c>
      <x:c r="L799" s="25" t="str">
        <x:v>accepted</x:v>
      </x:c>
      <x:c r="M799" s="25" t="str">
        <x:v>no</x:v>
      </x:c>
      <x:c r="N799" s="25" t="str">
        <x:v>saki_research/published_papers/bigio_silva_zilberman_heterogeneous_beliefs_asset_prices_business_cycles.pdf</x:v>
      </x:c>
      <x:c r="O799" s="25" t="str">
        <x:v>McCarthy,OdhrainandSebastianHillenbrand,“HeterogeneousBeliefsandStockMarket Fluctuations,” Working Paper 2025.</x:v>
      </x:c>
    </x:row>
    <x:row r="800" ht="48" customHeight="1">
      <x:c r="A800" s="24" t="str">
        <x:v>P11-R079</x:v>
      </x:c>
      <x:c r="B800" s="24" t="str">
        <x:v>P11</x:v>
      </x:c>
      <x:c r="C800" s="26" t="n">
        <x:v>79</x:v>
      </x:c>
      <x:c r="D800" s="26" t="n">
        <x:v>54</x:v>
      </x:c>
      <x:c r="E800" s="26" t="n">
        <x:v>54</x:v>
      </x:c>
      <x:c r="F800" s="26" t="str">
        <x:v>Meeuwis</x:v>
      </x:c>
      <x:c r="G800" s="26" t="n">
        <x:v>2024</x:v>
      </x:c>
      <x:c r="H800" s="25" t="str">
        <x:v>Time-Varying Risk Premia and Heterogenous Labor Market Dynamics</x:v>
      </x:c>
      <x:c r="I800" s="25" t="str"/>
      <x:c r="J800" s="25" t="str"/>
      <x:c r="K800" s="25" t="str">
        <x:v>automatic_screen_pass</x:v>
      </x:c>
      <x:c r="L800" s="25" t="str">
        <x:v>accepted</x:v>
      </x:c>
      <x:c r="M800" s="25" t="str">
        <x:v>no</x:v>
      </x:c>
      <x:c r="N800" s="25" t="str">
        <x:v>saki_research/published_papers/bigio_silva_zilberman_heterogeneous_beliefs_asset_prices_business_cycles.pdf</x:v>
      </x:c>
      <x:c r="O800" s="25" t="str">
        <x:v>Meeuwis, Maarten, Dimitris Papanikolaou, Jonathan Rothbaum, and Lawrence DW Schmidt, “Time-Varying Risk Premia and Heterogenous Labor Market Dynamics,” Technical Report, Working Paper 2024.</x:v>
      </x:c>
    </x:row>
    <x:row r="801" ht="48" customHeight="1">
      <x:c r="A801" s="24" t="str">
        <x:v>P11-R080</x:v>
      </x:c>
      <x:c r="B801" s="24" t="str">
        <x:v>P11</x:v>
      </x:c>
      <x:c r="C801" s="26" t="n">
        <x:v>80</x:v>
      </x:c>
      <x:c r="D801" s="26" t="n">
        <x:v>54</x:v>
      </x:c>
      <x:c r="E801" s="26" t="n">
        <x:v>54</x:v>
      </x:c>
      <x:c r="F801" s="26" t="str">
        <x:v>Mehra</x:v>
      </x:c>
      <x:c r="G801" s="26" t="n">
        <x:v>1985</x:v>
      </x:c>
      <x:c r="H801" s="25" t="str">
        <x:v>The Equity Premium: A Puzzle</x:v>
      </x:c>
      <x:c r="I801" s="25" t="str"/>
      <x:c r="J801" s="25" t="str"/>
      <x:c r="K801" s="25" t="str">
        <x:v>automatic_screen_pass</x:v>
      </x:c>
      <x:c r="L801" s="25" t="str">
        <x:v>accepted</x:v>
      </x:c>
      <x:c r="M801" s="25" t="str">
        <x:v>no</x:v>
      </x:c>
      <x:c r="N801" s="25" t="str">
        <x:v>saki_research/published_papers/bigio_silva_zilberman_heterogeneous_beliefs_asset_prices_business_cycles.pdf</x:v>
      </x:c>
      <x:c r="O801" s="25" t="str">
        <x:v>Mehra, Rajnish and Edward C. Prescott, “The Equity Premium: A Puzzle,” Journal of Monetary Economics, 1985,15 (2), 145–161.</x:v>
      </x:c>
    </x:row>
    <x:row r="802" ht="48" customHeight="1">
      <x:c r="A802" s="24" t="str">
        <x:v>P11-R081</x:v>
      </x:c>
      <x:c r="B802" s="24" t="str">
        <x:v>P11</x:v>
      </x:c>
      <x:c r="C802" s="26" t="n">
        <x:v>81</x:v>
      </x:c>
      <x:c r="D802" s="26" t="n">
        <x:v>54</x:v>
      </x:c>
      <x:c r="E802" s="26" t="n">
        <x:v>54</x:v>
      </x:c>
      <x:c r="F802" s="26" t="str">
        <x:v>Menzly</x:v>
      </x:c>
      <x:c r="G802" s="26" t="n">
        <x:v>2004</x:v>
      </x:c>
      <x:c r="H802" s="25" t="str">
        <x:v>Understanding predictability</x:v>
      </x:c>
      <x:c r="I802" s="25" t="str"/>
      <x:c r="J802" s="25" t="str"/>
      <x:c r="K802" s="25" t="str">
        <x:v>automatic_screen_pass</x:v>
      </x:c>
      <x:c r="L802" s="25" t="str">
        <x:v>accepted</x:v>
      </x:c>
      <x:c r="M802" s="25" t="str">
        <x:v>no</x:v>
      </x:c>
      <x:c r="N802" s="25" t="str">
        <x:v>saki_research/published_papers/bigio_silva_zilberman_heterogeneous_beliefs_asset_prices_business_cycles.pdf</x:v>
      </x:c>
      <x:c r="O802" s="25" t="str">
        <x:v>Menzly, Lior, Tano Santos, and Pietro Veronesi, “Understanding predictability,” Journal of Political Economy, 2004, 112(1), 1–47.</x:v>
      </x:c>
    </x:row>
    <x:row r="803" ht="48" customHeight="1">
      <x:c r="A803" s="24" t="str">
        <x:v>P11-R082</x:v>
      </x:c>
      <x:c r="B803" s="24" t="str">
        <x:v>P11</x:v>
      </x:c>
      <x:c r="C803" s="26" t="n">
        <x:v>82</x:v>
      </x:c>
      <x:c r="D803" s="26" t="n">
        <x:v>54</x:v>
      </x:c>
      <x:c r="E803" s="26" t="n">
        <x:v>54</x:v>
      </x:c>
      <x:c r="F803" s="26" t="str">
        <x:v>Merton</x:v>
      </x:c>
      <x:c r="G803" s="26" t="n">
        <x:v>1969</x:v>
      </x:c>
      <x:c r="H803" s="25" t="str">
        <x:v>Lifetime portfolio selection under uncertainty: The continuous-time case</x:v>
      </x:c>
      <x:c r="I803" s="25" t="str"/>
      <x:c r="J803" s="25" t="str"/>
      <x:c r="K803" s="25" t="str">
        <x:v>automatic_screen_pass</x:v>
      </x:c>
      <x:c r="L803" s="25" t="str">
        <x:v>accepted</x:v>
      </x:c>
      <x:c r="M803" s="25" t="str">
        <x:v>no</x:v>
      </x:c>
      <x:c r="N803" s="25" t="str">
        <x:v>saki_research/published_papers/bigio_silva_zilberman_heterogeneous_beliefs_asset_prices_business_cycles.pdf</x:v>
      </x:c>
      <x:c r="O803" s="25" t="str">
        <x:v>Merton, Robert C, “Lifetime portfolio selection under uncertainty: The continuous-time case,”The review of Economics and Statistics, 1969, pp. 247–257.</x:v>
      </x:c>
    </x:row>
    <x:row r="804" ht="48" customHeight="1">
      <x:c r="A804" s="24" t="str">
        <x:v>P11-R083</x:v>
      </x:c>
      <x:c r="B804" s="24" t="str">
        <x:v>P11</x:v>
      </x:c>
      <x:c r="C804" s="26" t="n">
        <x:v>83</x:v>
      </x:c>
      <x:c r="D804" s="26" t="n">
        <x:v>54</x:v>
      </x:c>
      <x:c r="E804" s="26" t="n">
        <x:v>54</x:v>
      </x:c>
      <x:c r="F804" s="26" t="str">
        <x:v>Merton</x:v>
      </x:c>
      <x:c r="G804" s="26" t="n">
        <x:v>1992</x:v>
      </x:c>
      <x:c r="H804" s="25" t="str">
        <x:v>Continuous-time finance</x:v>
      </x:c>
      <x:c r="I804" s="25" t="str">
        <x:v>inherited_author_notation</x:v>
      </x:c>
      <x:c r="J804" s="25" t="str">
        <x:v>local_citation_grammar_v3</x:v>
      </x:c>
      <x:c r="K804" s="25" t="str">
        <x:v>automatic_screen_pass</x:v>
      </x:c>
      <x:c r="L804" s="25" t="str">
        <x:v>accepted</x:v>
      </x:c>
      <x:c r="M804" s="25" t="str">
        <x:v>no</x:v>
      </x:c>
      <x:c r="N804" s="25" t="str">
        <x:v>saki_research/published_papers/bigio_silva_zilberman_heterogeneous_beliefs_asset_prices_business_cycles.pdf</x:v>
      </x:c>
      <x:c r="O804" s="25" t="str">
        <x:v>Continuous-time finance, Blackwell Cambridge, MA, 1992.</x:v>
      </x:c>
    </x:row>
    <x:row r="805" ht="48" customHeight="1">
      <x:c r="A805" s="24" t="str">
        <x:v>P11-R084</x:v>
      </x:c>
      <x:c r="B805" s="24" t="str">
        <x:v>P11</x:v>
      </x:c>
      <x:c r="C805" s="26" t="n">
        <x:v>84</x:v>
      </x:c>
      <x:c r="D805" s="26" t="n">
        <x:v>54</x:v>
      </x:c>
      <x:c r="E805" s="26" t="n">
        <x:v>54</x:v>
      </x:c>
      <x:c r="F805" s="26" t="str">
        <x:v>Minsky</x:v>
      </x:c>
      <x:c r="G805" s="26" t="n">
        <x:v>1986</x:v>
      </x:c>
      <x:c r="H805" s="25" t="str">
        <x:v>Stabilizing an Unstable Economy</x:v>
      </x:c>
      <x:c r="I805" s="25" t="str"/>
      <x:c r="J805" s="25" t="str">
        <x:v>local_citation_grammar_v3</x:v>
      </x:c>
      <x:c r="K805" s="25" t="str">
        <x:v>prior_manual_sample</x:v>
      </x:c>
      <x:c r="L805" s="25" t="str">
        <x:v>accepted</x:v>
      </x:c>
      <x:c r="M805" s="25" t="str">
        <x:v>no</x:v>
      </x:c>
      <x:c r="N805" s="25" t="str">
        <x:v>saki_research/published_papers/bigio_silva_zilberman_heterogeneous_beliefs_asset_prices_business_cycles.pdf</x:v>
      </x:c>
      <x:c r="O805" s="25" t="str">
        <x:v>Minsky, Hyman P., Stabilizing an Unstable Economy, New Haven, CT: Yale University Press, 1986.</x:v>
      </x:c>
    </x:row>
    <x:row r="806" ht="48" customHeight="1">
      <x:c r="A806" s="24" t="str">
        <x:v>P11-R085</x:v>
      </x:c>
      <x:c r="B806" s="24" t="str">
        <x:v>P11</x:v>
      </x:c>
      <x:c r="C806" s="26" t="n">
        <x:v>85</x:v>
      </x:c>
      <x:c r="D806" s="26" t="n">
        <x:v>54</x:v>
      </x:c>
      <x:c r="E806" s="26" t="n">
        <x:v>54</x:v>
      </x:c>
      <x:c r="F806" s="26" t="str">
        <x:v>Nagel</x:v>
      </x:c>
      <x:c r="G806" s="26" t="n">
        <x:v>2022</x:v>
      </x:c>
      <x:c r="H806" s="25" t="str">
        <x:v>Asset pricing with fading memory</x:v>
      </x:c>
      <x:c r="I806" s="25" t="str"/>
      <x:c r="J806" s="25" t="str"/>
      <x:c r="K806" s="25" t="str">
        <x:v>automatic_screen_pass</x:v>
      </x:c>
      <x:c r="L806" s="25" t="str">
        <x:v>accepted</x:v>
      </x:c>
      <x:c r="M806" s="25" t="str">
        <x:v>no</x:v>
      </x:c>
      <x:c r="N806" s="25" t="str">
        <x:v>saki_research/published_papers/bigio_silva_zilberman_heterogeneous_beliefs_asset_prices_business_cycles.pdf</x:v>
      </x:c>
      <x:c r="O806" s="25" t="str">
        <x:v>Nagel, Stefan and Zhengyang Xu, “Asset pricing with fading memory,” The Review of Financial Studies, 2022,35 (5), 2190–2245.</x:v>
      </x:c>
    </x:row>
    <x:row r="807" ht="48" customHeight="1">
      <x:c r="A807" s="24" t="str">
        <x:v>P11-R086</x:v>
      </x:c>
      <x:c r="B807" s="24" t="str">
        <x:v>P11</x:v>
      </x:c>
      <x:c r="C807" s="26" t="n">
        <x:v>86</x:v>
      </x:c>
      <x:c r="D807" s="26" t="n">
        <x:v>54</x:v>
      </x:c>
      <x:c r="E807" s="26" t="n">
        <x:v>54</x:v>
      </x:c>
      <x:c r="F807" s="26" t="str">
        <x:v>Nagel</x:v>
      </x:c>
      <x:c r="G807" s="26" t="n">
        <x:v>2023</x:v>
      </x:c>
      <x:c r="H807" s="25" t="str">
        <x:v>Dynamics of subjective risk premia</x:v>
      </x:c>
      <x:c r="I807" s="25" t="str">
        <x:v>inherited_author_notation</x:v>
      </x:c>
      <x:c r="J807" s="25" t="str">
        <x:v>openalex_doi_conflict_2026-09-16</x:v>
      </x:c>
      <x:c r="K807" s="25" t="str">
        <x:v>automatic_screen_pass</x:v>
      </x:c>
      <x:c r="L807" s="25" t="str">
        <x:v>accepted</x:v>
      </x:c>
      <x:c r="M807" s="25" t="str">
        <x:v>no</x:v>
      </x:c>
      <x:c r="N807" s="25" t="str">
        <x:v>saki_research/published_papers/bigio_silva_zilberman_heterogeneous_beliefs_asset_prices_business_cycles.pdf</x:v>
      </x:c>
      <x:c r="O807" s="25" t="str">
        <x:v>and , “Dynamics of subjective risk premia,” Journal of Financial Economics, 2023, 150 (2), 103713.</x:v>
      </x:c>
    </x:row>
    <x:row r="808" ht="48" customHeight="1">
      <x:c r="A808" s="24" t="str">
        <x:v>P11-R087</x:v>
      </x:c>
      <x:c r="B808" s="24" t="str">
        <x:v>P11</x:v>
      </x:c>
      <x:c r="C808" s="26" t="n">
        <x:v>87</x:v>
      </x:c>
      <x:c r="D808" s="26" t="n">
        <x:v>54</x:v>
      </x:c>
      <x:c r="E808" s="26" t="n">
        <x:v>54</x:v>
      </x:c>
      <x:c r="F808" s="26" t="str">
        <x:v>De la O</x:v>
      </x:c>
      <x:c r="G808" s="26" t="n">
        <x:v>2021</x:v>
      </x:c>
      <x:c r="H808" s="25" t="str">
        <x:v>Subjective Cash Flow and Discount Rate Expectations</x:v>
      </x:c>
      <x:c r="I808" s="25" t="str"/>
      <x:c r="J808" s="25" t="str">
        <x:v>openalex_doi_conflict_2026-09-16</x:v>
      </x:c>
      <x:c r="K808" s="25" t="str">
        <x:v>exhaustive_visual_exception_accepted</x:v>
      </x:c>
      <x:c r="L808" s="25" t="str">
        <x:v>accepted</x:v>
      </x:c>
      <x:c r="M808" s="25" t="str">
        <x:v>no</x:v>
      </x:c>
      <x:c r="N808" s="25" t="str">
        <x:v>saki_research/published_papers/bigio_silva_zilberman_heterogeneous_beliefs_asset_prices_business_cycles.pdf</x:v>
      </x:c>
      <x:c r="O808" s="25" t="str">
        <x:v>O, Ricardo De La and Sean Myers, “Subjective Cash Flow and Discount Rate Expectations,” The Journal of Finance, 2021, 76 (3), 1339–1387. _eprint: https://onlinelibrary.wiley.com/doi/pdf/10.1111/jofi.13016.</x:v>
      </x:c>
    </x:row>
    <x:row r="809" ht="48" customHeight="1">
      <x:c r="A809" s="24" t="str">
        <x:v>P11-R088</x:v>
      </x:c>
      <x:c r="B809" s="24" t="str">
        <x:v>P11</x:v>
      </x:c>
      <x:c r="C809" s="26" t="n">
        <x:v>88</x:v>
      </x:c>
      <x:c r="D809" s="26" t="n">
        <x:v>54</x:v>
      </x:c>
      <x:c r="E809" s="26" t="n">
        <x:v>54</x:v>
      </x:c>
      <x:c r="F809" s="26" t="str">
        <x:v>Panageas</x:v>
      </x:c>
      <x:c r="G809" s="26" t="n">
        <x:v>2005</x:v>
      </x:c>
      <x:c r="H809" s="25" t="str">
        <x:v>The Neoclassical Theory of Investment in Speculative Markets</x:v>
      </x:c>
      <x:c r="I809" s="25" t="str"/>
      <x:c r="J809" s="25" t="str"/>
      <x:c r="K809" s="25" t="str">
        <x:v>automatic_screen_pass</x:v>
      </x:c>
      <x:c r="L809" s="25" t="str">
        <x:v>accepted</x:v>
      </x:c>
      <x:c r="M809" s="25" t="str">
        <x:v>no</x:v>
      </x:c>
      <x:c r="N809" s="25" t="str">
        <x:v>saki_research/published_papers/bigio_silva_zilberman_heterogeneous_beliefs_asset_prices_business_cycles.pdf</x:v>
      </x:c>
      <x:c r="O809" s="25" t="str">
        <x:v>Panageas, Stavros, “The Neoclassical Theory of Investment in Speculative Markets,” 2005. Working Paper.</x:v>
      </x:c>
    </x:row>
    <x:row r="810" ht="48" customHeight="1">
      <x:c r="A810" s="24" t="str">
        <x:v>P11-R089</x:v>
      </x:c>
      <x:c r="B810" s="24" t="str">
        <x:v>P11</x:v>
      </x:c>
      <x:c r="C810" s="26" t="n">
        <x:v>89</x:v>
      </x:c>
      <x:c r="D810" s="26" t="n">
        <x:v>54</x:v>
      </x:c>
      <x:c r="E810" s="26" t="n">
        <x:v>54</x:v>
      </x:c>
      <x:c r="F810" s="26" t="str">
        <x:v>Panageas</x:v>
      </x:c>
      <x:c r="G810" s="26" t="n">
        <x:v>2020</x:v>
      </x:c>
      <x:c r="H810" s="25" t="str">
        <x:v>The implications of heterogeneity and inequality for asset pricing</x:v>
      </x:c>
      <x:c r="I810" s="25" t="str">
        <x:v>inherited_author_notation</x:v>
      </x:c>
      <x:c r="J810" s="25" t="str">
        <x:v>exhaustive_ai_audit_2026-09-17</x:v>
      </x:c>
      <x:c r="K810" s="25" t="str">
        <x:v>exhaustive_visual_correction</x:v>
      </x:c>
      <x:c r="L810" s="25" t="str">
        <x:v>corrected</x:v>
      </x:c>
      <x:c r="M810" s="25" t="str">
        <x:v>no</x:v>
      </x:c>
      <x:c r="N810" s="25" t="str">
        <x:v>saki_research/published_papers/bigio_silva_zilberman_heterogeneous_beliefs_asset_prices_business_cycles.pdf</x:v>
      </x:c>
      <x:c r="O810" s="25" t="str">
        <x:v>, “The implications of heterogeneity and inequality for asset pricing,” Foundations and Trends in Finance, 2020, 12 (3), 199–275.</x:v>
      </x:c>
    </x:row>
    <x:row r="811" ht="48" customHeight="1">
      <x:c r="A811" s="24" t="str">
        <x:v>P11-R090</x:v>
      </x:c>
      <x:c r="B811" s="24" t="str">
        <x:v>P11</x:v>
      </x:c>
      <x:c r="C811" s="26" t="n">
        <x:v>90</x:v>
      </x:c>
      <x:c r="D811" s="26" t="n">
        <x:v>54</x:v>
      </x:c>
      <x:c r="E811" s="26" t="n">
        <x:v>54</x:v>
      </x:c>
      <x:c r="F811" s="26" t="str">
        <x:v>Parker</x:v>
      </x:c>
      <x:c r="G811" s="26" t="n">
        <x:v>2001</x:v>
      </x:c>
      <x:c r="H811" s="25" t="str">
        <x:v>The Consumption Risk of the Stock Market</x:v>
      </x:c>
      <x:c r="I811" s="25" t="str"/>
      <x:c r="J811" s="25" t="str"/>
      <x:c r="K811" s="25" t="str">
        <x:v>automatic_screen_pass</x:v>
      </x:c>
      <x:c r="L811" s="25" t="str">
        <x:v>accepted</x:v>
      </x:c>
      <x:c r="M811" s="25" t="str">
        <x:v>no</x:v>
      </x:c>
      <x:c r="N811" s="25" t="str">
        <x:v>saki_research/published_papers/bigio_silva_zilberman_heterogeneous_beliefs_asset_prices_business_cycles.pdf</x:v>
      </x:c>
      <x:c r="O811" s="25" t="str">
        <x:v>Parker, Jonathan A., “The Consumption Risk of the Stock Market,” Brookings Papers on Economic Activity, 2001,2001 (2), 279–348.</x:v>
      </x:c>
    </x:row>
    <x:row r="812" ht="48" customHeight="1">
      <x:c r="A812" s="24" t="str">
        <x:v>P11-R091</x:v>
      </x:c>
      <x:c r="B812" s="24" t="str">
        <x:v>P11</x:v>
      </x:c>
      <x:c r="C812" s="26" t="n">
        <x:v>91</x:v>
      </x:c>
      <x:c r="D812" s="26" t="n">
        <x:v>54</x:v>
      </x:c>
      <x:c r="E812" s="26" t="n">
        <x:v>54</x:v>
      </x:c>
      <x:c r="F812" s="26" t="str">
        <x:v>Rogerson</x:v>
      </x:c>
      <x:c r="G812" s="26" t="n">
        <x:v>1988</x:v>
      </x:c>
      <x:c r="H812" s="25" t="str">
        <x:v>Indivisible Labor, Lotteries and Equilibrium</x:v>
      </x:c>
      <x:c r="I812" s="25" t="str"/>
      <x:c r="J812" s="25" t="str"/>
      <x:c r="K812" s="25" t="str">
        <x:v>automatic_screen_pass</x:v>
      </x:c>
      <x:c r="L812" s="25" t="str">
        <x:v>accepted</x:v>
      </x:c>
      <x:c r="M812" s="25" t="str">
        <x:v>no</x:v>
      </x:c>
      <x:c r="N812" s="25" t="str">
        <x:v>saki_research/published_papers/bigio_silva_zilberman_heterogeneous_beliefs_asset_prices_business_cycles.pdf</x:v>
      </x:c>
      <x:c r="O812" s="25" t="str">
        <x:v>Rogerson, Richard, “Indivisible Labor, Lotteries and Equilibrium,” Journal of Monetary Economics, 1988, 21 (1), 3–16.</x:v>
      </x:c>
    </x:row>
    <x:row r="813" ht="48" customHeight="1">
      <x:c r="A813" s="24" t="str">
        <x:v>P11-R092</x:v>
      </x:c>
      <x:c r="B813" s="24" t="str">
        <x:v>P11</x:v>
      </x:c>
      <x:c r="C813" s="26" t="n">
        <x:v>92</x:v>
      </x:c>
      <x:c r="D813" s="26" t="n">
        <x:v>54</x:v>
      </x:c>
      <x:c r="E813" s="26" t="n">
        <x:v>54</x:v>
      </x:c>
      <x:c r="F813" s="26" t="str">
        <x:v>Rogerson</x:v>
      </x:c>
      <x:c r="G813" s="26" t="n">
        <x:v>2011</x:v>
      </x:c>
      <x:c r="H813" s="25" t="str">
        <x:v>Searchinmacroeconomicmodelsofthelabormarket</x:v>
      </x:c>
      <x:c r="I813" s="25" t="str"/>
      <x:c r="J813" s="25" t="str"/>
      <x:c r="K813" s="25" t="str">
        <x:v>prior_manual_sample</x:v>
      </x:c>
      <x:c r="L813" s="25" t="str">
        <x:v>accepted</x:v>
      </x:c>
      <x:c r="M813" s="25" t="str">
        <x:v>sí</x:v>
      </x:c>
      <x:c r="N813" s="25" t="str">
        <x:v>saki_research/published_papers/bigio_silva_zilberman_heterogeneous_beliefs_asset_prices_business_cycles.pdf</x:v>
      </x:c>
      <x:c r="O813" s="25" t="str">
        <x:v>andRobertShimer,“Searchinmacroeconomicmodelsofthelabormarket,”in“Handbook of labor economics,” Vol. 4, Elsevier, 2011, pp. 619–700.</x:v>
      </x:c>
    </x:row>
    <x:row r="814" ht="48" customHeight="1">
      <x:c r="A814" s="24" t="str">
        <x:v>P11-R093</x:v>
      </x:c>
      <x:c r="B814" s="24" t="str">
        <x:v>P11</x:v>
      </x:c>
      <x:c r="C814" s="26" t="n">
        <x:v>93</x:v>
      </x:c>
      <x:c r="D814" s="26" t="n">
        <x:v>55</x:v>
      </x:c>
      <x:c r="E814" s="26" t="n">
        <x:v>55</x:v>
      </x:c>
      <x:c r="F814" s="26" t="str">
        <x:v>Santos</x:v>
      </x:c>
      <x:c r="G814" s="26" t="n">
        <x:v>2006</x:v>
      </x:c>
      <x:c r="H814" s="25" t="str">
        <x:v>Labor income and predictable stock returns</x:v>
      </x:c>
      <x:c r="I814" s="25" t="str"/>
      <x:c r="J814" s="25" t="str"/>
      <x:c r="K814" s="25" t="str">
        <x:v>automatic_screen_pass</x:v>
      </x:c>
      <x:c r="L814" s="25" t="str">
        <x:v>accepted</x:v>
      </x:c>
      <x:c r="M814" s="25" t="str">
        <x:v>no</x:v>
      </x:c>
      <x:c r="N814" s="25" t="str">
        <x:v>saki_research/published_papers/bigio_silva_zilberman_heterogeneous_beliefs_asset_prices_business_cycles.pdf</x:v>
      </x:c>
      <x:c r="O814" s="25" t="str">
        <x:v>Santos, Tano and Pietro Veronesi, “Labor income and predictable stock returns,” The Review of Financial Studies, 2006, 19 (1), 1–44.</x:v>
      </x:c>
    </x:row>
    <x:row r="815" ht="48" customHeight="1">
      <x:c r="A815" s="24" t="str">
        <x:v>P11-R094</x:v>
      </x:c>
      <x:c r="B815" s="24" t="str">
        <x:v>P11</x:v>
      </x:c>
      <x:c r="C815" s="26" t="n">
        <x:v>94</x:v>
      </x:c>
      <x:c r="D815" s="26" t="n">
        <x:v>55</x:v>
      </x:c>
      <x:c r="E815" s="26" t="n">
        <x:v>55</x:v>
      </x:c>
      <x:c r="F815" s="26" t="str">
        <x:v>Scheinkman</x:v>
      </x:c>
      <x:c r="G815" s="26" t="n">
        <x:v>2003</x:v>
      </x:c>
      <x:c r="H815" s="25" t="str">
        <x:v>OverconfidenceandSpeculativeBubbles</x:v>
      </x:c>
      <x:c r="I815" s="25" t="str"/>
      <x:c r="J815" s="25" t="str"/>
      <x:c r="K815" s="25" t="str">
        <x:v>prior_manual_sample</x:v>
      </x:c>
      <x:c r="L815" s="25" t="str">
        <x:v>accepted</x:v>
      </x:c>
      <x:c r="M815" s="25" t="str">
        <x:v>no</x:v>
      </x:c>
      <x:c r="N815" s="25" t="str">
        <x:v>saki_research/published_papers/bigio_silva_zilberman_heterogeneous_beliefs_asset_prices_business_cycles.pdf</x:v>
      </x:c>
      <x:c r="O815" s="25" t="str">
        <x:v>Scheinkman,JoséA.andWeiXiong,“OverconfidenceandSpeculativeBubbles,”Journal of Political Economy, 2003, 111(6), 1183–1220.</x:v>
      </x:c>
    </x:row>
    <x:row r="816" ht="48" customHeight="1">
      <x:c r="A816" s="24" t="str">
        <x:v>P11-R095</x:v>
      </x:c>
      <x:c r="B816" s="24" t="str">
        <x:v>P11</x:v>
      </x:c>
      <x:c r="C816" s="26" t="n">
        <x:v>95</x:v>
      </x:c>
      <x:c r="D816" s="26" t="n">
        <x:v>55</x:v>
      </x:c>
      <x:c r="E816" s="26" t="n">
        <x:v>55</x:v>
      </x:c>
      <x:c r="F816" s="26" t="str">
        <x:v>Schmitt-Grohé</x:v>
      </x:c>
      <x:c r="G816" s="26" t="n">
        <x:v>2003</x:v>
      </x:c>
      <x:c r="H816" s="25" t="str">
        <x:v>Closing small open economy models</x:v>
      </x:c>
      <x:c r="I816" s="25" t="str"/>
      <x:c r="J816" s="25" t="str"/>
      <x:c r="K816" s="25" t="str">
        <x:v>automatic_screen_pass</x:v>
      </x:c>
      <x:c r="L816" s="25" t="str">
        <x:v>accepted</x:v>
      </x:c>
      <x:c r="M816" s="25" t="str">
        <x:v>no</x:v>
      </x:c>
      <x:c r="N816" s="25" t="str">
        <x:v>saki_research/published_papers/bigio_silva_zilberman_heterogeneous_beliefs_asset_prices_business_cycles.pdf</x:v>
      </x:c>
      <x:c r="O816" s="25" t="str">
        <x:v>Schmitt-Grohé, Stephanie and Martın Uribe, “Closing small open economy models,” Journal of international Economics, 2003,61 (1), 163–185.</x:v>
      </x:c>
    </x:row>
    <x:row r="817" ht="48" customHeight="1">
      <x:c r="A817" s="24" t="str">
        <x:v>P11-R096</x:v>
      </x:c>
      <x:c r="B817" s="24" t="str">
        <x:v>P11</x:v>
      </x:c>
      <x:c r="C817" s="26" t="n">
        <x:v>96</x:v>
      </x:c>
      <x:c r="D817" s="26" t="n">
        <x:v>55</x:v>
      </x:c>
      <x:c r="E817" s="26" t="n">
        <x:v>55</x:v>
      </x:c>
      <x:c r="F817" s="26" t="str">
        <x:v>Shiller</x:v>
      </x:c>
      <x:c r="G817" s="26" t="n">
        <x:v>2000</x:v>
      </x:c>
      <x:c r="H817" s="25" t="str">
        <x:v>Irrational Exuberance</x:v>
      </x:c>
      <x:c r="I817" s="25" t="str"/>
      <x:c r="J817" s="25" t="str">
        <x:v>local_citation_grammar_v3</x:v>
      </x:c>
      <x:c r="K817" s="25" t="str">
        <x:v>automatic_screen_pass</x:v>
      </x:c>
      <x:c r="L817" s="25" t="str">
        <x:v>accepted</x:v>
      </x:c>
      <x:c r="M817" s="25" t="str">
        <x:v>no</x:v>
      </x:c>
      <x:c r="N817" s="25" t="str">
        <x:v>saki_research/published_papers/bigio_silva_zilberman_heterogeneous_beliefs_asset_prices_business_cycles.pdf</x:v>
      </x:c>
      <x:c r="O817" s="25" t="str">
        <x:v>Shiller, Robert,Irrational Exuberance, Princeton, NJ: Princeton University Press, 2000.</x:v>
      </x:c>
    </x:row>
    <x:row r="818" ht="48" customHeight="1">
      <x:c r="A818" s="24" t="str">
        <x:v>P11-R097</x:v>
      </x:c>
      <x:c r="B818" s="24" t="str">
        <x:v>P11</x:v>
      </x:c>
      <x:c r="C818" s="26" t="n">
        <x:v>97</x:v>
      </x:c>
      <x:c r="D818" s="26" t="n">
        <x:v>55</x:v>
      </x:c>
      <x:c r="E818" s="26" t="n">
        <x:v>55</x:v>
      </x:c>
      <x:c r="F818" s="26" t="str">
        <x:v>Shiller</x:v>
      </x:c>
      <x:c r="G818" s="26" t="n">
        <x:v>1981</x:v>
      </x:c>
      <x:c r="H818" s="25" t="str">
        <x:v>Do stock prices move too much to be justified by subsequent changes in dividends?</x:v>
      </x:c>
      <x:c r="I818" s="25" t="str"/>
      <x:c r="J818" s="25" t="str"/>
      <x:c r="K818" s="25" t="str">
        <x:v>automatic_screen_pass</x:v>
      </x:c>
      <x:c r="L818" s="25" t="str">
        <x:v>accepted</x:v>
      </x:c>
      <x:c r="M818" s="25" t="str">
        <x:v>no</x:v>
      </x:c>
      <x:c r="N818" s="25" t="str">
        <x:v>saki_research/published_papers/bigio_silva_zilberman_heterogeneous_beliefs_asset_prices_business_cycles.pdf</x:v>
      </x:c>
      <x:c r="O818" s="25" t="str">
        <x:v>Shiller, Robert J, “Do stock prices move too much to be justified by subsequent changes in dividends?,” 1981.</x:v>
      </x:c>
    </x:row>
    <x:row r="819" ht="48" customHeight="1">
      <x:c r="A819" s="24" t="str">
        <x:v>P11-R098</x:v>
      </x:c>
      <x:c r="B819" s="24" t="str">
        <x:v>P11</x:v>
      </x:c>
      <x:c r="C819" s="26" t="n">
        <x:v>98</x:v>
      </x:c>
      <x:c r="D819" s="26" t="n">
        <x:v>55</x:v>
      </x:c>
      <x:c r="E819" s="26" t="n">
        <x:v>55</x:v>
      </x:c>
      <x:c r="F819" s="26" t="str">
        <x:v>Shimer</x:v>
      </x:c>
      <x:c r="G819" s="26" t="n">
        <x:v>2010</x:v>
      </x:c>
      <x:c r="H819" s="25" t="str">
        <x:v>Labor Markets and Business Cycles CREI Lectures in Macroeconomics</x:v>
      </x:c>
      <x:c r="I819" s="25" t="str"/>
      <x:c r="J819" s="25" t="str">
        <x:v>local_citation_grammar_v3</x:v>
      </x:c>
      <x:c r="K819" s="25" t="str">
        <x:v>prior_manual_sample</x:v>
      </x:c>
      <x:c r="L819" s="25" t="str">
        <x:v>accepted</x:v>
      </x:c>
      <x:c r="M819" s="25" t="str">
        <x:v>no</x:v>
      </x:c>
      <x:c r="N819" s="25" t="str">
        <x:v>saki_research/published_papers/bigio_silva_zilberman_heterogeneous_beliefs_asset_prices_business_cycles.pdf</x:v>
      </x:c>
      <x:c r="O819" s="25" t="str">
        <x:v>Shimer, Robert, Labor Markets and Business Cycles CREI Lectures in Macroeconomics, Princeton, NJ: Princeton University Press, 2010.</x:v>
      </x:c>
    </x:row>
    <x:row r="820" ht="48" customHeight="1">
      <x:c r="A820" s="24" t="str">
        <x:v>P11-R099</x:v>
      </x:c>
      <x:c r="B820" s="24" t="str">
        <x:v>P11</x:v>
      </x:c>
      <x:c r="C820" s="26" t="n">
        <x:v>99</x:v>
      </x:c>
      <x:c r="D820" s="26" t="n">
        <x:v>55</x:v>
      </x:c>
      <x:c r="E820" s="26" t="n">
        <x:v>55</x:v>
      </x:c>
      <x:c r="F820" s="26" t="str">
        <x:v>Simsek</x:v>
      </x:c>
      <x:c r="G820" s="26" t="n">
        <x:v>2013</x:v>
      </x:c>
      <x:c r="H820" s="25" t="str">
        <x:v>Belief Disagreements and Collateral Constraints</x:v>
      </x:c>
      <x:c r="I820" s="25" t="str"/>
      <x:c r="J820" s="25" t="str"/>
      <x:c r="K820" s="25" t="str">
        <x:v>automatic_screen_pass</x:v>
      </x:c>
      <x:c r="L820" s="25" t="str">
        <x:v>accepted</x:v>
      </x:c>
      <x:c r="M820" s="25" t="str">
        <x:v>no</x:v>
      </x:c>
      <x:c r="N820" s="25" t="str">
        <x:v>saki_research/published_papers/bigio_silva_zilberman_heterogeneous_beliefs_asset_prices_business_cycles.pdf</x:v>
      </x:c>
      <x:c r="O820" s="25" t="str">
        <x:v>Simsek, Alp, “Belief Disagreements and Collateral Constraints,” Econometrica, 2013, 81 (1), 1–53.</x:v>
      </x:c>
    </x:row>
    <x:row r="821" ht="48" customHeight="1">
      <x:c r="A821" s="24" t="str">
        <x:v>P11-R100</x:v>
      </x:c>
      <x:c r="B821" s="24" t="str">
        <x:v>P11</x:v>
      </x:c>
      <x:c r="C821" s="26" t="n">
        <x:v>100</x:v>
      </x:c>
      <x:c r="D821" s="26" t="n">
        <x:v>55</x:v>
      </x:c>
      <x:c r="E821" s="26" t="n">
        <x:v>55</x:v>
      </x:c>
      <x:c r="F821" s="26" t="str">
        <x:v>Simsek</x:v>
      </x:c>
      <x:c r="G821" s="26" t="n">
        <x:v>2013</x:v>
      </x:c>
      <x:c r="H821" s="25" t="str">
        <x:v>Speculation and risk sharing with new financial assets</x:v>
      </x:c>
      <x:c r="I821" s="25" t="str">
        <x:v>inherited_author_notation</x:v>
      </x:c>
      <x:c r="J821" s="25" t="str">
        <x:v>exhaustive_ai_audit_2026-09-17</x:v>
      </x:c>
      <x:c r="K821" s="25" t="str">
        <x:v>exhaustive_visual_correction</x:v>
      </x:c>
      <x:c r="L821" s="25" t="str">
        <x:v>corrected</x:v>
      </x:c>
      <x:c r="M821" s="25" t="str">
        <x:v>no</x:v>
      </x:c>
      <x:c r="N821" s="25" t="str">
        <x:v>saki_research/published_papers/bigio_silva_zilberman_heterogeneous_beliefs_asset_prices_business_cycles.pdf</x:v>
      </x:c>
      <x:c r="O821" s="25" t="str">
        <x:v>, “Speculation and risk sharing with new financial assets,” The Quarterly journal of economics, 2013,128 (3), 1365–1396.</x:v>
      </x:c>
    </x:row>
    <x:row r="822" ht="48" customHeight="1">
      <x:c r="A822" s="24" t="str">
        <x:v>P11-R101</x:v>
      </x:c>
      <x:c r="B822" s="24" t="str">
        <x:v>P11</x:v>
      </x:c>
      <x:c r="C822" s="26" t="n">
        <x:v>101</x:v>
      </x:c>
      <x:c r="D822" s="26" t="n">
        <x:v>55</x:v>
      </x:c>
      <x:c r="E822" s="26" t="n">
        <x:v>55</x:v>
      </x:c>
      <x:c r="F822" s="26" t="str">
        <x:v>Simsek</x:v>
      </x:c>
      <x:c r="G822" s="26" t="n">
        <x:v>2021</x:v>
      </x:c>
      <x:c r="H822" s="25" t="str">
        <x:v>The macroeconomics of financial speculation</x:v>
      </x:c>
      <x:c r="I822" s="25" t="str"/>
      <x:c r="J822" s="25" t="str"/>
      <x:c r="K822" s="25" t="str">
        <x:v>prior_manual_sample</x:v>
      </x:c>
      <x:c r="L822" s="25" t="str">
        <x:v>accepted</x:v>
      </x:c>
      <x:c r="M822" s="25" t="str">
        <x:v>no</x:v>
      </x:c>
      <x:c r="N822" s="25" t="str">
        <x:v>saki_research/published_papers/bigio_silva_zilberman_heterogeneous_beliefs_asset_prices_business_cycles.pdf</x:v>
      </x:c>
      <x:c r="O822" s="25" t="str">
        <x:v>, “The macroeconomics of financial speculation,” Annual Review of Economics, 2021, 13 (1), 335–369.</x:v>
      </x:c>
    </x:row>
    <x:row r="823" ht="48" customHeight="1">
      <x:c r="A823" s="24" t="str">
        <x:v>P11-R102</x:v>
      </x:c>
      <x:c r="B823" s="24" t="str">
        <x:v>P11</x:v>
      </x:c>
      <x:c r="C823" s="26" t="n">
        <x:v>102</x:v>
      </x:c>
      <x:c r="D823" s="26" t="n">
        <x:v>55</x:v>
      </x:c>
      <x:c r="E823" s="26" t="n">
        <x:v>55</x:v>
      </x:c>
      <x:c r="F823" s="26" t="str">
        <x:v>Sprague</x:v>
      </x:c>
      <x:c r="G823" s="26" t="n">
        <x:v>1910</x:v>
      </x:c>
      <x:c r="H823" s="25" t="str">
        <x:v>History of Crises under the National Banking System</x:v>
      </x:c>
      <x:c r="I823" s="25" t="str"/>
      <x:c r="J823" s="25" t="str">
        <x:v>local_citation_grammar_v3</x:v>
      </x:c>
      <x:c r="K823" s="25" t="str">
        <x:v>automatic_screen_pass</x:v>
      </x:c>
      <x:c r="L823" s="25" t="str">
        <x:v>accepted</x:v>
      </x:c>
      <x:c r="M823" s="25" t="str">
        <x:v>no</x:v>
      </x:c>
      <x:c r="N823" s="25" t="str">
        <x:v>saki_research/published_papers/bigio_silva_zilberman_heterogeneous_beliefs_asset_prices_business_cycles.pdf</x:v>
      </x:c>
      <x:c r="O823" s="25" t="str">
        <x:v>Sprague, Oliver Mitchell Wentworth, History of Crises under the National Banking System, Washington, DC: U.S. Government Printing Office, 1910.</x:v>
      </x:c>
    </x:row>
    <x:row r="824" ht="48" customHeight="1">
      <x:c r="A824" s="24" t="str">
        <x:v>P11-R103</x:v>
      </x:c>
      <x:c r="B824" s="24" t="str">
        <x:v>P11</x:v>
      </x:c>
      <x:c r="C824" s="26" t="n">
        <x:v>103</x:v>
      </x:c>
      <x:c r="D824" s="26" t="n">
        <x:v>55</x:v>
      </x:c>
      <x:c r="E824" s="26" t="n">
        <x:v>55</x:v>
      </x:c>
      <x:c r="F824" s="26" t="str">
        <x:v>Swanson</x:v>
      </x:c>
      <x:c r="G824" s="26" t="n">
        <x:v>2018</x:v>
      </x:c>
      <x:c r="H824" s="25" t="str">
        <x:v>Risk aversion, risk premia, and the labor margin with generalized recursive preferences</x:v>
      </x:c>
      <x:c r="I824" s="25" t="str"/>
      <x:c r="J824" s="25" t="str"/>
      <x:c r="K824" s="25" t="str">
        <x:v>automatic_screen_pass</x:v>
      </x:c>
      <x:c r="L824" s="25" t="str">
        <x:v>accepted</x:v>
      </x:c>
      <x:c r="M824" s="25" t="str">
        <x:v>no</x:v>
      </x:c>
      <x:c r="N824" s="25" t="str">
        <x:v>saki_research/published_papers/bigio_silva_zilberman_heterogeneous_beliefs_asset_prices_business_cycles.pdf</x:v>
      </x:c>
      <x:c r="O824" s="25" t="str">
        <x:v>Swanson, Eric T, “Risk aversion, risk premia, and the labor margin with generalized recursive preferences,”Review of Economic Dynamics, 2018, 28, 290–321.</x:v>
      </x:c>
    </x:row>
    <x:row r="825" ht="48" customHeight="1">
      <x:c r="A825" s="24" t="str">
        <x:v>P11-R104</x:v>
      </x:c>
      <x:c r="B825" s="24" t="str">
        <x:v>P11</x:v>
      </x:c>
      <x:c r="C825" s="26" t="n">
        <x:v>104</x:v>
      </x:c>
      <x:c r="D825" s="26" t="n">
        <x:v>55</x:v>
      </x:c>
      <x:c r="E825" s="26" t="n">
        <x:v>55</x:v>
      </x:c>
      <x:c r="F825" s="26" t="str">
        <x:v>Tallarini</x:v>
      </x:c>
      <x:c r="G825" s="26" t="n">
        <x:v>2000</x:v>
      </x:c>
      <x:c r="H825" s="25" t="str">
        <x:v>Risk-sensitive Real Business Cycles</x:v>
      </x:c>
      <x:c r="I825" s="25" t="str"/>
      <x:c r="J825" s="25" t="str"/>
      <x:c r="K825" s="25" t="str">
        <x:v>automatic_screen_pass</x:v>
      </x:c>
      <x:c r="L825" s="25" t="str">
        <x:v>accepted</x:v>
      </x:c>
      <x:c r="M825" s="25" t="str">
        <x:v>no</x:v>
      </x:c>
      <x:c r="N825" s="25" t="str">
        <x:v>saki_research/published_papers/bigio_silva_zilberman_heterogeneous_beliefs_asset_prices_business_cycles.pdf</x:v>
      </x:c>
      <x:c r="O825" s="25" t="str">
        <x:v>Tallarini, Thomas D., “Risk-sensitive Real Business Cycles,” Journal of Monetary Economics, 2000,45 (3), 507–532.</x:v>
      </x:c>
    </x:row>
    <x:row r="826" ht="48" customHeight="1">
      <x:c r="A826" s="24" t="str">
        <x:v>P11-R105</x:v>
      </x:c>
      <x:c r="B826" s="24" t="str">
        <x:v>P11</x:v>
      </x:c>
      <x:c r="C826" s="26" t="n">
        <x:v>105</x:v>
      </x:c>
      <x:c r="D826" s="26" t="n">
        <x:v>55</x:v>
      </x:c>
      <x:c r="E826" s="26" t="n">
        <x:v>55</x:v>
      </x:c>
      <x:c r="F826" s="26" t="str">
        <x:v>Thesmar</x:v>
      </x:c>
      <x:c r="G826" s="26" t="n">
        <x:v>2025</x:v>
      </x:c>
      <x:c r="H826" s="25" t="str">
        <x:v>BeliefsandStockMarketFluctuations: NewEvidence from the Past Seven Decades</x:v>
      </x:c>
      <x:c r="I826" s="25" t="str"/>
      <x:c r="J826" s="25" t="str"/>
      <x:c r="K826" s="25" t="str">
        <x:v>automatic_screen_pass</x:v>
      </x:c>
      <x:c r="L826" s="25" t="str">
        <x:v>accepted</x:v>
      </x:c>
      <x:c r="M826" s="25" t="str">
        <x:v>no</x:v>
      </x:c>
      <x:c r="N826" s="25" t="str">
        <x:v>saki_research/published_papers/bigio_silva_zilberman_heterogeneous_beliefs_asset_prices_business_cycles.pdf</x:v>
      </x:c>
      <x:c r="O826" s="25" t="str">
        <x:v>Thesmar,DavidandEmilVerner,“BeliefsandStockMarketFluctuations: NewEvidence from the Past Seven Decades,” Working Paper 2025.</x:v>
      </x:c>
    </x:row>
    <x:row r="827" ht="48" customHeight="1">
      <x:c r="A827" s="24" t="str">
        <x:v>P11-R106</x:v>
      </x:c>
      <x:c r="B827" s="24" t="str">
        <x:v>P11</x:v>
      </x:c>
      <x:c r="C827" s="26" t="n">
        <x:v>106</x:v>
      </x:c>
      <x:c r="D827" s="26" t="n">
        <x:v>55</x:v>
      </x:c>
      <x:c r="E827" s="26" t="n">
        <x:v>55</x:v>
      </x:c>
      <x:c r="F827" s="26" t="str">
        <x:v>Uzawa</x:v>
      </x:c>
      <x:c r="G827" s="26" t="n">
        <x:v>2017</x:v>
      </x:c>
      <x:c r="H827" s="25" t="str">
        <x:v>Timepreference,theconsumptionfunction,andoptimumassetholdings</x:v>
      </x:c>
      <x:c r="I827" s="25" t="str"/>
      <x:c r="J827" s="25" t="str">
        <x:v>exhaustive_ai_audit_2026-09-17</x:v>
      </x:c>
      <x:c r="K827" s="25" t="str">
        <x:v>exhaustive_visual_correction</x:v>
      </x:c>
      <x:c r="L827" s="25" t="str">
        <x:v>corrected</x:v>
      </x:c>
      <x:c r="M827" s="25" t="str">
        <x:v>sí</x:v>
      </x:c>
      <x:c r="N827" s="25" t="str">
        <x:v>saki_research/published_papers/bigio_silva_zilberman_heterogeneous_beliefs_asset_prices_business_cycles.pdf</x:v>
      </x:c>
      <x:c r="O827" s="25" t="str">
        <x:v>Uzawa,Hirofumi,“Timepreference,theconsumptionfunction,andoptimumassetholdings,” in “Value, capital and Growth,” Routledge, 2017, pp. 485–504.</x:v>
      </x:c>
    </x:row>
    <x:row r="828" ht="48" customHeight="1">
      <x:c r="A828" s="24" t="str">
        <x:v>P11-R107</x:v>
      </x:c>
      <x:c r="B828" s="24" t="str">
        <x:v>P11</x:v>
      </x:c>
      <x:c r="C828" s="26" t="n">
        <x:v>107</x:v>
      </x:c>
      <x:c r="D828" s="26" t="n">
        <x:v>55</x:v>
      </x:c>
      <x:c r="E828" s="26" t="n">
        <x:v>55</x:v>
      </x:c>
      <x:c r="F828" s="26" t="str">
        <x:v>van der Beck</x:v>
      </x:c>
      <x:c r="G828" s="26" t="n">
        <x:v>2025</x:v>
      </x:c>
      <x:c r="H828" s="25" t="str">
        <x:v>A Bound on Price Impact and Disagreement</x:v>
      </x:c>
      <x:c r="I828" s="25" t="str"/>
      <x:c r="J828" s="25" t="str">
        <x:v>exhaustive_ai_audit_2026-09-17</x:v>
      </x:c>
      <x:c r="K828" s="25" t="str">
        <x:v>exhaustive_visual_correction</x:v>
      </x:c>
      <x:c r="L828" s="25" t="str">
        <x:v>corrected</x:v>
      </x:c>
      <x:c r="M828" s="25" t="str">
        <x:v>no</x:v>
      </x:c>
      <x:c r="N828" s="25" t="str">
        <x:v>saki_research/published_papers/bigio_silva_zilberman_heterogeneous_beliefs_asset_prices_business_cycles.pdf</x:v>
      </x:c>
      <x:c r="O828" s="25" t="str">
        <x:v>van der Beck, Philippe, Lorenzo Bretscher, and Julie Zhiyu Fu, “A Bound on Price Impact and Disagreement,” Swiss Finance Institute Research Paper Series 25-77, Swiss Finance Institute Oct 2025.</x:v>
      </x:c>
    </x:row>
    <x:row r="829" ht="48" customHeight="1">
      <x:c r="A829" s="24" t="str">
        <x:v>P11-R108</x:v>
      </x:c>
      <x:c r="B829" s="24" t="str">
        <x:v>P11</x:v>
      </x:c>
      <x:c r="C829" s="26" t="n">
        <x:v>108</x:v>
      </x:c>
      <x:c r="D829" s="26" t="n">
        <x:v>55</x:v>
      </x:c>
      <x:c r="E829" s="26" t="n">
        <x:v>55</x:v>
      </x:c>
      <x:c r="F829" s="26" t="str">
        <x:v>Xiong</x:v>
      </x:c>
      <x:c r="G829" s="26" t="n">
        <x:v>2009</x:v>
      </x:c>
      <x:c r="H829" s="25" t="str">
        <x:v>HeterogeneousExpectationsandBondMarkets</x:v>
      </x:c>
      <x:c r="I829" s="25" t="str"/>
      <x:c r="J829" s="25" t="str"/>
      <x:c r="K829" s="25" t="str">
        <x:v>prior_manual_sample</x:v>
      </x:c>
      <x:c r="L829" s="25" t="str">
        <x:v>accepted</x:v>
      </x:c>
      <x:c r="M829" s="25" t="str">
        <x:v>no</x:v>
      </x:c>
      <x:c r="N829" s="25" t="str">
        <x:v>saki_research/published_papers/bigio_silva_zilberman_heterogeneous_beliefs_asset_prices_business_cycles.pdf</x:v>
      </x:c>
      <x:c r="O829" s="25" t="str">
        <x:v>Xiong,WeiandHongjunYan,“HeterogeneousExpectationsandBondMarkets,”Review of Financial Studies, 2009, 23 (4), 1433–1466.</x:v>
      </x:c>
    </x:row>
    <x:row r="830" ht="48" customHeight="1">
      <x:c r="A830" s="24" t="str">
        <x:v>P02-R001</x:v>
      </x:c>
      <x:c r="B830" s="24" t="str">
        <x:v>P02</x:v>
      </x:c>
      <x:c r="C830" s="26" t="n">
        <x:v>1</x:v>
      </x:c>
      <x:c r="D830" s="26" t="n">
        <x:v>38</x:v>
      </x:c>
      <x:c r="E830" s="26" t="n">
        <x:v>38</x:v>
      </x:c>
      <x:c r="F830" s="26" t="str">
        <x:v>Acemoglu</x:v>
      </x:c>
      <x:c r="G830" s="26" t="n">
        <x:v>2005</x:v>
      </x:c>
      <x:c r="H830" s="25" t="str">
        <x:v>Politics and economics in weak and strong states</x:v>
      </x:c>
      <x:c r="I830" s="25" t="str"/>
      <x:c r="J830" s="25" t="str">
        <x:v>local_citation_grammar_v3</x:v>
      </x:c>
      <x:c r="K830" s="25" t="str">
        <x:v>prior_manual_sample</x:v>
      </x:c>
      <x:c r="L830" s="25" t="str">
        <x:v>accepted</x:v>
      </x:c>
      <x:c r="M830" s="25" t="str">
        <x:v>no</x:v>
      </x:c>
      <x:c r="N830" s="25" t="str">
        <x:v>saki_research/published_papers/bigio_zilberman_optimal_self_employment_income_tax_enforcement.pdf</x:v>
      </x:c>
      <x:c r="O830" s="25" t="str">
        <x:v>D. Acemoglu. Politics and economics in weak and strong states. Journal of Monetary Economics, 52(7):1199–1226, October 2005.31</x:v>
      </x:c>
    </x:row>
    <x:row r="831" ht="48" customHeight="1">
      <x:c r="A831" s="24" t="str">
        <x:v>P02-R002</x:v>
      </x:c>
      <x:c r="B831" s="24" t="str">
        <x:v>P02</x:v>
      </x:c>
      <x:c r="C831" s="26" t="n">
        <x:v>2</x:v>
      </x:c>
      <x:c r="D831" s="26" t="n">
        <x:v>38</x:v>
      </x:c>
      <x:c r="E831" s="26" t="n">
        <x:v>38</x:v>
      </x:c>
      <x:c r="F831" s="26" t="str">
        <x:v>Acemoglu</x:v>
      </x:c>
      <x:c r="G831" s="26"/>
      <x:c r="H831" s="25" t="str">
        <x:v>Emergence and persistence of inefficient states states</x:v>
      </x:c>
      <x:c r="I831" s="25" t="str">
        <x:v>missing_year</x:v>
      </x:c>
      <x:c r="J831" s="25" t="str">
        <x:v>local_citation_grammar_v3; openalex_review_fusion_2026-09-17</x:v>
      </x:c>
      <x:c r="K831" s="25" t="str">
        <x:v>automatic_screen_pass</x:v>
      </x:c>
      <x:c r="L831" s="25" t="str">
        <x:v>accepted</x:v>
      </x:c>
      <x:c r="M831" s="25" t="str">
        <x:v>no</x:v>
      </x:c>
      <x:c r="N831" s="25" t="str">
        <x:v>saki_research/published_papers/bigio_zilberman_optimal_self_employment_income_tax_enforcement.pdf</x:v>
      </x:c>
      <x:c r="O831" s="25" t="str">
        <x:v>D. Acemoglu, D. Ticchi, and A. Vindigni. Emergence and persistence of inefficient states states. Journal of the European Economic Association, forthcoming.</x:v>
      </x:c>
    </x:row>
    <x:row r="832" ht="48" customHeight="1">
      <x:c r="A832" s="24" t="str">
        <x:v>P02-R003</x:v>
      </x:c>
      <x:c r="B832" s="24" t="str">
        <x:v>P02</x:v>
      </x:c>
      <x:c r="C832" s="26" t="n">
        <x:v>3</x:v>
      </x:c>
      <x:c r="D832" s="26" t="n">
        <x:v>38</x:v>
      </x:c>
      <x:c r="E832" s="26" t="n">
        <x:v>38</x:v>
      </x:c>
      <x:c r="F832" s="26" t="str">
        <x:v>Allingham</x:v>
      </x:c>
      <x:c r="G832" s="26" t="n">
        <x:v>1972</x:v>
      </x:c>
      <x:c r="H832" s="25" t="str">
        <x:v>Income tax evasion: A theoretical analysis</x:v>
      </x:c>
      <x:c r="I832" s="25" t="str"/>
      <x:c r="J832" s="25" t="str">
        <x:v>openalex_review_fusion_2026-09-17</x:v>
      </x:c>
      <x:c r="K832" s="25" t="str">
        <x:v>automatic_screen_pass</x:v>
      </x:c>
      <x:c r="L832" s="25" t="str">
        <x:v>accepted</x:v>
      </x:c>
      <x:c r="M832" s="25" t="str">
        <x:v>no</x:v>
      </x:c>
      <x:c r="N832" s="25" t="str">
        <x:v>saki_research/published_papers/bigio_zilberman_optimal_self_employment_income_tax_enforcement.pdf</x:v>
      </x:c>
      <x:c r="O832" s="25" t="str">
        <x:v>M. G. Allingham and A. Sandmo. Income tax evasion: A theoretical analysis. Journal of Public Economics, 1(3-4):323–338, November 1972.</x:v>
      </x:c>
    </x:row>
    <x:row r="833" ht="48" customHeight="1">
      <x:c r="A833" s="24" t="str">
        <x:v>P02-R004</x:v>
      </x:c>
      <x:c r="B833" s="24" t="str">
        <x:v>P02</x:v>
      </x:c>
      <x:c r="C833" s="26" t="n">
        <x:v>4</x:v>
      </x:c>
      <x:c r="D833" s="26" t="n">
        <x:v>38</x:v>
      </x:c>
      <x:c r="E833" s="26" t="n">
        <x:v>38</x:v>
      </x:c>
      <x:c r="F833" s="26" t="str">
        <x:v>Amaral</x:v>
      </x:c>
      <x:c r="G833" s="26" t="n">
        <x:v>2006</x:v>
      </x:c>
      <x:c r="H833" s="25" t="str">
        <x:v>A competitive model of the informal sector</x:v>
      </x:c>
      <x:c r="I833" s="25" t="str"/>
      <x:c r="J833" s="25" t="str">
        <x:v>local_citation_grammar_v3</x:v>
      </x:c>
      <x:c r="K833" s="25" t="str">
        <x:v>automatic_screen_pass</x:v>
      </x:c>
      <x:c r="L833" s="25" t="str">
        <x:v>accepted</x:v>
      </x:c>
      <x:c r="M833" s="25" t="str">
        <x:v>no</x:v>
      </x:c>
      <x:c r="N833" s="25" t="str">
        <x:v>saki_research/published_papers/bigio_zilberman_optimal_self_employment_income_tax_enforcement.pdf</x:v>
      </x:c>
      <x:c r="O833" s="25" t="str">
        <x:v>P. S. Amaral and E. Quintin. A competitive model of the informal sector. Journal of Monetary Economics, 53(7):1541–1553, October 2006.4</x:v>
      </x:c>
    </x:row>
    <x:row r="834" ht="48" customHeight="1">
      <x:c r="A834" s="24" t="str">
        <x:v>P02-R005</x:v>
      </x:c>
      <x:c r="B834" s="24" t="str">
        <x:v>P02</x:v>
      </x:c>
      <x:c r="C834" s="26" t="n">
        <x:v>5</x:v>
      </x:c>
      <x:c r="D834" s="26" t="n">
        <x:v>38</x:v>
      </x:c>
      <x:c r="E834" s="26" t="n">
        <x:v>38</x:v>
      </x:c>
      <x:c r="F834" s="26" t="str">
        <x:v>Andreoni</x:v>
      </x:c>
      <x:c r="G834" s="26" t="n">
        <x:v>1998</x:v>
      </x:c>
      <x:c r="H834" s="25" t="str">
        <x:v>Tax compliance</x:v>
      </x:c>
      <x:c r="I834" s="25" t="str"/>
      <x:c r="J834" s="25" t="str">
        <x:v>local_citation_grammar_v3</x:v>
      </x:c>
      <x:c r="K834" s="25" t="str">
        <x:v>automatic_screen_pass</x:v>
      </x:c>
      <x:c r="L834" s="25" t="str">
        <x:v>accepted</x:v>
      </x:c>
      <x:c r="M834" s="25" t="str">
        <x:v>no</x:v>
      </x:c>
      <x:c r="N834" s="25" t="str">
        <x:v>saki_research/published_papers/bigio_zilberman_optimal_self_employment_income_tax_enforcement.pdf</x:v>
      </x:c>
      <x:c r="O834" s="25" t="str">
        <x:v>J. Andreoni, B. Erard, and J. Feinstein. Tax compliance. Journal of Economic Literature, 36(2):818–860, June 1998.2,24</x:v>
      </x:c>
    </x:row>
    <x:row r="835" ht="48" customHeight="1">
      <x:c r="A835" s="24" t="str">
        <x:v>P02-R006</x:v>
      </x:c>
      <x:c r="B835" s="24" t="str">
        <x:v>P02</x:v>
      </x:c>
      <x:c r="C835" s="26" t="n">
        <x:v>6</x:v>
      </x:c>
      <x:c r="D835" s="26" t="n">
        <x:v>38</x:v>
      </x:c>
      <x:c r="E835" s="26" t="n">
        <x:v>38</x:v>
      </x:c>
      <x:c r="F835" s="26" t="str">
        <x:v>Antunes</x:v>
      </x:c>
      <x:c r="G835" s="26" t="n">
        <x:v>2007</x:v>
      </x:c>
      <x:c r="H835" s="25" t="str">
        <x:v>Start up costs, limited enforcement, and the hidden economy</x:v>
      </x:c>
      <x:c r="I835" s="25" t="str"/>
      <x:c r="J835" s="25" t="str">
        <x:v>local_citation_grammar_v3</x:v>
      </x:c>
      <x:c r="K835" s="25" t="str">
        <x:v>automatic_screen_pass</x:v>
      </x:c>
      <x:c r="L835" s="25" t="str">
        <x:v>accepted</x:v>
      </x:c>
      <x:c r="M835" s="25" t="str">
        <x:v>no</x:v>
      </x:c>
      <x:c r="N835" s="25" t="str">
        <x:v>saki_research/published_papers/bigio_zilberman_optimal_self_employment_income_tax_enforcement.pdf</x:v>
      </x:c>
      <x:c r="O835" s="25" t="str">
        <x:v>A. R. Antunes and T. Cavalcanti. Start up costs, limited enforcement, and the hidden economy. European Economic Review, 51(1):203–224, January 2007.4</x:v>
      </x:c>
    </x:row>
    <x:row r="836" ht="48" customHeight="1">
      <x:c r="A836" s="24" t="str">
        <x:v>P02-R007</x:v>
      </x:c>
      <x:c r="B836" s="24" t="str">
        <x:v>P02</x:v>
      </x:c>
      <x:c r="C836" s="26" t="n">
        <x:v>7</x:v>
      </x:c>
      <x:c r="D836" s="26" t="n">
        <x:v>38</x:v>
      </x:c>
      <x:c r="E836" s="26" t="n">
        <x:v>38</x:v>
      </x:c>
      <x:c r="F836" s="26" t="str">
        <x:v>Arachi</x:v>
      </x:c>
      <x:c r="G836" s="26" t="n">
        <x:v>2007</x:v>
      </x:c>
      <x:c r="H836" s="25" t="str">
        <x:v>Tax enforcement for SMEs: Lessons from the Italian experience?</x:v>
      </x:c>
      <x:c r="I836" s="25" t="str"/>
      <x:c r="J836" s="25" t="str">
        <x:v>literal_citation_review_2026-09-16</x:v>
      </x:c>
      <x:c r="K836" s="25" t="str">
        <x:v>automatic_screen_pass</x:v>
      </x:c>
      <x:c r="L836" s="25" t="str">
        <x:v>accepted</x:v>
      </x:c>
      <x:c r="M836" s="25" t="str">
        <x:v>no</x:v>
      </x:c>
      <x:c r="N836" s="25" t="str">
        <x:v>saki_research/published_papers/bigio_zilberman_optimal_self_employment_income_tax_enforcement.pdf</x:v>
      </x:c>
      <x:c r="O836" s="25" t="str">
        <x:v>G. Arachi and A. Santoro. Tax enforcement for smes: Lessons from the italian experience? eJournal of Tax Research, 5(2):225–243, 2007.24</x:v>
      </x:c>
    </x:row>
    <x:row r="837" ht="48" customHeight="1">
      <x:c r="A837" s="24" t="str">
        <x:v>P02-R008</x:v>
      </x:c>
      <x:c r="B837" s="24" t="str">
        <x:v>P02</x:v>
      </x:c>
      <x:c r="C837" s="26" t="n">
        <x:v>8</x:v>
      </x:c>
      <x:c r="D837" s="26" t="n">
        <x:v>38</x:v>
      </x:c>
      <x:c r="E837" s="26" t="n">
        <x:v>38</x:v>
      </x:c>
      <x:c r="F837" s="26" t="str">
        <x:v>Bassetto</x:v>
      </x:c>
      <x:c r="G837" s="26" t="n">
        <x:v>2008</x:v>
      </x:c>
      <x:c r="H837" s="25" t="str">
        <x:v>Tax riots</x:v>
      </x:c>
      <x:c r="I837" s="25" t="str"/>
      <x:c r="J837" s="25" t="str">
        <x:v>local_citation_grammar_v3</x:v>
      </x:c>
      <x:c r="K837" s="25" t="str">
        <x:v>automatic_screen_pass</x:v>
      </x:c>
      <x:c r="L837" s="25" t="str">
        <x:v>accepted</x:v>
      </x:c>
      <x:c r="M837" s="25" t="str">
        <x:v>no</x:v>
      </x:c>
      <x:c r="N837" s="25" t="str">
        <x:v>saki_research/published_papers/bigio_zilberman_optimal_self_employment_income_tax_enforcement.pdf</x:v>
      </x:c>
      <x:c r="O837" s="25" t="str">
        <x:v>M. Bassetto and C. Phelan. Tax riots. Review of Economic Studies, 75(3):649–669, July 2008.2</x:v>
      </x:c>
    </x:row>
    <x:row r="838" ht="48" customHeight="1">
      <x:c r="A838" s="24" t="str">
        <x:v>P02-R009</x:v>
      </x:c>
      <x:c r="B838" s="24" t="str">
        <x:v>P02</x:v>
      </x:c>
      <x:c r="C838" s="26" t="n">
        <x:v>9</x:v>
      </x:c>
      <x:c r="D838" s="26" t="n">
        <x:v>38</x:v>
      </x:c>
      <x:c r="E838" s="26" t="n">
        <x:v>38</x:v>
      </x:c>
      <x:c r="F838" s="26" t="str">
        <x:v>Bayer</x:v>
      </x:c>
      <x:c r="G838" s="26" t="n">
        <x:v>2009</x:v>
      </x:c>
      <x:c r="H838" s="25" t="str">
        <x:v>Tax compliance and firms’ strategic interdependence</x:v>
      </x:c>
      <x:c r="I838" s="25" t="str"/>
      <x:c r="J838" s="25" t="str">
        <x:v>local_citation_grammar_v3</x:v>
      </x:c>
      <x:c r="K838" s="25" t="str">
        <x:v>automatic_screen_pass</x:v>
      </x:c>
      <x:c r="L838" s="25" t="str">
        <x:v>accepted</x:v>
      </x:c>
      <x:c r="M838" s="25" t="str">
        <x:v>no</x:v>
      </x:c>
      <x:c r="N838" s="25" t="str">
        <x:v>saki_research/published_papers/bigio_zilberman_optimal_self_employment_income_tax_enforcement.pdf</x:v>
      </x:c>
      <x:c r="O838" s="25" t="str">
        <x:v>R. Bayer and F. Cowell. Tax compliance and firms’ strategic interdependence. Journal of Public Economics, 93(11-12):1131–1143, December 2009.13</x:v>
      </x:c>
    </x:row>
    <x:row r="839" ht="48" customHeight="1">
      <x:c r="A839" s="24" t="str">
        <x:v>P02-R010</x:v>
      </x:c>
      <x:c r="B839" s="24" t="str">
        <x:v>P02</x:v>
      </x:c>
      <x:c r="C839" s="26" t="n">
        <x:v>10</x:v>
      </x:c>
      <x:c r="D839" s="26" t="n">
        <x:v>38</x:v>
      </x:c>
      <x:c r="E839" s="26" t="n">
        <x:v>38</x:v>
      </x:c>
      <x:c r="F839" s="26" t="str">
        <x:v>Becker</x:v>
      </x:c>
      <x:c r="G839" s="26" t="n">
        <x:v>1968</x:v>
      </x:c>
      <x:c r="H839" s="25" t="str">
        <x:v>Crime and punishment: An economic approach</x:v>
      </x:c>
      <x:c r="I839" s="25" t="str"/>
      <x:c r="J839" s="25" t="str">
        <x:v>local_citation_grammar_v3</x:v>
      </x:c>
      <x:c r="K839" s="25" t="str">
        <x:v>automatic_screen_pass</x:v>
      </x:c>
      <x:c r="L839" s="25" t="str">
        <x:v>accepted</x:v>
      </x:c>
      <x:c r="M839" s="25" t="str">
        <x:v>no</x:v>
      </x:c>
      <x:c r="N839" s="25" t="str">
        <x:v>saki_research/published_papers/bigio_zilberman_optimal_self_employment_income_tax_enforcement.pdf</x:v>
      </x:c>
      <x:c r="O839" s="25" t="str">
        <x:v>G. S. Becker. Crime and punishment: An economic approach. Journal of Political Economy, 76(2):169–217, March/April 1968.12</x:v>
      </x:c>
    </x:row>
    <x:row r="840" ht="48" customHeight="1">
      <x:c r="A840" s="24" t="str">
        <x:v>P02-R011</x:v>
      </x:c>
      <x:c r="B840" s="24" t="str">
        <x:v>P02</x:v>
      </x:c>
      <x:c r="C840" s="26" t="n">
        <x:v>11</x:v>
      </x:c>
      <x:c r="D840" s="26" t="n">
        <x:v>38</x:v>
      </x:c>
      <x:c r="E840" s="26" t="n">
        <x:v>38</x:v>
      </x:c>
      <x:c r="F840" s="26" t="str">
        <x:v>Besley</x:v>
      </x:c>
      <x:c r="G840" s="26" t="n">
        <x:v>2009</x:v>
      </x:c>
      <x:c r="H840" s="25" t="str">
        <x:v>The origins of state capacity: Property rights, taxation and politics</x:v>
      </x:c>
      <x:c r="I840" s="25" t="str"/>
      <x:c r="J840" s="25" t="str">
        <x:v>local_citation_grammar_v3</x:v>
      </x:c>
      <x:c r="K840" s="25" t="str">
        <x:v>automatic_screen_pass</x:v>
      </x:c>
      <x:c r="L840" s="25" t="str">
        <x:v>accepted</x:v>
      </x:c>
      <x:c r="M840" s="25" t="str">
        <x:v>no</x:v>
      </x:c>
      <x:c r="N840" s="25" t="str">
        <x:v>saki_research/published_papers/bigio_zilberman_optimal_self_employment_income_tax_enforcement.pdf</x:v>
      </x:c>
      <x:c r="O840" s="25" t="str">
        <x:v>T. Besley and T. Persson. The origins of state capacity: Property rights, taxation and politics. American Economic Review, 99(4):1218–1244, September 2009.31</x:v>
      </x:c>
    </x:row>
    <x:row r="841" ht="48" customHeight="1">
      <x:c r="A841" s="24" t="str">
        <x:v>P02-R012</x:v>
      </x:c>
      <x:c r="B841" s="24" t="str">
        <x:v>P02</x:v>
      </x:c>
      <x:c r="C841" s="26" t="n">
        <x:v>12</x:v>
      </x:c>
      <x:c r="D841" s="26" t="n">
        <x:v>38</x:v>
      </x:c>
      <x:c r="E841" s="26" t="n">
        <x:v>38</x:v>
      </x:c>
      <x:c r="F841" s="26" t="str">
        <x:v>Besley</x:v>
      </x:c>
      <x:c r="G841" s="26" t="n">
        <x:v>2010</x:v>
      </x:c>
      <x:c r="H841" s="25" t="str">
        <x:v>State capacity, conflict and development</x:v>
      </x:c>
      <x:c r="I841" s="25" t="str"/>
      <x:c r="J841" s="25" t="str">
        <x:v>local_citation_grammar_v3</x:v>
      </x:c>
      <x:c r="K841" s="25" t="str">
        <x:v>automatic_screen_pass</x:v>
      </x:c>
      <x:c r="L841" s="25" t="str">
        <x:v>accepted</x:v>
      </x:c>
      <x:c r="M841" s="25" t="str">
        <x:v>no</x:v>
      </x:c>
      <x:c r="N841" s="25" t="str">
        <x:v>saki_research/published_papers/bigio_zilberman_optimal_self_employment_income_tax_enforcement.pdf</x:v>
      </x:c>
      <x:c r="O841" s="25" t="str">
        <x:v>T. Besley and T. Persson. State capacity, conflict and development. Econometrica, 78(1): 1–34, January 2010.31</x:v>
      </x:c>
    </x:row>
    <x:row r="842" ht="48" customHeight="1">
      <x:c r="A842" s="24" t="str">
        <x:v>P02-R013</x:v>
      </x:c>
      <x:c r="B842" s="24" t="str">
        <x:v>P02</x:v>
      </x:c>
      <x:c r="C842" s="26" t="n">
        <x:v>13</x:v>
      </x:c>
      <x:c r="D842" s="26" t="n">
        <x:v>38</x:v>
      </x:c>
      <x:c r="E842" s="26" t="n">
        <x:v>38</x:v>
      </x:c>
      <x:c r="F842" s="26" t="str">
        <x:v>Bird</x:v>
      </x:c>
      <x:c r="G842" s="26" t="n">
        <x:v>2004</x:v>
      </x:c>
      <x:c r="H842" s="25" t="str">
        <x:v>Is it really so hard to tax the hard-to-tax? the context and role of presumptive taxes</x:v>
      </x:c>
      <x:c r="I842" s="25" t="str"/>
      <x:c r="J842" s="25" t="str">
        <x:v>local_citation_grammar_v3</x:v>
      </x:c>
      <x:c r="K842" s="25" t="str">
        <x:v>automatic_screen_pass</x:v>
      </x:c>
      <x:c r="L842" s="25" t="str">
        <x:v>accepted</x:v>
      </x:c>
      <x:c r="M842" s="25" t="str">
        <x:v>no</x:v>
      </x:c>
      <x:c r="N842" s="25" t="str">
        <x:v>saki_research/published_papers/bigio_zilberman_optimal_self_employment_income_tax_enforcement.pdf</x:v>
      </x:c>
      <x:c r="O842" s="25" t="str">
        <x:v>R. M. Bird and S. Wallace. Is it really so hard to tax the hard-to-tax? the context and role of presumptive taxes. In J. Alm, J. Marinez-Vazquez, and S. Wallace, editors, Taxing the Hard-to-Tax: Lessons from Theory and Practice, chapter 5, pages 121–158. Elsevier B.V., 2004.5,31</x:v>
      </x:c>
    </x:row>
    <x:row r="843" ht="48" customHeight="1">
      <x:c r="A843" s="24" t="str">
        <x:v>P02-R014</x:v>
      </x:c>
      <x:c r="B843" s="24" t="str">
        <x:v>P02</x:v>
      </x:c>
      <x:c r="C843" s="26" t="n">
        <x:v>14</x:v>
      </x:c>
      <x:c r="D843" s="26" t="n">
        <x:v>39</x:v>
      </x:c>
      <x:c r="E843" s="26" t="n">
        <x:v>39</x:v>
      </x:c>
      <x:c r="F843" s="26" t="str">
        <x:v>Border</x:v>
      </x:c>
      <x:c r="G843" s="26" t="n">
        <x:v>1987</x:v>
      </x:c>
      <x:c r="H843" s="25" t="str">
        <x:v>Samurai accountant: A theory of auditing and plunder</x:v>
      </x:c>
      <x:c r="I843" s="25" t="str"/>
      <x:c r="J843" s="25" t="str">
        <x:v>local_citation_grammar_v3</x:v>
      </x:c>
      <x:c r="K843" s="25" t="str">
        <x:v>automatic_screen_pass</x:v>
      </x:c>
      <x:c r="L843" s="25" t="str">
        <x:v>accepted</x:v>
      </x:c>
      <x:c r="M843" s="25" t="str">
        <x:v>no</x:v>
      </x:c>
      <x:c r="N843" s="25" t="str">
        <x:v>saki_research/published_papers/bigio_zilberman_optimal_self_employment_income_tax_enforcement.pdf</x:v>
      </x:c>
      <x:c r="O843" s="25" t="str">
        <x:v>K. C. Border and J. Sobel. Samurai accountant: A theory of auditing and plunder. Review of Economic Studies, 54(4):525–540, October 1987.2</x:v>
      </x:c>
    </x:row>
    <x:row r="844" ht="48" customHeight="1">
      <x:c r="A844" s="24" t="str">
        <x:v>P02-R015</x:v>
      </x:c>
      <x:c r="B844" s="24" t="str">
        <x:v>P02</x:v>
      </x:c>
      <x:c r="C844" s="26" t="n">
        <x:v>15</x:v>
      </x:c>
      <x:c r="D844" s="26" t="n">
        <x:v>39</x:v>
      </x:c>
      <x:c r="E844" s="26" t="n">
        <x:v>39</x:v>
      </x:c>
      <x:c r="F844" s="26" t="str">
        <x:v>Chander</x:v>
      </x:c>
      <x:c r="G844" s="26" t="n">
        <x:v>1998</x:v>
      </x:c>
      <x:c r="H844" s="25" t="str">
        <x:v>General characterization of optimal income tax enforcement</x:v>
      </x:c>
      <x:c r="I844" s="25" t="str"/>
      <x:c r="J844" s="25" t="str">
        <x:v>local_citation_grammar_v3</x:v>
      </x:c>
      <x:c r="K844" s="25" t="str">
        <x:v>automatic_screen_pass</x:v>
      </x:c>
      <x:c r="L844" s="25" t="str">
        <x:v>accepted</x:v>
      </x:c>
      <x:c r="M844" s="25" t="str">
        <x:v>no</x:v>
      </x:c>
      <x:c r="N844" s="25" t="str">
        <x:v>saki_research/published_papers/bigio_zilberman_optimal_self_employment_income_tax_enforcement.pdf</x:v>
      </x:c>
      <x:c r="O844" s="25" t="str">
        <x:v>P. Chander and L. L. Wilde. General characterization of optimal income tax enforcement. Review of Economic Studies, 65(1):165–183, January 1998.2</x:v>
      </x:c>
    </x:row>
    <x:row r="845" ht="48" customHeight="1">
      <x:c r="A845" s="24" t="str">
        <x:v>P02-R016</x:v>
      </x:c>
      <x:c r="B845" s="24" t="str">
        <x:v>P02</x:v>
      </x:c>
      <x:c r="C845" s="26" t="n">
        <x:v>16</x:v>
      </x:c>
      <x:c r="D845" s="26" t="n">
        <x:v>39</x:v>
      </x:c>
      <x:c r="E845" s="26" t="n">
        <x:v>39</x:v>
      </x:c>
      <x:c r="F845" s="26" t="str">
        <x:v>Chen</x:v>
      </x:c>
      <x:c r="G845" s="26" t="n">
        <x:v>2005</x:v>
      </x:c>
      <x:c r="H845" s="25" t="str">
        <x:v>external manipulation: A model of corporate income tax evasion</x:v>
      </x:c>
      <x:c r="I845" s="25" t="str"/>
      <x:c r="J845" s="25" t="str">
        <x:v>local_citation_grammar_v3</x:v>
      </x:c>
      <x:c r="K845" s="25" t="str">
        <x:v>automatic_screen_pass</x:v>
      </x:c>
      <x:c r="L845" s="25" t="str">
        <x:v>accepted</x:v>
      </x:c>
      <x:c r="M845" s="25" t="str">
        <x:v>no</x:v>
      </x:c>
      <x:c r="N845" s="25" t="str">
        <x:v>saki_research/published_papers/bigio_zilberman_optimal_self_employment_income_tax_enforcement.pdf</x:v>
      </x:c>
      <x:c r="O845" s="25" t="str">
        <x:v>K.-P. Chen and C. Y. C. Chu. Internal control vs. external manipulation: A model of corporate income tax evasion. Rand Journal of Economics, 36(1):151–164, Spring 2005.</x:v>
      </x:c>
    </x:row>
    <x:row r="846" ht="48" customHeight="1">
      <x:c r="A846" s="24" t="str">
        <x:v>P02-R017</x:v>
      </x:c>
      <x:c r="B846" s="24" t="str">
        <x:v>P02</x:v>
      </x:c>
      <x:c r="C846" s="26" t="n">
        <x:v>17</x:v>
      </x:c>
      <x:c r="D846" s="26" t="n">
        <x:v>39</x:v>
      </x:c>
      <x:c r="E846" s="26" t="n">
        <x:v>39</x:v>
      </x:c>
      <x:c r="F846" s="26" t="str">
        <x:v>Choi</x:v>
      </x:c>
      <x:c r="G846" s="26" t="n">
        <x:v>2005</x:v>
      </x:c>
      <x:c r="H846" s="25" t="str">
        <x:v>Corruption and the shadow economy</x:v>
      </x:c>
      <x:c r="I846" s="25" t="str"/>
      <x:c r="J846" s="25" t="str">
        <x:v>local_citation_grammar_v3</x:v>
      </x:c>
      <x:c r="K846" s="25" t="str">
        <x:v>automatic_screen_pass</x:v>
      </x:c>
      <x:c r="L846" s="25" t="str">
        <x:v>accepted</x:v>
      </x:c>
      <x:c r="M846" s="25" t="str">
        <x:v>no</x:v>
      </x:c>
      <x:c r="N846" s="25" t="str">
        <x:v>saki_research/published_papers/bigio_zilberman_optimal_self_employment_income_tax_enforcement.pdf</x:v>
      </x:c>
      <x:c r="O846" s="25" t="str">
        <x:v>J. P. Choi and M. Tum. Corruption and the shadow economy. International Economic Review, 46(3):817–836, August 2005.4</x:v>
      </x:c>
    </x:row>
    <x:row r="847" ht="48" customHeight="1">
      <x:c r="A847" s="24" t="str">
        <x:v>P02-R018</x:v>
      </x:c>
      <x:c r="B847" s="24" t="str">
        <x:v>P02</x:v>
      </x:c>
      <x:c r="C847" s="26" t="n">
        <x:v>18</x:v>
      </x:c>
      <x:c r="D847" s="26" t="n">
        <x:v>39</x:v>
      </x:c>
      <x:c r="E847" s="26" t="n">
        <x:v>39</x:v>
      </x:c>
      <x:c r="F847" s="26" t="str">
        <x:v>Cremer</x:v>
      </x:c>
      <x:c r="G847" s="26" t="n">
        <x:v>1996</x:v>
      </x:c>
      <x:c r="H847" s="25" t="str">
        <x:v>Tax evasion and the general income tax</x:v>
      </x:c>
      <x:c r="I847" s="25" t="str"/>
      <x:c r="J847" s="25" t="str">
        <x:v>local_citation_grammar_v3</x:v>
      </x:c>
      <x:c r="K847" s="25" t="str">
        <x:v>automatic_screen_pass</x:v>
      </x:c>
      <x:c r="L847" s="25" t="str">
        <x:v>accepted</x:v>
      </x:c>
      <x:c r="M847" s="25" t="str">
        <x:v>no</x:v>
      </x:c>
      <x:c r="N847" s="25" t="str">
        <x:v>saki_research/published_papers/bigio_zilberman_optimal_self_employment_income_tax_enforcement.pdf</x:v>
      </x:c>
      <x:c r="O847" s="25" t="str">
        <x:v>H. Cremer and F. Gahvari. Tax evasion and the general income tax. Journal of Public Economics, 60(2):235–249, May 1996.2</x:v>
      </x:c>
    </x:row>
    <x:row r="848" ht="48" customHeight="1">
      <x:c r="A848" s="24" t="str">
        <x:v>P02-R019</x:v>
      </x:c>
      <x:c r="B848" s="24" t="str">
        <x:v>P02</x:v>
      </x:c>
      <x:c r="C848" s="26" t="n">
        <x:v>19</x:v>
      </x:c>
      <x:c r="D848" s="26" t="n">
        <x:v>39</x:v>
      </x:c>
      <x:c r="E848" s="26" t="n">
        <x:v>39</x:v>
      </x:c>
      <x:c r="F848" s="26" t="str">
        <x:v>Crocker</x:v>
      </x:c>
      <x:c r="G848" s="26" t="n">
        <x:v>2005</x:v>
      </x:c>
      <x:c r="H848" s="25" t="str">
        <x:v>Corporate tax evasion with agency costs</x:v>
      </x:c>
      <x:c r="I848" s="25" t="str"/>
      <x:c r="J848" s="25" t="str">
        <x:v>local_citation_grammar_v3</x:v>
      </x:c>
      <x:c r="K848" s="25" t="str">
        <x:v>automatic_screen_pass</x:v>
      </x:c>
      <x:c r="L848" s="25" t="str">
        <x:v>accepted</x:v>
      </x:c>
      <x:c r="M848" s="25" t="str">
        <x:v>no</x:v>
      </x:c>
      <x:c r="N848" s="25" t="str">
        <x:v>saki_research/published_papers/bigio_zilberman_optimal_self_employment_income_tax_enforcement.pdf</x:v>
      </x:c>
      <x:c r="O848" s="25" t="str">
        <x:v>K. J. Crocker and J. Slemrod. Corporate tax evasion with agency costs. Journal of Public Economics, 89(9-10):1593–1610, September 2005.13</x:v>
      </x:c>
    </x:row>
    <x:row r="849" ht="48" customHeight="1">
      <x:c r="A849" s="24" t="str">
        <x:v>P02-R020</x:v>
      </x:c>
      <x:c r="B849" s="24" t="str">
        <x:v>P02</x:v>
      </x:c>
      <x:c r="C849" s="26" t="n">
        <x:v>20</x:v>
      </x:c>
      <x:c r="D849" s="26" t="n">
        <x:v>39</x:v>
      </x:c>
      <x:c r="E849" s="26" t="n">
        <x:v>39</x:v>
      </x:c>
      <x:c r="F849" s="26" t="str">
        <x:v>Dabla-Norris</x:v>
      </x:c>
      <x:c r="G849" s="26" t="n">
        <x:v>2008</x:v>
      </x:c>
      <x:c r="H849" s="25" t="str">
        <x:v>3,4,20 A</x:v>
      </x:c>
      <x:c r="I849" s="25" t="str"/>
      <x:c r="J849" s="25" t="str">
        <x:v>local_citation_grammar_v3</x:v>
      </x:c>
      <x:c r="K849" s="25" t="str">
        <x:v>automatic_screen_pass</x:v>
      </x:c>
      <x:c r="L849" s="25" t="str">
        <x:v>accepted</x:v>
      </x:c>
      <x:c r="M849" s="25" t="str">
        <x:v>no</x:v>
      </x:c>
      <x:c r="N849" s="25" t="str">
        <x:v>saki_research/published_papers/bigio_zilberman_optimal_self_employment_income_tax_enforcement.pdf</x:v>
      </x:c>
      <x:c r="O849" s="25" t="str">
        <x:v>E. Dabla-Norris, M. Gradstein, and G. Inchauste. What causes firms to hide output? the determinants of informality. Journal of Development Economics, 85(1-2):1–27, February 2008.3,4,20 A. de Paula and J. A. Scheinkman. The informal sector: An equilibrium model and some empirical evidence from brazil. PIER Working Paper 09-044, 2009.4 A. de Paula and J. A. Scheinkman. Value added taxes, chain effects and informality. American Economic Journal: Macroeconomics, forthcoming.9</x:v>
      </x:c>
    </x:row>
    <x:row r="850" ht="48" customHeight="1">
      <x:c r="A850" s="24" t="str">
        <x:v>P02-R021</x:v>
      </x:c>
      <x:c r="B850" s="24" t="str">
        <x:v>P02</x:v>
      </x:c>
      <x:c r="C850" s="26" t="n">
        <x:v>21</x:v>
      </x:c>
      <x:c r="D850" s="26" t="n">
        <x:v>39</x:v>
      </x:c>
      <x:c r="E850" s="26" t="n">
        <x:v>39</x:v>
      </x:c>
      <x:c r="F850" s="26" t="str">
        <x:v>Dharmapala</x:v>
      </x:c>
      <x:c r="G850" s="26" t="n">
        <x:v>2009</x:v>
      </x:c>
      <x:c r="H850" s="25" t="str">
        <x:v>Tax policy and the missing middle: Optimal tax remittance with firm-level administrative costs</x:v>
      </x:c>
      <x:c r="I850" s="25" t="str"/>
      <x:c r="J850" s="25" t="str">
        <x:v>local_citation_grammar_v3</x:v>
      </x:c>
      <x:c r="K850" s="25" t="str">
        <x:v>automatic_screen_pass</x:v>
      </x:c>
      <x:c r="L850" s="25" t="str">
        <x:v>accepted</x:v>
      </x:c>
      <x:c r="M850" s="25" t="str">
        <x:v>no</x:v>
      </x:c>
      <x:c r="N850" s="25" t="str">
        <x:v>saki_research/published_papers/bigio_zilberman_optimal_self_employment_income_tax_enforcement.pdf</x:v>
      </x:c>
      <x:c r="O850" s="25" t="str">
        <x:v>D. Dharmapala, J. Slemrod, and J. D. Wilson. Tax policy and the missing middle: Optimal tax remittance with firm-level administrative costs. Working Paper, 2009.21</x:v>
      </x:c>
    </x:row>
    <x:row r="851" ht="48" customHeight="1">
      <x:c r="A851" s="24" t="str">
        <x:v>P02-R022</x:v>
      </x:c>
      <x:c r="B851" s="24" t="str">
        <x:v>P02</x:v>
      </x:c>
      <x:c r="C851" s="26" t="n">
        <x:v>22</x:v>
      </x:c>
      <x:c r="D851" s="26" t="n">
        <x:v>39</x:v>
      </x:c>
      <x:c r="E851" s="26" t="n">
        <x:v>39</x:v>
      </x:c>
      <x:c r="F851" s="26" t="str">
        <x:v>Fortin</x:v>
      </x:c>
      <x:c r="G851" s="26" t="n">
        <x:v>1997</x:v>
      </x:c>
      <x:c r="H851" s="25" t="str">
        <x:v>Taxation, wage controls and the informal sector</x:v>
      </x:c>
      <x:c r="I851" s="25" t="str"/>
      <x:c r="J851" s="25" t="str">
        <x:v>local_citation_grammar_v3</x:v>
      </x:c>
      <x:c r="K851" s="25" t="str">
        <x:v>automatic_screen_pass</x:v>
      </x:c>
      <x:c r="L851" s="25" t="str">
        <x:v>accepted</x:v>
      </x:c>
      <x:c r="M851" s="25" t="str">
        <x:v>no</x:v>
      </x:c>
      <x:c r="N851" s="25" t="str">
        <x:v>saki_research/published_papers/bigio_zilberman_optimal_self_employment_income_tax_enforcement.pdf</x:v>
      </x:c>
      <x:c r="O851" s="25" t="str">
        <x:v>B. Fortin, N. Marceau, and L. Savard. Taxation, wage controls and the informal sector. Journal of Public Economics, 66(2):293–312, November 1997.4</x:v>
      </x:c>
    </x:row>
    <x:row r="852" ht="48" customHeight="1">
      <x:c r="A852" s="24" t="str">
        <x:v>P02-R023</x:v>
      </x:c>
      <x:c r="B852" s="24" t="str">
        <x:v>P02</x:v>
      </x:c>
      <x:c r="C852" s="26" t="n">
        <x:v>23</x:v>
      </x:c>
      <x:c r="D852" s="26" t="n">
        <x:v>39</x:v>
      </x:c>
      <x:c r="E852" s="26" t="n">
        <x:v>39</x:v>
      </x:c>
      <x:c r="F852" s="26" t="str">
        <x:v>Fudenberg</x:v>
      </x:c>
      <x:c r="G852" s="26" t="n">
        <x:v>1991</x:v>
      </x:c>
      <x:c r="H852" s="25" t="str">
        <x:v>Game Theory</x:v>
      </x:c>
      <x:c r="I852" s="25" t="str"/>
      <x:c r="J852" s="25" t="str">
        <x:v>local_citation_grammar_v3</x:v>
      </x:c>
      <x:c r="K852" s="25" t="str">
        <x:v>automatic_screen_pass</x:v>
      </x:c>
      <x:c r="L852" s="25" t="str">
        <x:v>accepted</x:v>
      </x:c>
      <x:c r="M852" s="25" t="str">
        <x:v>no</x:v>
      </x:c>
      <x:c r="N852" s="25" t="str">
        <x:v>saki_research/published_papers/bigio_zilberman_optimal_self_employment_income_tax_enforcement.pdf</x:v>
      </x:c>
      <x:c r="O852" s="25" t="str">
        <x:v>D. Fudenberg and J. Tirole. Game Theory. MIT Press, 1991.26</x:v>
      </x:c>
    </x:row>
    <x:row r="853" ht="48" customHeight="1">
      <x:c r="A853" s="24" t="str">
        <x:v>P02-R024</x:v>
      </x:c>
      <x:c r="B853" s="24" t="str">
        <x:v>P02</x:v>
      </x:c>
      <x:c r="C853" s="26" t="n">
        <x:v>24</x:v>
      </x:c>
      <x:c r="D853" s="26" t="n">
        <x:v>39</x:v>
      </x:c>
      <x:c r="E853" s="26" t="n">
        <x:v>39</x:v>
      </x:c>
      <x:c r="F853" s="26" t="str">
        <x:v>Gordon</x:v>
      </x:c>
      <x:c r="G853" s="26" t="n">
        <x:v>2009</x:v>
      </x:c>
      <x:c r="H853" s="25" t="str">
        <x:v>Tax structures in developing countries: Many puzzles and a possible explanation</x:v>
      </x:c>
      <x:c r="I853" s="25" t="str"/>
      <x:c r="J853" s="25" t="str">
        <x:v>local_citation_grammar_v3</x:v>
      </x:c>
      <x:c r="K853" s="25" t="str">
        <x:v>automatic_screen_pass</x:v>
      </x:c>
      <x:c r="L853" s="25" t="str">
        <x:v>accepted</x:v>
      </x:c>
      <x:c r="M853" s="25" t="str">
        <x:v>no</x:v>
      </x:c>
      <x:c r="N853" s="25" t="str">
        <x:v>saki_research/published_papers/bigio_zilberman_optimal_self_employment_income_tax_enforcement.pdf</x:v>
      </x:c>
      <x:c r="O853" s="25" t="str">
        <x:v>R. Gordon and W. Li. Tax structures in developing countries: Many puzzles and a possible explanation. Journal of Public Economics, 93(7-8):855–866, August 2009.9</x:v>
      </x:c>
    </x:row>
    <x:row r="854" ht="48" customHeight="1">
      <x:c r="A854" s="24" t="str">
        <x:v>P02-R025</x:v>
      </x:c>
      <x:c r="B854" s="24" t="str">
        <x:v>P02</x:v>
      </x:c>
      <x:c r="C854" s="26" t="n">
        <x:v>25</x:v>
      </x:c>
      <x:c r="D854" s="26" t="n">
        <x:v>39</x:v>
      </x:c>
      <x:c r="E854" s="26" t="n">
        <x:v>39</x:v>
      </x:c>
      <x:c r="F854" s="26" t="str">
        <x:v>Jullien</x:v>
      </x:c>
      <x:c r="G854" s="26" t="n">
        <x:v>2000</x:v>
      </x:c>
      <x:c r="H854" s="25" t="str">
        <x:v>Participation constraints in adverse selection models</x:v>
      </x:c>
      <x:c r="I854" s="25" t="str"/>
      <x:c r="J854" s="25" t="str">
        <x:v>local_citation_grammar_v3</x:v>
      </x:c>
      <x:c r="K854" s="25" t="str">
        <x:v>prior_manual_sample</x:v>
      </x:c>
      <x:c r="L854" s="25" t="str">
        <x:v>accepted</x:v>
      </x:c>
      <x:c r="M854" s="25" t="str">
        <x:v>no</x:v>
      </x:c>
      <x:c r="N854" s="25" t="str">
        <x:v>saki_research/published_papers/bigio_zilberman_optimal_self_employment_income_tax_enforcement.pdf</x:v>
      </x:c>
      <x:c r="O854" s="25" t="str">
        <x:v>B. Jullien. Participation constraints in adverse selection models. Journal of Economic Theory, 93(1):1–47, July 2000.28</x:v>
      </x:c>
    </x:row>
    <x:row r="855" ht="48" customHeight="1">
      <x:c r="A855" s="24" t="str">
        <x:v>P02-R026</x:v>
      </x:c>
      <x:c r="B855" s="24" t="str">
        <x:v>P02</x:v>
      </x:c>
      <x:c r="C855" s="26" t="n">
        <x:v>26</x:v>
      </x:c>
      <x:c r="D855" s="26" t="n">
        <x:v>40</x:v>
      </x:c>
      <x:c r="E855" s="26" t="n">
        <x:v>40</x:v>
      </x:c>
      <x:c r="F855" s="26" t="str">
        <x:v>Kleven</x:v>
      </x:c>
      <x:c r="G855" s="26" t="n">
        <x:v>2009</x:v>
      </x:c>
      <x:c r="H855" s="25" t="str">
        <x:v>Why can modern governments tax so much? an agency model of firms as fiscal intermediaries</x:v>
      </x:c>
      <x:c r="I855" s="25" t="str"/>
      <x:c r="J855" s="25" t="str">
        <x:v>local_citation_grammar_v3</x:v>
      </x:c>
      <x:c r="K855" s="25" t="str">
        <x:v>automatic_screen_pass</x:v>
      </x:c>
      <x:c r="L855" s="25" t="str">
        <x:v>accepted</x:v>
      </x:c>
      <x:c r="M855" s="25" t="str">
        <x:v>no</x:v>
      </x:c>
      <x:c r="N855" s="25" t="str">
        <x:v>saki_research/published_papers/bigio_zilberman_optimal_self_employment_income_tax_enforcement.pdf</x:v>
      </x:c>
      <x:c r="O855" s="25" t="str">
        <x:v>H. J. Kleven, C. T. Kreiner, and E. Saez. Why can modern governments tax so much? an agency model of firms as fiscal intermediaries. NBER Working Paper 15218, 2009.9</x:v>
      </x:c>
    </x:row>
    <x:row r="856" ht="48" customHeight="1">
      <x:c r="A856" s="24" t="str">
        <x:v>P02-R027</x:v>
      </x:c>
      <x:c r="B856" s="24" t="str">
        <x:v>P02</x:v>
      </x:c>
      <x:c r="C856" s="26" t="n">
        <x:v>27</x:v>
      </x:c>
      <x:c r="D856" s="26" t="n">
        <x:v>40</x:v>
      </x:c>
      <x:c r="E856" s="26" t="n">
        <x:v>40</x:v>
      </x:c>
      <x:c r="F856" s="26" t="str">
        <x:v>Kleven</x:v>
      </x:c>
      <x:c r="G856" s="26" t="n">
        <x:v>2010</x:v>
      </x:c>
      <x:c r="H856" s="25" t="str">
        <x:v>Unwilling or unable to cheat? evidence from a randomized tax audit experiment in denmark</x:v>
      </x:c>
      <x:c r="I856" s="25" t="str"/>
      <x:c r="J856" s="25" t="str">
        <x:v>local_citation_grammar_v3</x:v>
      </x:c>
      <x:c r="K856" s="25" t="str">
        <x:v>prior_manual_sample</x:v>
      </x:c>
      <x:c r="L856" s="25" t="str">
        <x:v>accepted</x:v>
      </x:c>
      <x:c r="M856" s="25" t="str">
        <x:v>no</x:v>
      </x:c>
      <x:c r="N856" s="25" t="str">
        <x:v>saki_research/published_papers/bigio_zilberman_optimal_self_employment_income_tax_enforcement.pdf</x:v>
      </x:c>
      <x:c r="O856" s="25" t="str">
        <x:v>H. J. Kleven, M. B. Knudsen, C. T. Kreiner, S. Pedersen, and E. Saez. Unwilling or unable to cheat? evidence from a randomized tax audit experiment in denmark. NBER Working Paper 15769, 2010.2,10</x:v>
      </x:c>
    </x:row>
    <x:row r="857" ht="48" customHeight="1">
      <x:c r="A857" s="24" t="str">
        <x:v>P02-R028</x:v>
      </x:c>
      <x:c r="B857" s="24" t="str">
        <x:v>P02</x:v>
      </x:c>
      <x:c r="C857" s="26" t="n">
        <x:v>28</x:v>
      </x:c>
      <x:c r="D857" s="26" t="n">
        <x:v>40</x:v>
      </x:c>
      <x:c r="E857" s="26" t="n">
        <x:v>40</x:v>
      </x:c>
      <x:c r="F857" s="26" t="str">
        <x:v>Kopczuk</x:v>
      </x:c>
      <x:c r="G857" s="26" t="n">
        <x:v>2006</x:v>
      </x:c>
      <x:c r="H857" s="25" t="str">
        <x:v>Putting firms into optimal tax theory</x:v>
      </x:c>
      <x:c r="I857" s="25" t="str"/>
      <x:c r="J857" s="25" t="str">
        <x:v>local_citation_grammar_v3</x:v>
      </x:c>
      <x:c r="K857" s="25" t="str">
        <x:v>automatic_screen_pass</x:v>
      </x:c>
      <x:c r="L857" s="25" t="str">
        <x:v>accepted</x:v>
      </x:c>
      <x:c r="M857" s="25" t="str">
        <x:v>no</x:v>
      </x:c>
      <x:c r="N857" s="25" t="str">
        <x:v>saki_research/published_papers/bigio_zilberman_optimal_self_employment_income_tax_enforcement.pdf</x:v>
      </x:c>
      <x:c r="O857" s="25" t="str">
        <x:v>W. Kopczuk and J. Slemrod. Putting firms into optimal tax theory. American Economic Review Papers and Proceedings, 96(2):130–134, May 2006.9 R. la Porta and A. Shleifer. The unofficial economy and economic development. Brookings Papers on Economic Activity, pages 275–363, Fall 2008.3,20</x:v>
      </x:c>
    </x:row>
    <x:row r="858" ht="48" customHeight="1">
      <x:c r="A858" s="24" t="str">
        <x:v>P02-R029</x:v>
      </x:c>
      <x:c r="B858" s="24" t="str">
        <x:v>P02</x:v>
      </x:c>
      <x:c r="C858" s="26" t="n">
        <x:v>29</x:v>
      </x:c>
      <x:c r="D858" s="26" t="n">
        <x:v>40</x:v>
      </x:c>
      <x:c r="E858" s="26" t="n">
        <x:v>40</x:v>
      </x:c>
      <x:c r="F858" s="26" t="str">
        <x:v>Levi</x:v>
      </x:c>
      <x:c r="G858" s="26" t="n">
        <x:v>1988</x:v>
      </x:c>
      <x:c r="H858" s="25" t="str">
        <x:v>Of Rule and Revenue</x:v>
      </x:c>
      <x:c r="I858" s="25" t="str"/>
      <x:c r="J858" s="25" t="str">
        <x:v>local_citation_grammar_v3</x:v>
      </x:c>
      <x:c r="K858" s="25" t="str">
        <x:v>prior_manual_sample</x:v>
      </x:c>
      <x:c r="L858" s="25" t="str">
        <x:v>accepted</x:v>
      </x:c>
      <x:c r="M858" s="25" t="str">
        <x:v>no</x:v>
      </x:c>
      <x:c r="N858" s="25" t="str">
        <x:v>saki_research/published_papers/bigio_zilberman_optimal_self_employment_income_tax_enforcement.pdf</x:v>
      </x:c>
      <x:c r="O858" s="25" t="str">
        <x:v>M. Levi. Of Rule and Revenue. University of California Press, 1988.31</x:v>
      </x:c>
    </x:row>
    <x:row r="859" ht="48" customHeight="1">
      <x:c r="A859" s="24" t="str">
        <x:v>P02-R030</x:v>
      </x:c>
      <x:c r="B859" s="24" t="str">
        <x:v>P02</x:v>
      </x:c>
      <x:c r="C859" s="26" t="n">
        <x:v>30</x:v>
      </x:c>
      <x:c r="D859" s="26" t="n">
        <x:v>40</x:v>
      </x:c>
      <x:c r="E859" s="26" t="n">
        <x:v>40</x:v>
      </x:c>
      <x:c r="F859" s="26" t="str">
        <x:v>Lewis</x:v>
      </x:c>
      <x:c r="G859" s="26" t="n">
        <x:v>1989</x:v>
      </x:c>
      <x:c r="H859" s="25" t="str">
        <x:v>Countervailing incentives in agency problems</x:v>
      </x:c>
      <x:c r="I859" s="25" t="str"/>
      <x:c r="J859" s="25" t="str">
        <x:v>literal_citation_review_2026-09-16; literal_citation_review_2026-09-16</x:v>
      </x:c>
      <x:c r="K859" s="25" t="str">
        <x:v>automatic_screen_pass</x:v>
      </x:c>
      <x:c r="L859" s="25" t="str">
        <x:v>accepted</x:v>
      </x:c>
      <x:c r="M859" s="25" t="str">
        <x:v>no</x:v>
      </x:c>
      <x:c r="N859" s="25" t="str">
        <x:v>saki_research/published_papers/bigio_zilberman_optimal_self_employment_income_tax_enforcement.pdf</x:v>
      </x:c>
      <x:c r="O859" s="25" t="str">
        <x:v>T.R.LewisandD.E.M.Sappington. Countervailingincentivesinagencyproblems. Journal of Economic Theory, 49(2):294–313, December 1989.28</x:v>
      </x:c>
    </x:row>
    <x:row r="860" ht="48" customHeight="1">
      <x:c r="A860" s="24" t="str">
        <x:v>P02-R031</x:v>
      </x:c>
      <x:c r="B860" s="24" t="str">
        <x:v>P02</x:v>
      </x:c>
      <x:c r="C860" s="26" t="n">
        <x:v>31</x:v>
      </x:c>
      <x:c r="D860" s="26" t="n">
        <x:v>40</x:v>
      </x:c>
      <x:c r="E860" s="26" t="n">
        <x:v>40</x:v>
      </x:c>
      <x:c r="F860" s="26" t="str">
        <x:v>Logue</x:v>
      </x:c>
      <x:c r="G860" s="26" t="n">
        <x:v>2009</x:v>
      </x:c>
      <x:c r="H860" s="25" t="str">
        <x:v>Of Coase, Calabresi, and optimal tax liability</x:v>
      </x:c>
      <x:c r="I860" s="25" t="str"/>
      <x:c r="J860" s="25" t="str">
        <x:v>literal_citation_review_2026-09-16</x:v>
      </x:c>
      <x:c r="K860" s="25" t="str">
        <x:v>prior_manual_sample</x:v>
      </x:c>
      <x:c r="L860" s="25" t="str">
        <x:v>accepted</x:v>
      </x:c>
      <x:c r="M860" s="25" t="str">
        <x:v>no</x:v>
      </x:c>
      <x:c r="N860" s="25" t="str">
        <x:v>saki_research/published_papers/bigio_zilberman_optimal_self_employment_income_tax_enforcement.pdf</x:v>
      </x:c>
      <x:c r="O860" s="25" t="str">
        <x:v>K. D. Logue and J. Slemrod. Of coase, calabresi, and optimal tax liability. John M. Olin Center for Law &amp; Economics Working Paper 96, 2009.10</x:v>
      </x:c>
    </x:row>
    <x:row r="861" ht="48" customHeight="1">
      <x:c r="A861" s="24" t="str">
        <x:v>P02-R032</x:v>
      </x:c>
      <x:c r="B861" s="24" t="str">
        <x:v>P02</x:v>
      </x:c>
      <x:c r="C861" s="26" t="n">
        <x:v>32</x:v>
      </x:c>
      <x:c r="D861" s="26" t="n">
        <x:v>40</x:v>
      </x:c>
      <x:c r="E861" s="26" t="n">
        <x:v>40</x:v>
      </x:c>
      <x:c r="F861" s="26" t="str">
        <x:v>Lucas</x:v>
      </x:c>
      <x:c r="G861" s="26" t="n">
        <x:v>1978</x:v>
      </x:c>
      <x:c r="H861" s="25" t="str">
        <x:v>On the size distribution of business firms</x:v>
      </x:c>
      <x:c r="I861" s="25" t="str"/>
      <x:c r="J861" s="25" t="str">
        <x:v>local_citation_grammar_v3</x:v>
      </x:c>
      <x:c r="K861" s="25" t="str">
        <x:v>prior_manual_sample</x:v>
      </x:c>
      <x:c r="L861" s="25" t="str">
        <x:v>accepted</x:v>
      </x:c>
      <x:c r="M861" s="25" t="str">
        <x:v>no</x:v>
      </x:c>
      <x:c r="N861" s="25" t="str">
        <x:v>saki_research/published_papers/bigio_zilberman_optimal_self_employment_income_tax_enforcement.pdf</x:v>
      </x:c>
      <x:c r="O861" s="25" t="str">
        <x:v>R. E. Lucas. On the size distribution of business firms. Bell Journal of Economics, 9(2): 508–523, Autumn 1978.4,20,30</x:v>
      </x:c>
    </x:row>
    <x:row r="862" ht="48" customHeight="1">
      <x:c r="A862" s="24" t="str">
        <x:v>P02-R033</x:v>
      </x:c>
      <x:c r="B862" s="24" t="str">
        <x:v>P02</x:v>
      </x:c>
      <x:c r="C862" s="26" t="n">
        <x:v>33</x:v>
      </x:c>
      <x:c r="D862" s="26" t="n">
        <x:v>40</x:v>
      </x:c>
      <x:c r="E862" s="26" t="n">
        <x:v>40</x:v>
      </x:c>
      <x:c r="F862" s="26" t="str">
        <x:v>Macho-Stadler</x:v>
      </x:c>
      <x:c r="G862" s="26" t="n">
        <x:v>2002</x:v>
      </x:c>
      <x:c r="H862" s="25" t="str">
        <x:v>Audting with signals</x:v>
      </x:c>
      <x:c r="I862" s="25" t="str"/>
      <x:c r="J862" s="25" t="str">
        <x:v>local_citation_grammar_v3</x:v>
      </x:c>
      <x:c r="K862" s="25" t="str">
        <x:v>automatic_screen_pass</x:v>
      </x:c>
      <x:c r="L862" s="25" t="str">
        <x:v>accepted</x:v>
      </x:c>
      <x:c r="M862" s="25" t="str">
        <x:v>no</x:v>
      </x:c>
      <x:c r="N862" s="25" t="str">
        <x:v>saki_research/published_papers/bigio_zilberman_optimal_self_employment_income_tax_enforcement.pdf</x:v>
      </x:c>
      <x:c r="O862" s="25" t="str">
        <x:v>I. Macho-Stadler and J. D. P ́erez-Castrillo. Audting with signals. Economica, 69(273):1–20, February 2002.4,12,20</x:v>
      </x:c>
    </x:row>
    <x:row r="863" ht="48" customHeight="1">
      <x:c r="A863" s="24" t="str">
        <x:v>P02-R034</x:v>
      </x:c>
      <x:c r="B863" s="24" t="str">
        <x:v>P02</x:v>
      </x:c>
      <x:c r="C863" s="26" t="n">
        <x:v>34</x:v>
      </x:c>
      <x:c r="D863" s="26" t="n">
        <x:v>40</x:v>
      </x:c>
      <x:c r="E863" s="26" t="n">
        <x:v>40</x:v>
      </x:c>
      <x:c r="F863" s="26" t="str">
        <x:v>Maggi</x:v>
      </x:c>
      <x:c r="G863" s="26" t="n">
        <x:v>1995</x:v>
      </x:c>
      <x:c r="H863" s="25" t="str">
        <x:v>On countervailing incentives</x:v>
      </x:c>
      <x:c r="I863" s="25" t="str"/>
      <x:c r="J863" s="25" t="str">
        <x:v>local_citation_grammar_v3</x:v>
      </x:c>
      <x:c r="K863" s="25" t="str">
        <x:v>automatic_screen_pass</x:v>
      </x:c>
      <x:c r="L863" s="25" t="str">
        <x:v>accepted</x:v>
      </x:c>
      <x:c r="M863" s="25" t="str">
        <x:v>no</x:v>
      </x:c>
      <x:c r="N863" s="25" t="str">
        <x:v>saki_research/published_papers/bigio_zilberman_optimal_self_employment_income_tax_enforcement.pdf</x:v>
      </x:c>
      <x:c r="O863" s="25" t="str">
        <x:v>G. Maggi and A. Rodr ́ıguez-Clare. On countervailing incentives. Journal of Economic Theory, 66(1):238–263, June 1995.28,29,34</x:v>
      </x:c>
    </x:row>
    <x:row r="864" ht="48" customHeight="1">
      <x:c r="A864" s="24" t="str">
        <x:v>P02-R035</x:v>
      </x:c>
      <x:c r="B864" s="24" t="str">
        <x:v>P02</x:v>
      </x:c>
      <x:c r="C864" s="26" t="n">
        <x:v>35</x:v>
      </x:c>
      <x:c r="D864" s="26" t="n">
        <x:v>40</x:v>
      </x:c>
      <x:c r="E864" s="26" t="n">
        <x:v>40</x:v>
      </x:c>
      <x:c r="F864" s="26" t="str">
        <x:v>Migdal</x:v>
      </x:c>
      <x:c r="G864" s="26" t="n">
        <x:v>1988</x:v>
      </x:c>
      <x:c r="H864" s="25" t="str">
        <x:v>Strong Societies and Weak States: State-Society Relations and State Capabilities in the Third World</x:v>
      </x:c>
      <x:c r="I864" s="25" t="str"/>
      <x:c r="J864" s="25" t="str">
        <x:v>local_citation_grammar_v3</x:v>
      </x:c>
      <x:c r="K864" s="25" t="str">
        <x:v>prior_manual_sample</x:v>
      </x:c>
      <x:c r="L864" s="25" t="str">
        <x:v>accepted</x:v>
      </x:c>
      <x:c r="M864" s="25" t="str">
        <x:v>no</x:v>
      </x:c>
      <x:c r="N864" s="25" t="str">
        <x:v>saki_research/published_papers/bigio_zilberman_optimal_self_employment_income_tax_enforcement.pdf</x:v>
      </x:c>
      <x:c r="O864" s="25" t="str">
        <x:v>J.S.Migdal. Strong Societies and Weak States: State-Society Relations and State Capabilities in the Third World. Princeton University Press, 1988.31</x:v>
      </x:c>
    </x:row>
    <x:row r="865" ht="48" customHeight="1">
      <x:c r="A865" s="24" t="str">
        <x:v>P02-R036</x:v>
      </x:c>
      <x:c r="B865" s="24" t="str">
        <x:v>P02</x:v>
      </x:c>
      <x:c r="C865" s="26" t="n">
        <x:v>36</x:v>
      </x:c>
      <x:c r="D865" s="26" t="n">
        <x:v>40</x:v>
      </x:c>
      <x:c r="E865" s="26" t="n">
        <x:v>40</x:v>
      </x:c>
      <x:c r="F865" s="26" t="str">
        <x:v>Mookherjee</x:v>
      </x:c>
      <x:c r="G865" s="26" t="n">
        <x:v>1989</x:v>
      </x:c>
      <x:c r="H865" s="25" t="str">
        <x:v>Optimal auditing, insurance, and redistribution</x:v>
      </x:c>
      <x:c r="I865" s="25" t="str"/>
      <x:c r="J865" s="25" t="str">
        <x:v>local_citation_grammar_v3</x:v>
      </x:c>
      <x:c r="K865" s="25" t="str">
        <x:v>automatic_screen_pass</x:v>
      </x:c>
      <x:c r="L865" s="25" t="str">
        <x:v>accepted</x:v>
      </x:c>
      <x:c r="M865" s="25" t="str">
        <x:v>no</x:v>
      </x:c>
      <x:c r="N865" s="25" t="str">
        <x:v>saki_research/published_papers/bigio_zilberman_optimal_self_employment_income_tax_enforcement.pdf</x:v>
      </x:c>
      <x:c r="O865" s="25" t="str">
        <x:v>D. Mookherjee and I. Png. Optimal auditing, insurance, and redistribution. Quarterly Journal of Economics, 104(2):399–415, May 1989.2</x:v>
      </x:c>
    </x:row>
    <x:row r="866" ht="48" customHeight="1">
      <x:c r="A866" s="24" t="str">
        <x:v>P02-R037</x:v>
      </x:c>
      <x:c r="B866" s="24" t="str">
        <x:v>P02</x:v>
      </x:c>
      <x:c r="C866" s="26" t="n">
        <x:v>37</x:v>
      </x:c>
      <x:c r="D866" s="26" t="n">
        <x:v>40</x:v>
      </x:c>
      <x:c r="E866" s="26" t="n">
        <x:v>40</x:v>
      </x:c>
      <x:c r="F866" s="26" t="str">
        <x:v>Parker</x:v>
      </x:c>
      <x:c r="G866" s="26" t="n">
        <x:v>2010</x:v>
      </x:c>
      <x:c r="H866" s="25" t="str">
        <x:v>Entrepreneurial growth and dynamic tax evasion incentives</x:v>
      </x:c>
      <x:c r="I866" s="25" t="str"/>
      <x:c r="J866" s="25" t="str">
        <x:v>local_citation_grammar_v3</x:v>
      </x:c>
      <x:c r="K866" s="25" t="str">
        <x:v>automatic_screen_pass</x:v>
      </x:c>
      <x:c r="L866" s="25" t="str">
        <x:v>accepted</x:v>
      </x:c>
      <x:c r="M866" s="25" t="str">
        <x:v>no</x:v>
      </x:c>
      <x:c r="N866" s="25" t="str">
        <x:v>saki_research/published_papers/bigio_zilberman_optimal_self_employment_income_tax_enforcement.pdf</x:v>
      </x:c>
      <x:c r="O866" s="25" t="str">
        <x:v>S. C. Parker. Entrepreneurial growth and dynamic tax evasion incentives. Working Paper, 2010.2</x:v>
      </x:c>
    </x:row>
    <x:row r="867" ht="48" customHeight="1">
      <x:c r="A867" s="24" t="str">
        <x:v>P02-R038</x:v>
      </x:c>
      <x:c r="B867" s="24" t="str">
        <x:v>P02</x:v>
      </x:c>
      <x:c r="C867" s="26" t="n">
        <x:v>38</x:v>
      </x:c>
      <x:c r="D867" s="26" t="n">
        <x:v>40</x:v>
      </x:c>
      <x:c r="E867" s="26" t="n">
        <x:v>40</x:v>
      </x:c>
      <x:c r="F867" s="26" t="str">
        <x:v>Polinsky</x:v>
      </x:c>
      <x:c r="G867" s="26" t="n">
        <x:v>2000</x:v>
      </x:c>
      <x:c r="H867" s="25" t="str">
        <x:v>The economic theory of public enforcement of law</x:v>
      </x:c>
      <x:c r="I867" s="25" t="str"/>
      <x:c r="J867" s="25" t="str">
        <x:v>literal_citation_review_2026-09-16</x:v>
      </x:c>
      <x:c r="K867" s="25" t="str">
        <x:v>automatic_screen_pass</x:v>
      </x:c>
      <x:c r="L867" s="25" t="str">
        <x:v>accepted</x:v>
      </x:c>
      <x:c r="M867" s="25" t="str">
        <x:v>no</x:v>
      </x:c>
      <x:c r="N867" s="25" t="str">
        <x:v>saki_research/published_papers/bigio_zilberman_optimal_self_employment_income_tax_enforcement.pdf</x:v>
      </x:c>
      <x:c r="O867" s="25" t="str">
        <x:v>A. M. Polinsky and S. Shavell. The economic theory of public enforcement of law. Journal of Economic Literature, 38(1):45–76, March 2000.12</x:v>
      </x:c>
    </x:row>
    <x:row r="868" ht="48" customHeight="1">
      <x:c r="A868" s="24" t="str">
        <x:v>P02-R039</x:v>
      </x:c>
      <x:c r="B868" s="24" t="str">
        <x:v>P02</x:v>
      </x:c>
      <x:c r="C868" s="26" t="n">
        <x:v>39</x:v>
      </x:c>
      <x:c r="D868" s="26" t="n">
        <x:v>41</x:v>
      </x:c>
      <x:c r="E868" s="26" t="n">
        <x:v>41</x:v>
      </x:c>
      <x:c r="F868" s="26" t="str">
        <x:v>Rauch</x:v>
      </x:c>
      <x:c r="G868" s="26" t="n">
        <x:v>1991</x:v>
      </x:c>
      <x:c r="H868" s="25" t="str">
        <x:v>Modeling the informal sector formally</x:v>
      </x:c>
      <x:c r="I868" s="25" t="str"/>
      <x:c r="J868" s="25" t="str">
        <x:v>local_citation_grammar_v3</x:v>
      </x:c>
      <x:c r="K868" s="25" t="str">
        <x:v>automatic_screen_pass</x:v>
      </x:c>
      <x:c r="L868" s="25" t="str">
        <x:v>accepted</x:v>
      </x:c>
      <x:c r="M868" s="25" t="str">
        <x:v>no</x:v>
      </x:c>
      <x:c r="N868" s="25" t="str">
        <x:v>saki_research/published_papers/bigio_zilberman_optimal_self_employment_income_tax_enforcement.pdf</x:v>
      </x:c>
      <x:c r="O868" s="25" t="str">
        <x:v>J. E. Rauch. Modeling the informal sector formally. Journal of Development Economics, 35 (1):33–48, January 1991.4,21</x:v>
      </x:c>
    </x:row>
    <x:row r="869" ht="48" customHeight="1">
      <x:c r="A869" s="24" t="str">
        <x:v>P02-R040</x:v>
      </x:c>
      <x:c r="B869" s="24" t="str">
        <x:v>P02</x:v>
      </x:c>
      <x:c r="C869" s="26" t="n">
        <x:v>40</x:v>
      </x:c>
      <x:c r="D869" s="26" t="n">
        <x:v>41</x:v>
      </x:c>
      <x:c r="E869" s="26" t="n">
        <x:v>41</x:v>
      </x:c>
      <x:c r="F869" s="26" t="str">
        <x:v>Reinganum</x:v>
      </x:c>
      <x:c r="G869" s="26" t="n">
        <x:v>1985</x:v>
      </x:c>
      <x:c r="H869" s="25" t="str">
        <x:v>Income tax compliance in a principal-agent framework</x:v>
      </x:c>
      <x:c r="I869" s="25" t="str"/>
      <x:c r="J869" s="25" t="str">
        <x:v>local_citation_grammar_v3</x:v>
      </x:c>
      <x:c r="K869" s="25" t="str">
        <x:v>automatic_screen_pass</x:v>
      </x:c>
      <x:c r="L869" s="25" t="str">
        <x:v>accepted</x:v>
      </x:c>
      <x:c r="M869" s="25" t="str">
        <x:v>no</x:v>
      </x:c>
      <x:c r="N869" s="25" t="str">
        <x:v>saki_research/published_papers/bigio_zilberman_optimal_self_employment_income_tax_enforcement.pdf</x:v>
      </x:c>
      <x:c r="O869" s="25" t="str">
        <x:v>J. F. Reinganum and L. L. Wilde. Income tax compliance in a principal-agent framework. Journal of Public Economics, 26(1):1–18, February 1985.2</x:v>
      </x:c>
    </x:row>
    <x:row r="870" ht="48" customHeight="1">
      <x:c r="A870" s="24" t="str">
        <x:v>P02-R041</x:v>
      </x:c>
      <x:c r="B870" s="24" t="str">
        <x:v>P02</x:v>
      </x:c>
      <x:c r="C870" s="26" t="n">
        <x:v>41</x:v>
      </x:c>
      <x:c r="D870" s="26" t="n">
        <x:v>41</x:v>
      </x:c>
      <x:c r="E870" s="26" t="n">
        <x:v>41</x:v>
      </x:c>
      <x:c r="F870" s="26" t="str">
        <x:v>Robinson</x:v>
      </x:c>
      <x:c r="G870" s="26" t="n">
        <x:v>1998</x:v>
      </x:c>
      <x:c r="H870" s="25" t="str">
        <x:v>Theories of “bad policy”</x:v>
      </x:c>
      <x:c r="I870" s="25" t="str"/>
      <x:c r="J870" s="25" t="str">
        <x:v>C-016</x:v>
      </x:c>
      <x:c r="K870" s="25" t="str">
        <x:v>prior_manual_sample</x:v>
      </x:c>
      <x:c r="L870" s="25" t="str">
        <x:v>accepted</x:v>
      </x:c>
      <x:c r="M870" s="25" t="str">
        <x:v>no</x:v>
      </x:c>
      <x:c r="N870" s="25" t="str">
        <x:v>saki_research/published_papers/bigio_zilberman_optimal_self_employment_income_tax_enforcement.pdf</x:v>
      </x:c>
      <x:c r="O870" s="25" t="str">
        <x:v>J. A. Robinson. Theories of “bad policy”. Journal of Economic Policy Reform, 2(1):1–46, February 1998.32</x:v>
      </x:c>
    </x:row>
    <x:row r="871" ht="48" customHeight="1">
      <x:c r="A871" s="24" t="str">
        <x:v>P02-R042</x:v>
      </x:c>
      <x:c r="B871" s="24" t="str">
        <x:v>P02</x:v>
      </x:c>
      <x:c r="C871" s="26" t="n">
        <x:v>42</x:v>
      </x:c>
      <x:c r="D871" s="26" t="n">
        <x:v>41</x:v>
      </x:c>
      <x:c r="E871" s="26" t="n">
        <x:v>41</x:v>
      </x:c>
      <x:c r="F871" s="26" t="str">
        <x:v>Rosen</x:v>
      </x:c>
      <x:c r="G871" s="26" t="n">
        <x:v>2005</x:v>
      </x:c>
      <x:c r="H871" s="25" t="str">
        <x:v>Public Finance</x:v>
      </x:c>
      <x:c r="I871" s="25" t="str"/>
      <x:c r="J871" s="25" t="str">
        <x:v>local_citation_grammar_v3</x:v>
      </x:c>
      <x:c r="K871" s="25" t="str">
        <x:v>automatic_screen_pass</x:v>
      </x:c>
      <x:c r="L871" s="25" t="str">
        <x:v>accepted</x:v>
      </x:c>
      <x:c r="M871" s="25" t="str">
        <x:v>no</x:v>
      </x:c>
      <x:c r="N871" s="25" t="str">
        <x:v>saki_research/published_papers/bigio_zilberman_optimal_self_employment_income_tax_enforcement.pdf</x:v>
      </x:c>
      <x:c r="O871" s="25" t="str">
        <x:v>H. S. Rosen. Public Finance. McGraw-Hill, 2005.12 I. S ́anchez and J. Sobel. Hierarchical design and enforcement income tax policies. Journal of Public Economics, 50(3):345–369, March 1993.2,3,12,14,15</x:v>
      </x:c>
    </x:row>
    <x:row r="872" ht="48" customHeight="1">
      <x:c r="A872" s="24" t="str">
        <x:v>P02-R043</x:v>
      </x:c>
      <x:c r="B872" s="24" t="str">
        <x:v>P02</x:v>
      </x:c>
      <x:c r="C872" s="26" t="n">
        <x:v>43</x:v>
      </x:c>
      <x:c r="D872" s="26" t="n">
        <x:v>41</x:v>
      </x:c>
      <x:c r="E872" s="26" t="n">
        <x:v>41</x:v>
      </x:c>
      <x:c r="F872" s="26" t="str">
        <x:v>Sandmo</x:v>
      </x:c>
      <x:c r="G872" s="26" t="n">
        <x:v>2005</x:v>
      </x:c>
      <x:c r="H872" s="25" t="str">
        <x:v>The theory of tax evasion: A retrospective view</x:v>
      </x:c>
      <x:c r="I872" s="25" t="str"/>
      <x:c r="J872" s="25" t="str">
        <x:v>local_citation_grammar_v3</x:v>
      </x:c>
      <x:c r="K872" s="25" t="str">
        <x:v>prior_manual_sample</x:v>
      </x:c>
      <x:c r="L872" s="25" t="str">
        <x:v>accepted</x:v>
      </x:c>
      <x:c r="M872" s="25" t="str">
        <x:v>no</x:v>
      </x:c>
      <x:c r="N872" s="25" t="str">
        <x:v>saki_research/published_papers/bigio_zilberman_optimal_self_employment_income_tax_enforcement.pdf</x:v>
      </x:c>
      <x:c r="O872" s="25" t="str">
        <x:v>A. Sandmo. The theory of tax evasion: A retrospective view. National Tax Journal, 58(4): 643–663, December 2005.2</x:v>
      </x:c>
    </x:row>
    <x:row r="873" ht="48" customHeight="1">
      <x:c r="A873" s="24" t="str">
        <x:v>P02-R044</x:v>
      </x:c>
      <x:c r="B873" s="24" t="str">
        <x:v>P02</x:v>
      </x:c>
      <x:c r="C873" s="26" t="n">
        <x:v>44</x:v>
      </x:c>
      <x:c r="D873" s="26" t="n">
        <x:v>41</x:v>
      </x:c>
      <x:c r="E873" s="26" t="n">
        <x:v>41</x:v>
      </x:c>
      <x:c r="F873" s="26" t="str">
        <x:v>Santoro</x:v>
      </x:c>
      <x:c r="G873" s="26" t="n">
        <x:v>2008</x:v>
      </x:c>
      <x:c r="H873" s="25" t="str">
        <x:v>Taxpayer’s choices under studi di settore: What do we know and how we can interpret it?</x:v>
      </x:c>
      <x:c r="I873" s="25" t="str"/>
      <x:c r="J873" s="25" t="str">
        <x:v>literal_citation_review_2026-09-16</x:v>
      </x:c>
      <x:c r="K873" s="25" t="str">
        <x:v>automatic_screen_pass</x:v>
      </x:c>
      <x:c r="L873" s="25" t="str">
        <x:v>accepted</x:v>
      </x:c>
      <x:c r="M873" s="25" t="str">
        <x:v>no</x:v>
      </x:c>
      <x:c r="N873" s="25" t="str">
        <x:v>saki_research/published_papers/bigio_zilberman_optimal_self_employment_income_tax_enforcement.pdf</x:v>
      </x:c>
      <x:c r="O873" s="25" t="str">
        <x:v>A. Santoro. Taxpayer’s choices under studi di settore: What do we know and how we can interpret it? Giornale degli Economisti e Annali di Economia, 67(2):161–184, July 2008.</x:v>
      </x:c>
    </x:row>
    <x:row r="874" ht="48" customHeight="1">
      <x:c r="A874" s="24" t="str">
        <x:v>P02-R045</x:v>
      </x:c>
      <x:c r="B874" s="24" t="str">
        <x:v>P02</x:v>
      </x:c>
      <x:c r="C874" s="26" t="n">
        <x:v>45</x:v>
      </x:c>
      <x:c r="D874" s="26" t="n">
        <x:v>41</x:v>
      </x:c>
      <x:c r="E874" s="26" t="n">
        <x:v>41</x:v>
      </x:c>
      <x:c r="F874" s="26" t="str">
        <x:v>Schneider</x:v>
      </x:c>
      <x:c r="G874" s="26" t="n">
        <x:v>2000</x:v>
      </x:c>
      <x:c r="H874" s="25" t="str">
        <x:v>Shadow economies: Sizes, causes and consequences</x:v>
      </x:c>
      <x:c r="I874" s="25" t="str"/>
      <x:c r="J874" s="25" t="str">
        <x:v>local_citation_grammar_v3</x:v>
      </x:c>
      <x:c r="K874" s="25" t="str">
        <x:v>automatic_screen_pass</x:v>
      </x:c>
      <x:c r="L874" s="25" t="str">
        <x:v>accepted</x:v>
      </x:c>
      <x:c r="M874" s="25" t="str">
        <x:v>no</x:v>
      </x:c>
      <x:c r="N874" s="25" t="str">
        <x:v>saki_research/published_papers/bigio_zilberman_optimal_self_employment_income_tax_enforcement.pdf</x:v>
      </x:c>
      <x:c r="O874" s="25" t="str">
        <x:v>F. Schneider and D. H. Enste. Shadow economies: Sizes, causes and consequences. Journal of Economic Literature, 38(1):77–114, March 2000.20</x:v>
      </x:c>
    </x:row>
    <x:row r="875" ht="48" customHeight="1">
      <x:c r="A875" s="24" t="str">
        <x:v>P02-R046</x:v>
      </x:c>
      <x:c r="B875" s="24" t="str">
        <x:v>P02</x:v>
      </x:c>
      <x:c r="C875" s="26" t="n">
        <x:v>46</x:v>
      </x:c>
      <x:c r="D875" s="26" t="n">
        <x:v>41</x:v>
      </x:c>
      <x:c r="E875" s="26" t="n">
        <x:v>41</x:v>
      </x:c>
      <x:c r="F875" s="26" t="str">
        <x:v>Scotchmer</x:v>
      </x:c>
      <x:c r="G875" s="26" t="n">
        <x:v>1987</x:v>
      </x:c>
      <x:c r="H875" s="25" t="str">
        <x:v>Audit classes and tax enforcement policy</x:v>
      </x:c>
      <x:c r="I875" s="25" t="str"/>
      <x:c r="J875" s="25" t="str">
        <x:v>local_citation_grammar_v3</x:v>
      </x:c>
      <x:c r="K875" s="25" t="str">
        <x:v>automatic_screen_pass</x:v>
      </x:c>
      <x:c r="L875" s="25" t="str">
        <x:v>accepted</x:v>
      </x:c>
      <x:c r="M875" s="25" t="str">
        <x:v>no</x:v>
      </x:c>
      <x:c r="N875" s="25" t="str">
        <x:v>saki_research/published_papers/bigio_zilberman_optimal_self_employment_income_tax_enforcement.pdf</x:v>
      </x:c>
      <x:c r="O875" s="25" t="str">
        <x:v>S. Scotchmer. Audit classes and tax enforcement policy. American Economic Review Papers and Proceedings, 77(2):229–233, May 1987.4,12,20</x:v>
      </x:c>
    </x:row>
    <x:row r="876" ht="48" customHeight="1">
      <x:c r="A876" s="24" t="str">
        <x:v>P02-R047</x:v>
      </x:c>
      <x:c r="B876" s="24" t="str">
        <x:v>P02</x:v>
      </x:c>
      <x:c r="C876" s="26" t="n">
        <x:v>47</x:v>
      </x:c>
      <x:c r="D876" s="26" t="n">
        <x:v>41</x:v>
      </x:c>
      <x:c r="E876" s="26" t="n">
        <x:v>41</x:v>
      </x:c>
      <x:c r="F876" s="26" t="str">
        <x:v>Seierstad</x:v>
      </x:c>
      <x:c r="G876" s="26" t="n">
        <x:v>1987</x:v>
      </x:c>
      <x:c r="H876" s="25" t="str">
        <x:v>Optimal Control Theory with Economic Applications</x:v>
      </x:c>
      <x:c r="I876" s="25" t="str"/>
      <x:c r="J876" s="25" t="str">
        <x:v>local_citation_grammar_v3</x:v>
      </x:c>
      <x:c r="K876" s="25" t="str">
        <x:v>automatic_screen_pass</x:v>
      </x:c>
      <x:c r="L876" s="25" t="str">
        <x:v>accepted</x:v>
      </x:c>
      <x:c r="M876" s="25" t="str">
        <x:v>no</x:v>
      </x:c>
      <x:c r="N876" s="25" t="str">
        <x:v>saki_research/published_papers/bigio_zilberman_optimal_self_employment_income_tax_enforcement.pdf</x:v>
      </x:c>
      <x:c r="O876" s="25" t="str">
        <x:v>A. Seierstad and K. Sydsæter. Optimal Control Theory with Economic Applications. North- Holland, 1987.34</x:v>
      </x:c>
    </x:row>
    <x:row r="877" ht="48" customHeight="1">
      <x:c r="A877" s="24" t="str">
        <x:v>P02-R048</x:v>
      </x:c>
      <x:c r="B877" s="24" t="str">
        <x:v>P02</x:v>
      </x:c>
      <x:c r="C877" s="26" t="n">
        <x:v>48</x:v>
      </x:c>
      <x:c r="D877" s="26" t="n">
        <x:v>41</x:v>
      </x:c>
      <x:c r="E877" s="26" t="n">
        <x:v>41</x:v>
      </x:c>
      <x:c r="F877" s="26" t="str">
        <x:v>Slemrod</x:v>
      </x:c>
      <x:c r="G877" s="26" t="n">
        <x:v>2007</x:v>
      </x:c>
      <x:c r="H877" s="25" t="str">
        <x:v>Cheating ourselves: The economics of tax evasion</x:v>
      </x:c>
      <x:c r="I877" s="25" t="str"/>
      <x:c r="J877" s="25" t="str">
        <x:v>local_citation_grammar_v3</x:v>
      </x:c>
      <x:c r="K877" s="25" t="str">
        <x:v>automatic_screen_pass</x:v>
      </x:c>
      <x:c r="L877" s="25" t="str">
        <x:v>accepted</x:v>
      </x:c>
      <x:c r="M877" s="25" t="str">
        <x:v>no</x:v>
      </x:c>
      <x:c r="N877" s="25" t="str">
        <x:v>saki_research/published_papers/bigio_zilberman_optimal_self_employment_income_tax_enforcement.pdf</x:v>
      </x:c>
      <x:c r="O877" s="25" t="str">
        <x:v>J. Slemrod. Cheating ourselves: The economics of tax evasion. Journal of Economic Perspectives, 21(1):25–48, Winter 2007.2,10</x:v>
      </x:c>
    </x:row>
    <x:row r="878" ht="48" customHeight="1">
      <x:c r="A878" s="24" t="str">
        <x:v>P02-R049</x:v>
      </x:c>
      <x:c r="B878" s="24" t="str">
        <x:v>P02</x:v>
      </x:c>
      <x:c r="C878" s="26" t="n">
        <x:v>49</x:v>
      </x:c>
      <x:c r="D878" s="26" t="n">
        <x:v>41</x:v>
      </x:c>
      <x:c r="E878" s="26" t="n">
        <x:v>41</x:v>
      </x:c>
      <x:c r="F878" s="26" t="str">
        <x:v>Slemrod</x:v>
      </x:c>
      <x:c r="G878" s="26" t="n">
        <x:v>2002</x:v>
      </x:c>
      <x:c r="H878" s="25" t="str">
        <x:v>Tax avoidance, evasion and administration</x:v>
      </x:c>
      <x:c r="I878" s="25" t="str"/>
      <x:c r="J878" s="25" t="str">
        <x:v>local_citation_grammar_v3</x:v>
      </x:c>
      <x:c r="K878" s="25" t="str">
        <x:v>automatic_screen_pass</x:v>
      </x:c>
      <x:c r="L878" s="25" t="str">
        <x:v>accepted</x:v>
      </x:c>
      <x:c r="M878" s="25" t="str">
        <x:v>no</x:v>
      </x:c>
      <x:c r="N878" s="25" t="str">
        <x:v>saki_research/published_papers/bigio_zilberman_optimal_self_employment_income_tax_enforcement.pdf</x:v>
      </x:c>
      <x:c r="O878" s="25" t="str">
        <x:v>J. Slemrod and S. Yitzhaki. Tax avoidance, evasion and administration. In A. J. Auerbach and M. Feldstein, editors, Handbook of Public Economics, volume 3, chapter 22, pages 1423–1470. Elsevier B.V., 2002.2</x:v>
      </x:c>
    </x:row>
    <x:row r="879" ht="48" customHeight="1">
      <x:c r="A879" s="24" t="str">
        <x:v>P02-R050</x:v>
      </x:c>
      <x:c r="B879" s="24" t="str">
        <x:v>P02</x:v>
      </x:c>
      <x:c r="C879" s="26" t="n">
        <x:v>50</x:v>
      </x:c>
      <x:c r="D879" s="26" t="n">
        <x:v>41</x:v>
      </x:c>
      <x:c r="E879" s="26" t="n">
        <x:v>41</x:v>
      </x:c>
      <x:c r="F879" s="26" t="str">
        <x:v>Tanzi</x:v>
      </x:c>
      <x:c r="G879" s="26" t="n">
        <x:v>1989</x:v>
      </x:c>
      <x:c r="H879" s="25" t="str">
        <x:v>The use of imputed income in modern tax systems</x:v>
      </x:c>
      <x:c r="I879" s="25" t="str"/>
      <x:c r="J879" s="25" t="str">
        <x:v>local_citation_grammar_v3</x:v>
      </x:c>
      <x:c r="K879" s="25" t="str">
        <x:v>automatic_screen_pass</x:v>
      </x:c>
      <x:c r="L879" s="25" t="str">
        <x:v>accepted</x:v>
      </x:c>
      <x:c r="M879" s="25" t="str">
        <x:v>no</x:v>
      </x:c>
      <x:c r="N879" s="25" t="str">
        <x:v>saki_research/published_papers/bigio_zilberman_optimal_self_employment_income_tax_enforcement.pdf</x:v>
      </x:c>
      <x:c r="O879" s="25" t="str">
        <x:v>V. Tanzi and M. C. de Jantscher. The use of imputed income in modern tax systems. In A. Chiancone and K. Messere, editors, Changes in Revenue Structures, pages 37–51. Wayne State University Press, 1989.4,11,26,29</x:v>
      </x:c>
    </x:row>
    <x:row r="880" ht="48" customHeight="1">
      <x:c r="A880" s="24" t="str">
        <x:v>P02-R051</x:v>
      </x:c>
      <x:c r="B880" s="24" t="str">
        <x:v>P02</x:v>
      </x:c>
      <x:c r="C880" s="26" t="n">
        <x:v>51</x:v>
      </x:c>
      <x:c r="D880" s="26" t="n">
        <x:v>42</x:v>
      </x:c>
      <x:c r="E880" s="26" t="n">
        <x:v>42</x:v>
      </x:c>
      <x:c r="F880" s="26" t="str">
        <x:v>Thuronyi</x:v>
      </x:c>
      <x:c r="G880" s="26" t="n">
        <x:v>2004</x:v>
      </x:c>
      <x:c r="H880" s="25" t="str">
        <x:v>Presumptive taxation of the hard-to-tax</x:v>
      </x:c>
      <x:c r="I880" s="25" t="str"/>
      <x:c r="J880" s="25" t="str">
        <x:v>local_citation_grammar_v3</x:v>
      </x:c>
      <x:c r="K880" s="25" t="str">
        <x:v>prior_manual_sample</x:v>
      </x:c>
      <x:c r="L880" s="25" t="str">
        <x:v>accepted</x:v>
      </x:c>
      <x:c r="M880" s="25" t="str">
        <x:v>no</x:v>
      </x:c>
      <x:c r="N880" s="25" t="str">
        <x:v>saki_research/published_papers/bigio_zilberman_optimal_self_employment_income_tax_enforcement.pdf</x:v>
      </x:c>
      <x:c r="O880" s="25" t="str">
        <x:v>V. Thuronyi. Presumptive taxation of the hard-to-tax. In J. Alm, J. Marinez-Vazquez, and S.Wallace, editors, Taxing the Hard-to-Tax: Lessons from Theory and Practice, chapter4, pages 101–120. Elsevier B.V., 2004.4,12,31</x:v>
      </x:c>
    </x:row>
    <x:row r="881" ht="48" customHeight="1">
      <x:c r="A881" s="24" t="str">
        <x:v>P02-R052</x:v>
      </x:c>
      <x:c r="B881" s="24" t="str">
        <x:v>P02</x:v>
      </x:c>
      <x:c r="C881" s="26" t="n">
        <x:v>52</x:v>
      </x:c>
      <x:c r="D881" s="26" t="n">
        <x:v>42</x:v>
      </x:c>
      <x:c r="E881" s="26" t="n">
        <x:v>42</x:v>
      </x:c>
      <x:c r="F881" s="26" t="str">
        <x:v>Tilly</x:v>
      </x:c>
      <x:c r="G881" s="26" t="n">
        <x:v>1990</x:v>
      </x:c>
      <x:c r="H881" s="25" t="str">
        <x:v>Coercion, Capital and European States, AD 990-1992</x:v>
      </x:c>
      <x:c r="I881" s="25" t="str"/>
      <x:c r="J881" s="25" t="str">
        <x:v>local_citation_grammar_v3; exhaustive_title_boundary_audit_2026-09-17</x:v>
      </x:c>
      <x:c r="K881" s="25" t="str">
        <x:v>exhaustive_visual_correction</x:v>
      </x:c>
      <x:c r="L881" s="25" t="str">
        <x:v>corrected</x:v>
      </x:c>
      <x:c r="M881" s="25" t="str">
        <x:v>no</x:v>
      </x:c>
      <x:c r="N881" s="25" t="str">
        <x:v>saki_research/published_papers/bigio_zilberman_optimal_self_employment_income_tax_enforcement.pdf</x:v>
      </x:c>
      <x:c r="O881" s="25" t="str">
        <x:v>C. Tilly. Coercion, Capital and European States, AD 990-1992. Blackwell, 1990.31</x:v>
      </x:c>
    </x:row>
    <x:row r="882" ht="48" customHeight="1">
      <x:c r="A882" s="24" t="str">
        <x:v>P02-R053</x:v>
      </x:c>
      <x:c r="B882" s="24" t="str">
        <x:v>P02</x:v>
      </x:c>
      <x:c r="C882" s="26" t="n">
        <x:v>53</x:v>
      </x:c>
      <x:c r="D882" s="26" t="n">
        <x:v>42</x:v>
      </x:c>
      <x:c r="E882" s="26" t="n">
        <x:v>42</x:v>
      </x:c>
      <x:c r="F882" s="26" t="str">
        <x:v>Townsend</x:v>
      </x:c>
      <x:c r="G882" s="26" t="n">
        <x:v>1979</x:v>
      </x:c>
      <x:c r="H882" s="25" t="str">
        <x:v>Optimal contracts and competitive markets with costly state verification</x:v>
      </x:c>
      <x:c r="I882" s="25" t="str"/>
      <x:c r="J882" s="25" t="str">
        <x:v>local_citation_grammar_v3</x:v>
      </x:c>
      <x:c r="K882" s="25" t="str">
        <x:v>automatic_screen_pass</x:v>
      </x:c>
      <x:c r="L882" s="25" t="str">
        <x:v>accepted</x:v>
      </x:c>
      <x:c r="M882" s="25" t="str">
        <x:v>no</x:v>
      </x:c>
      <x:c r="N882" s="25" t="str">
        <x:v>saki_research/published_papers/bigio_zilberman_optimal_self_employment_income_tax_enforcement.pdf</x:v>
      </x:c>
      <x:c r="O882" s="25" t="str">
        <x:v>R. M. Townsend. Optimal contracts and competitive markets with costly state verification. Journal of Economic Theory, 21(2):265–293, October 1979.2</x:v>
      </x:c>
    </x:row>
    <x:row r="883" ht="48" customHeight="1">
      <x:c r="A883" s="24" t="str">
        <x:v>P02-R054</x:v>
      </x:c>
      <x:c r="B883" s="24" t="str">
        <x:v>P02</x:v>
      </x:c>
      <x:c r="C883" s="26" t="n">
        <x:v>54</x:v>
      </x:c>
      <x:c r="D883" s="26" t="n">
        <x:v>42</x:v>
      </x:c>
      <x:c r="E883" s="26" t="n">
        <x:v>42</x:v>
      </x:c>
      <x:c r="F883" s="26" t="str">
        <x:v>Tybout</x:v>
      </x:c>
      <x:c r="G883" s="26" t="n">
        <x:v>2000</x:v>
      </x:c>
      <x:c r="H883" s="25" t="str">
        <x:v>Manufacturing firms in developing countries: How well do they do and why?</x:v>
      </x:c>
      <x:c r="I883" s="25" t="str"/>
      <x:c r="J883" s="25" t="str">
        <x:v>literal_citation_review_2026-09-16</x:v>
      </x:c>
      <x:c r="K883" s="25" t="str">
        <x:v>automatic_screen_pass</x:v>
      </x:c>
      <x:c r="L883" s="25" t="str">
        <x:v>accepted</x:v>
      </x:c>
      <x:c r="M883" s="25" t="str">
        <x:v>no</x:v>
      </x:c>
      <x:c r="N883" s="25" t="str">
        <x:v>saki_research/published_papers/bigio_zilberman_optimal_self_employment_income_tax_enforcement.pdf</x:v>
      </x:c>
      <x:c r="O883" s="25" t="str">
        <x:v>J. R. Tybout. Manufacturing firms in developing countries: How well do they do and why? Journal of Economic Literature, 38(1):11–44, March 2000.3,20</x:v>
      </x:c>
    </x:row>
    <x:row r="884" ht="48" customHeight="1">
      <x:c r="A884" s="24" t="str">
        <x:v>P02-R055</x:v>
      </x:c>
      <x:c r="B884" s="24" t="str">
        <x:v>P02</x:v>
      </x:c>
      <x:c r="C884" s="26" t="n">
        <x:v>55</x:v>
      </x:c>
      <x:c r="D884" s="26" t="n">
        <x:v>42</x:v>
      </x:c>
      <x:c r="E884" s="26" t="n">
        <x:v>42</x:v>
      </x:c>
      <x:c r="F884" s="26" t="str">
        <x:v>Wallis</x:v>
      </x:c>
      <x:c r="G884" s="26" t="n">
        <x:v>2000</x:v>
      </x:c>
      <x:c r="H884" s="25" t="str">
        <x:v>American government finance in the long run: 1790 to 1990</x:v>
      </x:c>
      <x:c r="I884" s="25" t="str"/>
      <x:c r="J884" s="25" t="str">
        <x:v>C-018; literal_citation_review_2026-09-16</x:v>
      </x:c>
      <x:c r="K884" s="25" t="str">
        <x:v>prior_manual_sample</x:v>
      </x:c>
      <x:c r="L884" s="25" t="str">
        <x:v>accepted</x:v>
      </x:c>
      <x:c r="M884" s="25" t="str">
        <x:v>no</x:v>
      </x:c>
      <x:c r="N884" s="25" t="str">
        <x:v>saki_research/published_papers/bigio_zilberman_optimal_self_employment_income_tax_enforcement.pdf</x:v>
      </x:c>
      <x:c r="O884" s="25" t="str">
        <x:v>J.J.Wallis. Americangovernmentfinaceinthelongrun: 1790to1990. Journal of Economic Perspectives, 14(1):61–82, Winter 2000.10,30</x:v>
      </x:c>
    </x:row>
    <x:row r="885" ht="48" customHeight="1">
      <x:c r="A885" s="24" t="str">
        <x:v>P02-R056</x:v>
      </x:c>
      <x:c r="B885" s="24" t="str">
        <x:v>P02</x:v>
      </x:c>
      <x:c r="C885" s="26" t="n">
        <x:v>56</x:v>
      </x:c>
      <x:c r="D885" s="26" t="n">
        <x:v>42</x:v>
      </x:c>
      <x:c r="E885" s="26" t="n">
        <x:v>42</x:v>
      </x:c>
      <x:c r="F885" s="26" t="str">
        <x:v>Wilkenfeld</x:v>
      </x:c>
      <x:c r="G885" s="26" t="n">
        <x:v>1973</x:v>
      </x:c>
      <x:c r="H885" s="25" t="str">
        <x:v>Taxes and People in Israel</x:v>
      </x:c>
      <x:c r="I885" s="25" t="str"/>
      <x:c r="J885" s="25" t="str">
        <x:v>local_citation_grammar_v3</x:v>
      </x:c>
      <x:c r="K885" s="25" t="str">
        <x:v>automatic_screen_pass</x:v>
      </x:c>
      <x:c r="L885" s="25" t="str">
        <x:v>accepted</x:v>
      </x:c>
      <x:c r="M885" s="25" t="str">
        <x:v>no</x:v>
      </x:c>
      <x:c r="N885" s="25" t="str">
        <x:v>saki_research/published_papers/bigio_zilberman_optimal_self_employment_income_tax_enforcement.pdf</x:v>
      </x:c>
      <x:c r="O885" s="25" t="str">
        <x:v>H. C. Wilkenfeld. Taxes and People in Israel. Harvard University Press, 1973.24</x:v>
      </x:c>
    </x:row>
    <x:row r="886" ht="48" customHeight="1">
      <x:c r="A886" s="24" t="str">
        <x:v>P02-R057</x:v>
      </x:c>
      <x:c r="B886" s="24" t="str">
        <x:v>P02</x:v>
      </x:c>
      <x:c r="C886" s="26" t="n">
        <x:v>57</x:v>
      </x:c>
      <x:c r="D886" s="26" t="n">
        <x:v>42</x:v>
      </x:c>
      <x:c r="E886" s="26" t="n">
        <x:v>42</x:v>
      </x:c>
      <x:c r="F886" s="26" t="str">
        <x:v>Yitzhaki</x:v>
      </x:c>
      <x:c r="G886" s="26" t="n">
        <x:v>2007</x:v>
      </x:c>
      <x:c r="H886" s="25" t="str">
        <x:v>Cost-benefit analysis of presumptive taxation</x:v>
      </x:c>
      <x:c r="I886" s="25" t="str"/>
      <x:c r="J886" s="25" t="str">
        <x:v>local_citation_grammar_v3</x:v>
      </x:c>
      <x:c r="K886" s="25" t="str">
        <x:v>prior_manual_sample</x:v>
      </x:c>
      <x:c r="L886" s="25" t="str">
        <x:v>accepted</x:v>
      </x:c>
      <x:c r="M886" s="25" t="str">
        <x:v>no</x:v>
      </x:c>
      <x:c r="N886" s="25" t="str">
        <x:v>saki_research/published_papers/bigio_zilberman_optimal_self_employment_income_tax_enforcement.pdf</x:v>
      </x:c>
      <x:c r="O886" s="25" t="str">
        <x:v>S. Yitzhaki. Cost-benefit analysis of presumptive taxation. FinanzArchiv: Public Finance Analysis, 63(3):311–326, September 2007.24</x:v>
      </x:c>
    </x:row>
    <x:row r="887" ht="48" customHeight="1">
      <x:c r="A887" s="24" t="str">
        <x:v>V01-R001</x:v>
      </x:c>
      <x:c r="B887" s="24" t="str">
        <x:v>V01</x:v>
      </x:c>
      <x:c r="C887" s="26" t="n">
        <x:v>1</x:v>
      </x:c>
      <x:c r="D887" s="26" t="n">
        <x:v>20</x:v>
      </x:c>
      <x:c r="E887" s="26" t="n">
        <x:v>20</x:v>
      </x:c>
      <x:c r="F887" s="26" t="str">
        <x:v>Abad</x:v>
      </x:c>
      <x:c r="G887" s="26" t="n">
        <x:v>2025</x:v>
      </x:c>
      <x:c r="H887" s="25" t="str">
        <x:v>The Heterogeneous Bank Lending Channel of Monetary Policy</x:v>
      </x:c>
      <x:c r="I887" s="25" t="str"/>
      <x:c r="J887" s="25" t="str"/>
      <x:c r="K887" s="25" t="str">
        <x:v>automatic_screen_pass</x:v>
      </x:c>
      <x:c r="L887" s="25" t="str">
        <x:v>accepted</x:v>
      </x:c>
      <x:c r="M887" s="25" t="str">
        <x:v>no</x:v>
      </x:c>
      <x:c r="N887" s="25" t="str">
        <x:v>saki_research/research_vision/research_vision.pdf</x:v>
      </x:c>
      <x:c r="O887" s="25" t="str">
        <x:v>Abad, Jorge, Saki Bigio, Salomon Garcia-Villegas, Joel Marbet, and Galo Nuno, “The Heterogeneous Bank Lending Channel of Monetary Policy,”2025.</x:v>
      </x:c>
    </x:row>
    <x:row r="888" ht="48" customHeight="1">
      <x:c r="A888" s="24" t="str">
        <x:v>V01-R002</x:v>
      </x:c>
      <x:c r="B888" s="24" t="str">
        <x:v>V01</x:v>
      </x:c>
      <x:c r="C888" s="26" t="n">
        <x:v>2</x:v>
      </x:c>
      <x:c r="D888" s="26" t="n">
        <x:v>20</x:v>
      </x:c>
      <x:c r="E888" s="26" t="n">
        <x:v>20</x:v>
      </x:c>
      <x:c r="F888" s="26" t="str">
        <x:v>Acemoglu</x:v>
      </x:c>
      <x:c r="G888" s="26" t="n">
        <x:v>2012</x:v>
      </x:c>
      <x:c r="H888" s="25" t="str">
        <x:v>The Network Origins of Aggregate Fluctuations</x:v>
      </x:c>
      <x:c r="I888" s="25" t="str"/>
      <x:c r="J888" s="25" t="str"/>
      <x:c r="K888" s="25" t="str">
        <x:v>prior_manual_sample</x:v>
      </x:c>
      <x:c r="L888" s="25" t="str">
        <x:v>accepted</x:v>
      </x:c>
      <x:c r="M888" s="25" t="str">
        <x:v>sí</x:v>
      </x:c>
      <x:c r="N888" s="25" t="str">
        <x:v>saki_research/research_vision/research_vision.pdf</x:v>
      </x:c>
      <x:c r="O888" s="25" t="str">
        <x:v>Acemoglu, Daron, Vasco M. Carvalho, Asuman Ozdaglar, and Alireza Tahbaz- Salehi, “The Network Origins of Aggregate Fluctuations,”Econometrica,2012, 80(5),1977–2016.</x:v>
      </x:c>
    </x:row>
    <x:row r="889" ht="48" customHeight="1">
      <x:c r="A889" s="24" t="str">
        <x:v>V01-R003</x:v>
      </x:c>
      <x:c r="B889" s="24" t="str">
        <x:v>V01</x:v>
      </x:c>
      <x:c r="C889" s="26" t="n">
        <x:v>3</x:v>
      </x:c>
      <x:c r="D889" s="26" t="n">
        <x:v>20</x:v>
      </x:c>
      <x:c r="E889" s="26" t="n">
        <x:v>20</x:v>
      </x:c>
      <x:c r="F889" s="26" t="str">
        <x:v>Adrian</x:v>
      </x:c>
      <x:c r="G889" s="26" t="n">
        <x:v>2014</x:v>
      </x:c>
      <x:c r="H889" s="25" t="str">
        <x:v>Financial intermediaries and the cross-section of asset returns</x:v>
      </x:c>
      <x:c r="I889" s="25" t="str"/>
      <x:c r="J889" s="25" t="str"/>
      <x:c r="K889" s="25" t="str">
        <x:v>automatic_screen_pass</x:v>
      </x:c>
      <x:c r="L889" s="25" t="str">
        <x:v>accepted</x:v>
      </x:c>
      <x:c r="M889" s="25" t="str">
        <x:v>no</x:v>
      </x:c>
      <x:c r="N889" s="25" t="str">
        <x:v>saki_research/research_vision/research_vision.pdf</x:v>
      </x:c>
      <x:c r="O889" s="25" t="str">
        <x:v>Adrian, Tobias, Erkko Etula, and Tyler Muir, “Financial intermediaries and the cross-section of asset returns,”The Journal of Finance,2014,69(6),2557–2596.</x:v>
      </x:c>
    </x:row>
    <x:row r="890" ht="48" customHeight="1">
      <x:c r="A890" s="24" t="str">
        <x:v>V01-R004</x:v>
      </x:c>
      <x:c r="B890" s="24" t="str">
        <x:v>V01</x:v>
      </x:c>
      <x:c r="C890" s="26" t="n">
        <x:v>4</x:v>
      </x:c>
      <x:c r="D890" s="26" t="n">
        <x:v>20</x:v>
      </x:c>
      <x:c r="E890" s="26" t="n">
        <x:v>20</x:v>
      </x:c>
      <x:c r="F890" s="26" t="str">
        <x:v>Adrian</x:v>
      </x:c>
      <x:c r="G890" s="26" t="n">
        <x:v>2012</x:v>
      </x:c>
      <x:c r="H890" s="25" t="str">
        <x:v>Which Financial Frictions?Parsing the Evidence from the FinancialCrisis of2007-09</x:v>
      </x:c>
      <x:c r="I890" s="25" t="str"/>
      <x:c r="J890" s="25" t="str"/>
      <x:c r="K890" s="25" t="str">
        <x:v>automatic_screen_pass</x:v>
      </x:c>
      <x:c r="L890" s="25" t="str">
        <x:v>accepted</x:v>
      </x:c>
      <x:c r="M890" s="25" t="str">
        <x:v>no</x:v>
      </x:c>
      <x:c r="N890" s="25" t="str">
        <x:v>saki_research/research_vision/research_vision.pdf</x:v>
      </x:c>
      <x:c r="O890" s="25" t="str">
        <x:v>Adrian, Tobias, Paolo Colla, and Hyun Song Shin, “Which Financial Frictions?Parsing the Evidence from the FinancialCrisis of2007-09,”2012. Federal Reserve Bank of New YorkStaff Reports258.</x:v>
      </x:c>
    </x:row>
    <x:row r="891" ht="48" customHeight="1">
      <x:c r="A891" s="24" t="str">
        <x:v>V01-R005</x:v>
      </x:c>
      <x:c r="B891" s="24" t="str">
        <x:v>V01</x:v>
      </x:c>
      <x:c r="C891" s="26" t="n">
        <x:v>5</x:v>
      </x:c>
      <x:c r="D891" s="26" t="n">
        <x:v>20</x:v>
      </x:c>
      <x:c r="E891" s="26" t="n">
        <x:v>20</x:v>
      </x:c>
      <x:c r="F891" s="26" t="str">
        <x:v>Afonso</x:v>
      </x:c>
      <x:c r="G891" s="26" t="n">
        <x:v>2015</x:v>
      </x:c>
      <x:c r="H891" s="25" t="str">
        <x:v>Trade Dynamics in the Market for Federal Funds</x:v>
      </x:c>
      <x:c r="I891" s="25" t="str"/>
      <x:c r="J891" s="25" t="str"/>
      <x:c r="K891" s="25" t="str">
        <x:v>automatic_screen_pass</x:v>
      </x:c>
      <x:c r="L891" s="25" t="str">
        <x:v>accepted</x:v>
      </x:c>
      <x:c r="M891" s="25" t="str">
        <x:v>no</x:v>
      </x:c>
      <x:c r="N891" s="25" t="str">
        <x:v>saki_research/research_vision/research_vision.pdf</x:v>
      </x:c>
      <x:c r="O891" s="25" t="str">
        <x:v>Afonso, Gara and Ricardo Lagos, “Trade Dynamics in the Market for Federal Funds,”Econometrica,2015,83(1),263–313.</x:v>
      </x:c>
    </x:row>
    <x:row r="892" ht="48" customHeight="1">
      <x:c r="A892" s="24" t="str">
        <x:v>V01-R006</x:v>
      </x:c>
      <x:c r="B892" s="24" t="str">
        <x:v>V01</x:v>
      </x:c>
      <x:c r="C892" s="26" t="n">
        <x:v>6</x:v>
      </x:c>
      <x:c r="D892" s="26" t="n">
        <x:v>20</x:v>
      </x:c>
      <x:c r="E892" s="26" t="n">
        <x:v>20</x:v>
      </x:c>
      <x:c r="F892" s="26" t="str">
        <x:v>Allen</x:v>
      </x:c>
      <x:c r="G892" s="26" t="n">
        <x:v>1998</x:v>
      </x:c>
      <x:c r="H892" s="25" t="str">
        <x:v>Optimal Financial Crises</x:v>
      </x:c>
      <x:c r="I892" s="25" t="str"/>
      <x:c r="J892" s="25" t="str"/>
      <x:c r="K892" s="25" t="str">
        <x:v>automatic_screen_pass</x:v>
      </x:c>
      <x:c r="L892" s="25" t="str">
        <x:v>accepted</x:v>
      </x:c>
      <x:c r="M892" s="25" t="str">
        <x:v>no</x:v>
      </x:c>
      <x:c r="N892" s="25" t="str">
        <x:v>saki_research/research_vision/research_vision.pdf</x:v>
      </x:c>
      <x:c r="O892" s="25" t="str">
        <x:v>Allen, Franklin and Douglas Gale, “Optimal Financial Crises,”Journal of Finance, 1998,53(4),1245–1284.</x:v>
      </x:c>
    </x:row>
    <x:row r="893" ht="48" customHeight="1">
      <x:c r="A893" s="24" t="str">
        <x:v>V01-R007</x:v>
      </x:c>
      <x:c r="B893" s="24" t="str">
        <x:v>V01</x:v>
      </x:c>
      <x:c r="C893" s="26" t="n">
        <x:v>7</x:v>
      </x:c>
      <x:c r="D893" s="26" t="n">
        <x:v>20</x:v>
      </x:c>
      <x:c r="E893" s="26" t="n">
        <x:v>20</x:v>
      </x:c>
      <x:c r="F893" s="26" t="str">
        <x:v>Allen</x:v>
      </x:c>
      <x:c r="G893" s="26" t="n">
        <x:v>2000</x:v>
      </x:c>
      <x:c r="H893" s="25" t="str">
        <x:v>Financial Contagion</x:v>
      </x:c>
      <x:c r="I893" s="25" t="str"/>
      <x:c r="J893" s="25" t="str"/>
      <x:c r="K893" s="25" t="str">
        <x:v>automatic_screen_pass</x:v>
      </x:c>
      <x:c r="L893" s="25" t="str">
        <x:v>accepted</x:v>
      </x:c>
      <x:c r="M893" s="25" t="str">
        <x:v>no</x:v>
      </x:c>
      <x:c r="N893" s="25" t="str">
        <x:v>saki_research/research_vision/research_vision.pdf</x:v>
      </x:c>
      <x:c r="O893" s="25" t="str">
        <x:v>Allen, Franklin and Douglas Gale, “Financial Contagion,”Journal of Political Economy,2000,1,1–33.</x:v>
      </x:c>
    </x:row>
    <x:row r="894" ht="48" customHeight="1">
      <x:c r="A894" s="24" t="str">
        <x:v>V01-R008</x:v>
      </x:c>
      <x:c r="B894" s="24" t="str">
        <x:v>V01</x:v>
      </x:c>
      <x:c r="C894" s="26" t="n">
        <x:v>8</x:v>
      </x:c>
      <x:c r="D894" s="26" t="n">
        <x:v>20</x:v>
      </x:c>
      <x:c r="E894" s="26" t="n">
        <x:v>20</x:v>
      </x:c>
      <x:c r="F894" s="26" t="str">
        <x:v>Angeletos</x:v>
      </x:c>
      <x:c r="G894" s="26" t="n">
        <x:v>2007</x:v>
      </x:c>
      <x:c r="H894" s="25" t="str">
        <x:v>Uninsured idiosyncratic investment risk and aggregate saving</x:v>
      </x:c>
      <x:c r="I894" s="25" t="str"/>
      <x:c r="J894" s="25" t="str"/>
      <x:c r="K894" s="25" t="str">
        <x:v>automatic_screen_pass</x:v>
      </x:c>
      <x:c r="L894" s="25" t="str">
        <x:v>accepted</x:v>
      </x:c>
      <x:c r="M894" s="25" t="str">
        <x:v>no</x:v>
      </x:c>
      <x:c r="N894" s="25" t="str">
        <x:v>saki_research/research_vision/research_vision.pdf</x:v>
      </x:c>
      <x:c r="O894" s="25" t="str">
        <x:v>Angeletos, George-Marios, “Uninsured idiosyncratic investment risk and aggregate saving,”Review of Economic Dynamics,2007,10(1),1–30.</x:v>
      </x:c>
    </x:row>
    <x:row r="895" ht="48" customHeight="1">
      <x:c r="A895" s="24" t="str">
        <x:v>V01-R009</x:v>
      </x:c>
      <x:c r="B895" s="24" t="str">
        <x:v>V01</x:v>
      </x:c>
      <x:c r="C895" s="26" t="n">
        <x:v>9</x:v>
      </x:c>
      <x:c r="D895" s="26" t="n">
        <x:v>20</x:v>
      </x:c>
      <x:c r="E895" s="26" t="n">
        <x:v>20</x:v>
      </x:c>
      <x:c r="F895" s="26" t="str">
        <x:v>Arce</x:v>
      </x:c>
      <x:c r="G895" s="26" t="n">
        <x:v>2019</x:v>
      </x:c>
      <x:c r="H895" s="25" t="str">
        <x:v>A Large Central Bank Balance Sheet? Floor vs Corridor Systems in a New Keynesian Environment</x:v>
      </x:c>
      <x:c r="I895" s="25" t="str"/>
      <x:c r="J895" s="25" t="str"/>
      <x:c r="K895" s="25" t="str">
        <x:v>automatic_screen_pass</x:v>
      </x:c>
      <x:c r="L895" s="25" t="str">
        <x:v>accepted</x:v>
      </x:c>
      <x:c r="M895" s="25" t="str">
        <x:v>no</x:v>
      </x:c>
      <x:c r="N895" s="25" t="str">
        <x:v>saki_research/research_vision/research_vision.pdf</x:v>
      </x:c>
      <x:c r="O895" s="25" t="str">
        <x:v>Arce, Óscar, Galo Nuño, Dominik Thaler, and Carlos Thomas, “A Large Central Bank Balance Sheet? Floor vs Corridor Systems in a New Keynesian Environment,”Journal of Monetary Economics,2019.</x:v>
      </x:c>
    </x:row>
    <x:row r="896" ht="48" customHeight="1">
      <x:c r="A896" s="24" t="str">
        <x:v>V01-R010</x:v>
      </x:c>
      <x:c r="B896" s="24" t="str">
        <x:v>V01</x:v>
      </x:c>
      <x:c r="C896" s="26" t="n">
        <x:v>10</x:v>
      </x:c>
      <x:c r="D896" s="26" t="n">
        <x:v>20</x:v>
      </x:c>
      <x:c r="E896" s="26" t="n">
        <x:v>20</x:v>
      </x:c>
      <x:c r="F896" s="26" t="str">
        <x:v>Atkeson</x:v>
      </x:c>
      <x:c r="G896" s="26" t="n">
        <x:v>2015</x:v>
      </x:c>
      <x:c r="H896" s="25" t="str">
        <x:v>Entry and Exit in OTC Derivatives Markets</x:v>
      </x:c>
      <x:c r="I896" s="25" t="str"/>
      <x:c r="J896" s="25" t="str"/>
      <x:c r="K896" s="25" t="str">
        <x:v>automatic_screen_pass</x:v>
      </x:c>
      <x:c r="L896" s="25" t="str">
        <x:v>accepted</x:v>
      </x:c>
      <x:c r="M896" s="25" t="str">
        <x:v>no</x:v>
      </x:c>
      <x:c r="N896" s="25" t="str">
        <x:v>saki_research/research_vision/research_vision.pdf</x:v>
      </x:c>
      <x:c r="O896" s="25" t="str">
        <x:v>Atkeson, Andrew G., Andrea L. Eisfeldt, and Pierre-Olivier Weill, “Entry and Exit in OTC Derivatives Markets,”Econometrica,2015,83(6),2231–2292.</x:v>
      </x:c>
    </x:row>
    <x:row r="897" ht="48" customHeight="1">
      <x:c r="A897" s="24" t="str">
        <x:v>V01-R011</x:v>
      </x:c>
      <x:c r="B897" s="24" t="str">
        <x:v>V01</x:v>
      </x:c>
      <x:c r="C897" s="26" t="n">
        <x:v>11</x:v>
      </x:c>
      <x:c r="D897" s="26" t="n">
        <x:v>20</x:v>
      </x:c>
      <x:c r="E897" s="26" t="n">
        <x:v>20</x:v>
      </x:c>
      <x:c r="F897" s="26" t="str">
        <x:v>Baqaee</x:v>
      </x:c>
      <x:c r="G897" s="26" t="n">
        <x:v>2019</x:v>
      </x:c>
      <x:c r="H897" s="25" t="str">
        <x:v>The Macroeconomic Impact of Microeconomic Shocks: Beyond Hulten’s Theorem</x:v>
      </x:c>
      <x:c r="I897" s="25" t="str"/>
      <x:c r="J897" s="25" t="str"/>
      <x:c r="K897" s="25" t="str">
        <x:v>automatic_screen_pass</x:v>
      </x:c>
      <x:c r="L897" s="25" t="str">
        <x:v>accepted</x:v>
      </x:c>
      <x:c r="M897" s="25" t="str">
        <x:v>no</x:v>
      </x:c>
      <x:c r="N897" s="25" t="str">
        <x:v>saki_research/research_vision/research_vision.pdf</x:v>
      </x:c>
      <x:c r="O897" s="25" t="str">
        <x:v>Baqaee, David Rezza and Emmanuel Farhi, “The Macroeconomic Impact of Microeconomic Shocks: Beyond Hulten’s Theorem,”Econometrica,2019,87(4), 1155–1203.</x:v>
      </x:c>
    </x:row>
    <x:row r="898" ht="48" customHeight="1">
      <x:c r="A898" s="24" t="str">
        <x:v>V01-R012</x:v>
      </x:c>
      <x:c r="B898" s="24" t="str">
        <x:v>V01</x:v>
      </x:c>
      <x:c r="C898" s="26" t="n">
        <x:v>12</x:v>
      </x:c>
      <x:c r="D898" s="26" t="n">
        <x:v>20</x:v>
      </x:c>
      <x:c r="E898" s="26" t="n">
        <x:v>20</x:v>
      </x:c>
      <x:c r="F898" s="26" t="str">
        <x:v>Begenau</x:v>
      </x:c>
      <x:c r="G898" s="26" t="n">
        <x:v>2020</x:v>
      </x:c>
      <x:c r="H898" s="25" t="str">
        <x:v>Capital requirements, risk choice, and liquidity provision in a business-cycle model</x:v>
      </x:c>
      <x:c r="I898" s="25" t="str"/>
      <x:c r="J898" s="25" t="str"/>
      <x:c r="K898" s="25" t="str">
        <x:v>automatic_screen_pass</x:v>
      </x:c>
      <x:c r="L898" s="25" t="str">
        <x:v>accepted</x:v>
      </x:c>
      <x:c r="M898" s="25" t="str">
        <x:v>no</x:v>
      </x:c>
      <x:c r="N898" s="25" t="str">
        <x:v>saki_research/research_vision/research_vision.pdf</x:v>
      </x:c>
      <x:c r="O898" s="25" t="str">
        <x:v>Begenau, Juliane, “Capital requirements, risk choice, and liquidity provision in a business-cycle model,”Journal of Financial Economics,2020,136(2),355–378.</x:v>
      </x:c>
    </x:row>
    <x:row r="899" ht="48" customHeight="1">
      <x:c r="A899" s="24" t="str">
        <x:v>V01-R013</x:v>
      </x:c>
      <x:c r="B899" s="24" t="str">
        <x:v>V01</x:v>
      </x:c>
      <x:c r="C899" s="26" t="n">
        <x:v>13</x:v>
      </x:c>
      <x:c r="D899" s="26" t="n">
        <x:v>20</x:v>
      </x:c>
      <x:c r="E899" s="26" t="n">
        <x:v>20</x:v>
      </x:c>
      <x:c r="F899" s="26" t="str">
        <x:v>Begenau</x:v>
      </x:c>
      <x:c r="G899" s="26" t="n">
        <x:v>2026</x:v>
      </x:c>
      <x:c r="H899" s="25" t="str">
        <x:v>A Q- Theory of Banks</x:v>
      </x:c>
      <x:c r="I899" s="25" t="str"/>
      <x:c r="J899" s="25" t="str"/>
      <x:c r="K899" s="25" t="str">
        <x:v>automatic_screen_pass</x:v>
      </x:c>
      <x:c r="L899" s="25" t="str">
        <x:v>accepted</x:v>
      </x:c>
      <x:c r="M899" s="25" t="str">
        <x:v>no</x:v>
      </x:c>
      <x:c r="N899" s="25" t="str">
        <x:v>saki_research/research_vision/research_vision.pdf</x:v>
      </x:c>
      <x:c r="O899" s="25" t="str">
        <x:v>Begenau, Juliane, Saki Bigio, Jeremy Majerovitz, and Matias Vieyra, “A Q- Theory of Banks,”The Review of Economic Studies, January2026,93(1),106–143.</x:v>
      </x:c>
    </x:row>
    <x:row r="900" ht="48" customHeight="1">
      <x:c r="A900" s="24" t="str">
        <x:v>V01-R014</x:v>
      </x:c>
      <x:c r="B900" s="24" t="str">
        <x:v>V01</x:v>
      </x:c>
      <x:c r="C900" s="26" t="n">
        <x:v>14</x:v>
      </x:c>
      <x:c r="D900" s="26" t="n">
        <x:v>20</x:v>
      </x:c>
      <x:c r="E900" s="26" t="n">
        <x:v>20</x:v>
      </x:c>
      <x:c r="F900" s="26" t="str">
        <x:v>Bernanke</x:v>
      </x:c>
      <x:c r="G900" s="26" t="n">
        <x:v>1989</x:v>
      </x:c>
      <x:c r="H900" s="25" t="str">
        <x:v>Agency Costs, Net Worth, and Business Fluctuations</x:v>
      </x:c>
      <x:c r="I900" s="25" t="str"/>
      <x:c r="J900" s="25" t="str"/>
      <x:c r="K900" s="25" t="str">
        <x:v>automatic_screen_pass</x:v>
      </x:c>
      <x:c r="L900" s="25" t="str">
        <x:v>accepted</x:v>
      </x:c>
      <x:c r="M900" s="25" t="str">
        <x:v>no</x:v>
      </x:c>
      <x:c r="N900" s="25" t="str">
        <x:v>saki_research/research_vision/research_vision.pdf</x:v>
      </x:c>
      <x:c r="O900" s="25" t="str">
        <x:v>Bernanke, Ben and Mark Gertler, “Agency Costs, Net Worth, and Business Fluctuations,”1989.</x:v>
      </x:c>
    </x:row>
    <x:row r="901" ht="48" customHeight="1">
      <x:c r="A901" s="24" t="str">
        <x:v>V01-R015</x:v>
      </x:c>
      <x:c r="B901" s="24" t="str">
        <x:v>V01</x:v>
      </x:c>
      <x:c r="C901" s="26" t="n">
        <x:v>15</x:v>
      </x:c>
      <x:c r="D901" s="26" t="n">
        <x:v>20</x:v>
      </x:c>
      <x:c r="E901" s="26" t="n">
        <x:v>20</x:v>
      </x:c>
      <x:c r="F901" s="26" t="str">
        <x:v>Bernanke</x:v>
      </x:c>
      <x:c r="G901" s="26" t="n">
        <x:v>1996</x:v>
      </x:c>
      <x:c r="H901" s="25" t="str">
        <x:v>The Financial Accelerator and the Flight to Quality</x:v>
      </x:c>
      <x:c r="I901" s="25" t="str"/>
      <x:c r="J901" s="25" t="str"/>
      <x:c r="K901" s="25" t="str">
        <x:v>automatic_screen_pass</x:v>
      </x:c>
      <x:c r="L901" s="25" t="str">
        <x:v>accepted</x:v>
      </x:c>
      <x:c r="M901" s="25" t="str">
        <x:v>no</x:v>
      </x:c>
      <x:c r="N901" s="25" t="str">
        <x:v>saki_research/research_vision/research_vision.pdf</x:v>
      </x:c>
      <x:c r="O901" s="25" t="str">
        <x:v>Bernanke, Ben, Mark Gertler, and Simon Gilchrist, “The Financial Accelerator and the Flight to Quality,”The Review of Economics and Statistics,1996,78(1), pp. 1–15.</x:v>
      </x:c>
    </x:row>
    <x:row r="902" ht="48" customHeight="1">
      <x:c r="A902" s="24" t="str">
        <x:v>V01-R016</x:v>
      </x:c>
      <x:c r="B902" s="24" t="str">
        <x:v>V01</x:v>
      </x:c>
      <x:c r="C902" s="26" t="n">
        <x:v>16</x:v>
      </x:c>
      <x:c r="D902" s="26" t="n">
        <x:v>20</x:v>
      </x:c>
      <x:c r="E902" s="26" t="n">
        <x:v>21</x:v>
      </x:c>
      <x:c r="F902" s="26" t="str">
        <x:v>Bianchi</x:v>
      </x:c>
      <x:c r="G902" s="26" t="n">
        <x:v>2022</x:v>
      </x:c>
      <x:c r="H902" s="25" t="str">
        <x:v>Banks, Liquidity Management and Monetary Policy</x:v>
      </x:c>
      <x:c r="I902" s="25" t="str"/>
      <x:c r="J902" s="25" t="str"/>
      <x:c r="K902" s="25" t="str">
        <x:v>automatic_screen_pass</x:v>
      </x:c>
      <x:c r="L902" s="25" t="str">
        <x:v>accepted</x:v>
      </x:c>
      <x:c r="M902" s="25" t="str">
        <x:v>no</x:v>
      </x:c>
      <x:c r="N902" s="25" t="str">
        <x:v>saki_research/research_vision/research_vision.pdf</x:v>
      </x:c>
      <x:c r="O902" s="25" t="str">
        <x:v>Bianchi, Javier and Saki Bigio, “Banks, Liquidity Management and Monetary Policy,”Econometrica,2022. liquidity and macroeconomics:a research vision and an agenda 21</x:v>
      </x:c>
    </x:row>
    <x:row r="903" ht="48" customHeight="1">
      <x:c r="A903" s="24" t="str">
        <x:v>V01-R017</x:v>
      </x:c>
      <x:c r="B903" s="24" t="str">
        <x:v>V01</x:v>
      </x:c>
      <x:c r="C903" s="26" t="n">
        <x:v>17</x:v>
      </x:c>
      <x:c r="D903" s="26" t="n">
        <x:v>21</x:v>
      </x:c>
      <x:c r="E903" s="26" t="n">
        <x:v>21</x:v>
      </x:c>
      <x:c r="F903" s="26" t="str">
        <x:v>Bianchi</x:v>
      </x:c>
      <x:c r="G903" s="26" t="n">
        <x:v>2026</x:v>
      </x:c>
      <x:c r="H903" s="25" t="str">
        <x:v>Portfolio Choice and Settlement Frictions: A Theory of Endogenous Convenience Yields</x:v>
      </x:c>
      <x:c r="I903" s="25" t="str"/>
      <x:c r="J903" s="25" t="str"/>
      <x:c r="K903" s="25" t="str">
        <x:v>prior_manual_sample</x:v>
      </x:c>
      <x:c r="L903" s="25" t="str">
        <x:v>accepted</x:v>
      </x:c>
      <x:c r="M903" s="25" t="str">
        <x:v>no</x:v>
      </x:c>
      <x:c r="N903" s="25" t="str">
        <x:v>saki_research/research_vision/research_vision.pdf</x:v>
      </x:c>
      <x:c r="O903" s="25" t="str">
        <x:v>Bianchi, Javier and Saki Bigio, “Portfolio Choice and Settlement Frictions: A Theory of Endogenous Convenience Yields,”Journal of Economic Theory,2026. forthcoming.</x:v>
      </x:c>
    </x:row>
    <x:row r="904" ht="48" customHeight="1">
      <x:c r="A904" s="24" t="str">
        <x:v>V01-R018</x:v>
      </x:c>
      <x:c r="B904" s="24" t="str">
        <x:v>V01</x:v>
      </x:c>
      <x:c r="C904" s="26" t="n">
        <x:v>18</x:v>
      </x:c>
      <x:c r="D904" s="26" t="n">
        <x:v>21</x:v>
      </x:c>
      <x:c r="E904" s="26" t="n">
        <x:v>21</x:v>
      </x:c>
      <x:c r="F904" s="26" t="str">
        <x:v>Bianchi</x:v>
      </x:c>
      <x:c r="G904" s="26" t="n">
        <x:v>2025</x:v>
      </x:c>
      <x:c r="H904" s="25" t="str">
        <x:v>Scrambling for Dollars: International Liquidity, Banks and Exchange Rates</x:v>
      </x:c>
      <x:c r="I904" s="25" t="str"/>
      <x:c r="J904" s="25" t="str"/>
      <x:c r="K904" s="25" t="str">
        <x:v>automatic_screen_pass</x:v>
      </x:c>
      <x:c r="L904" s="25" t="str">
        <x:v>accepted</x:v>
      </x:c>
      <x:c r="M904" s="25" t="str">
        <x:v>no</x:v>
      </x:c>
      <x:c r="N904" s="25" t="str">
        <x:v>saki_research/research_vision/research_vision.pdf</x:v>
      </x:c>
      <x:c r="O904" s="25" t="str">
        <x:v>Bianchi, Javier, Saki Bigio, and Charles Engel, “Scrambling for Dollars: International Liquidity, Banks and Exchange Rates,”2025. revise and resubmit, Review of Economic Studies.</x:v>
      </x:c>
    </x:row>
    <x:row r="905" ht="48" customHeight="1">
      <x:c r="A905" s="24" t="str">
        <x:v>V01-R019</x:v>
      </x:c>
      <x:c r="B905" s="24" t="str">
        <x:v>V01</x:v>
      </x:c>
      <x:c r="C905" s="26" t="n">
        <x:v>19</x:v>
      </x:c>
      <x:c r="D905" s="26" t="n">
        <x:v>21</x:v>
      </x:c>
      <x:c r="E905" s="26" t="n">
        <x:v>21</x:v>
      </x:c>
      <x:c r="F905" s="26" t="str">
        <x:v>Bigio</x:v>
      </x:c>
      <x:c r="G905" s="26" t="n">
        <x:v>2015</x:v>
      </x:c>
      <x:c r="H905" s="25" t="str">
        <x:v>Endogenous Liquidity and the Business Cycle</x:v>
      </x:c>
      <x:c r="I905" s="25" t="str"/>
      <x:c r="J905" s="25" t="str"/>
      <x:c r="K905" s="25" t="str">
        <x:v>exhaustive_visual_multiwork_pattern_accepted</x:v>
      </x:c>
      <x:c r="L905" s="25" t="str">
        <x:v>accepted</x:v>
      </x:c>
      <x:c r="M905" s="25" t="str">
        <x:v>sí</x:v>
      </x:c>
      <x:c r="N905" s="25" t="str">
        <x:v>saki_research/research_vision/research_vision.pdf</x:v>
      </x:c>
      <x:c r="O905" s="25" t="str">
        <x:v>Bigio, Saki, “Endogenous Liquidity and the Business Cycle,”American Economic Review, June2015,105(6),1883–1927.</x:v>
      </x:c>
    </x:row>
    <x:row r="906" ht="48" customHeight="1">
      <x:c r="A906" s="24" t="str">
        <x:v>V01-R020</x:v>
      </x:c>
      <x:c r="B906" s="24" t="str">
        <x:v>V01</x:v>
      </x:c>
      <x:c r="C906" s="26" t="n">
        <x:v>20</x:v>
      </x:c>
      <x:c r="D906" s="26" t="n">
        <x:v>21</x:v>
      </x:c>
      <x:c r="E906" s="26" t="n">
        <x:v>21</x:v>
      </x:c>
      <x:c r="F906" s="26" t="str">
        <x:v>Bigio</x:v>
      </x:c>
      <x:c r="G906" s="26" t="n">
        <x:v>2021</x:v>
      </x:c>
      <x:c r="H906" s="25" t="str">
        <x:v>Financial Risk Capacity</x:v>
      </x:c>
      <x:c r="I906" s="25" t="str"/>
      <x:c r="J906" s="25" t="str"/>
      <x:c r="K906" s="25" t="str">
        <x:v>automatic_screen_pass</x:v>
      </x:c>
      <x:c r="L906" s="25" t="str">
        <x:v>accepted</x:v>
      </x:c>
      <x:c r="M906" s="25" t="str">
        <x:v>no</x:v>
      </x:c>
      <x:c r="N906" s="25" t="str">
        <x:v>saki_research/research_vision/research_vision.pdf</x:v>
      </x:c>
      <x:c r="O906" s="25" t="str">
        <x:v>Bigio, Saki and Adrien d’Avernas, “Financial Risk Capacity,”American Economic Journal: Macroeconomics,2021.</x:v>
      </x:c>
    </x:row>
    <x:row r="907" ht="48" customHeight="1">
      <x:c r="A907" s="24" t="str">
        <x:v>V01-R021</x:v>
      </x:c>
      <x:c r="B907" s="24" t="str">
        <x:v>V01</x:v>
      </x:c>
      <x:c r="C907" s="26" t="n">
        <x:v>21</x:v>
      </x:c>
      <x:c r="D907" s="26" t="n">
        <x:v>21</x:v>
      </x:c>
      <x:c r="E907" s="26" t="n">
        <x:v>21</x:v>
      </x:c>
      <x:c r="F907" s="26" t="str">
        <x:v>Bigio</x:v>
      </x:c>
      <x:c r="G907" s="26" t="n">
        <x:v>2025</x:v>
      </x:c>
      <x:c r="H907" s="25" t="str">
        <x:v>New Keynesian Economics through the Extensive Margin</x:v>
      </x:c>
      <x:c r="I907" s="25" t="str"/>
      <x:c r="J907" s="25" t="str"/>
      <x:c r="K907" s="25" t="str">
        <x:v>automatic_screen_pass</x:v>
      </x:c>
      <x:c r="L907" s="25" t="str">
        <x:v>accepted</x:v>
      </x:c>
      <x:c r="M907" s="25" t="str">
        <x:v>no</x:v>
      </x:c>
      <x:c r="N907" s="25" t="str">
        <x:v>saki_research/research_vision/research_vision.pdf</x:v>
      </x:c>
      <x:c r="O907" s="25" t="str">
        <x:v>Bigio, Saki and Akira Ishide, “New Keynesian Economics through the Extensive Margin,”2025.</x:v>
      </x:c>
    </x:row>
    <x:row r="908" ht="48" customHeight="1">
      <x:c r="A908" s="24" t="str">
        <x:v>V01-R022</x:v>
      </x:c>
      <x:c r="B908" s="24" t="str">
        <x:v>V01</x:v>
      </x:c>
      <x:c r="C908" s="26" t="n">
        <x:v>22</x:v>
      </x:c>
      <x:c r="D908" s="26" t="n">
        <x:v>21</x:v>
      </x:c>
      <x:c r="E908" s="26" t="n">
        <x:v>21</x:v>
      </x:c>
      <x:c r="F908" s="26" t="str">
        <x:v>Bigio</x:v>
      </x:c>
      <x:c r="G908" s="26" t="n">
        <x:v>2017</x:v>
      </x:c>
      <x:c r="H908" s="25" t="str">
        <x:v>Liquidity shocks, business cycles and asset prices</x:v>
      </x:c>
      <x:c r="I908" s="25" t="str"/>
      <x:c r="J908" s="25" t="str"/>
      <x:c r="K908" s="25" t="str">
        <x:v>automatic_screen_pass</x:v>
      </x:c>
      <x:c r="L908" s="25" t="str">
        <x:v>accepted</x:v>
      </x:c>
      <x:c r="M908" s="25" t="str">
        <x:v>no</x:v>
      </x:c>
      <x:c r="N908" s="25" t="str">
        <x:v>saki_research/research_vision/research_vision.pdf</x:v>
      </x:c>
      <x:c r="O908" s="25" t="str">
        <x:v>Bigio, Saki and Andrés Schneider, “Liquidity shocks, business cycles and asset prices,”European Economic Review,2017,97(C),108–130.</x:v>
      </x:c>
    </x:row>
    <x:row r="909" ht="48" customHeight="1">
      <x:c r="A909" s="24" t="str">
        <x:v>V01-R023</x:v>
      </x:c>
      <x:c r="B909" s="24" t="str">
        <x:v>V01</x:v>
      </x:c>
      <x:c r="C909" s="26" t="n">
        <x:v>23</x:v>
      </x:c>
      <x:c r="D909" s="26" t="n">
        <x:v>21</x:v>
      </x:c>
      <x:c r="E909" s="26" t="n">
        <x:v>21</x:v>
      </x:c>
      <x:c r="F909" s="26" t="str">
        <x:v>Bigio</x:v>
      </x:c>
      <x:c r="G909" s="26" t="n">
        <x:v>2025</x:v>
      </x:c>
      <x:c r="H909" s="25" t="str">
        <x:v>Decomposing Optimal Debt Maturity</x:v>
      </x:c>
      <x:c r="I909" s="25" t="str"/>
      <x:c r="J909" s="25" t="str"/>
      <x:c r="K909" s="25" t="str">
        <x:v>automatic_screen_pass</x:v>
      </x:c>
      <x:c r="L909" s="25" t="str">
        <x:v>accepted</x:v>
      </x:c>
      <x:c r="M909" s="25" t="str">
        <x:v>no</x:v>
      </x:c>
      <x:c r="N909" s="25" t="str">
        <x:v>saki_research/research_vision/research_vision.pdf</x:v>
      </x:c>
      <x:c r="O909" s="25" t="str">
        <x:v>Bigio, Saki and Galo Nuno, “Decomposing Optimal Debt Maturity,”2025. revise and resubmit, American Economic Journal: Macroeconomics.</x:v>
      </x:c>
    </x:row>
    <x:row r="910" ht="48" customHeight="1">
      <x:c r="A910" s="24" t="str">
        <x:v>V01-R024</x:v>
      </x:c>
      <x:c r="B910" s="24" t="str">
        <x:v>V01</x:v>
      </x:c>
      <x:c r="C910" s="26" t="n">
        <x:v>24</x:v>
      </x:c>
      <x:c r="D910" s="26" t="n">
        <x:v>21</x:v>
      </x:c>
      <x:c r="E910" s="26" t="n">
        <x:v>21</x:v>
      </x:c>
      <x:c r="F910" s="26" t="str">
        <x:v>Bigio</x:v>
      </x:c>
      <x:c r="G910" s="26" t="n">
        <x:v>2020</x:v>
      </x:c>
      <x:c r="H910" s="25" t="str">
        <x:v>DistortionsinProductionNetworks</x:v>
      </x:c>
      <x:c r="I910" s="25" t="str"/>
      <x:c r="J910" s="25" t="str"/>
      <x:c r="K910" s="25" t="str">
        <x:v>automatic_screen_pass</x:v>
      </x:c>
      <x:c r="L910" s="25" t="str">
        <x:v>accepted</x:v>
      </x:c>
      <x:c r="M910" s="25" t="str">
        <x:v>no</x:v>
      </x:c>
      <x:c r="N910" s="25" t="str">
        <x:v>saki_research/research_vision/research_vision.pdf</x:v>
      </x:c>
      <x:c r="O910" s="25" t="str">
        <x:v>Bigio,SakiandJenniferLa’O,“DistortionsinProductionNetworks,”TheQuarterly Journal of Economics,05 2020,135(4),2187–2253.</x:v>
      </x:c>
    </x:row>
    <x:row r="911" ht="48" customHeight="1">
      <x:c r="A911" s="24" t="str">
        <x:v>V01-R025</x:v>
      </x:c>
      <x:c r="B911" s="24" t="str">
        <x:v>V01</x:v>
      </x:c>
      <x:c r="C911" s="26" t="n">
        <x:v>25</x:v>
      </x:c>
      <x:c r="D911" s="26" t="n">
        <x:v>21</x:v>
      </x:c>
      <x:c r="E911" s="26" t="n">
        <x:v>21</x:v>
      </x:c>
      <x:c r="F911" s="26" t="str">
        <x:v>Bigio</x:v>
      </x:c>
      <x:c r="G911" s="26" t="n">
        <x:v>2025</x:v>
      </x:c>
      <x:c r="H911" s="25" t="str">
        <x:v>Repurchase Options in the Market for Lemons</x:v>
      </x:c>
      <x:c r="I911" s="25" t="str"/>
      <x:c r="J911" s="25" t="str"/>
      <x:c r="K911" s="25" t="str">
        <x:v>automatic_screen_pass</x:v>
      </x:c>
      <x:c r="L911" s="25" t="str">
        <x:v>accepted</x:v>
      </x:c>
      <x:c r="M911" s="25" t="str">
        <x:v>no</x:v>
      </x:c>
      <x:c r="N911" s="25" t="str">
        <x:v>saki_research/research_vision/research_vision.pdf</x:v>
      </x:c>
      <x:c r="O911" s="25" t="str">
        <x:v>Bigio, Saki and Liyan Shi, “Repurchase Options in the Market for Lemons,”The Review of Economic Studies,2025.</x:v>
      </x:c>
    </x:row>
    <x:row r="912" ht="48" customHeight="1">
      <x:c r="A912" s="24" t="str">
        <x:v>V01-R026</x:v>
      </x:c>
      <x:c r="B912" s="24" t="str">
        <x:v>V01</x:v>
      </x:c>
      <x:c r="C912" s="26" t="n">
        <x:v>26</x:v>
      </x:c>
      <x:c r="D912" s="26" t="n">
        <x:v>21</x:v>
      </x:c>
      <x:c r="E912" s="26" t="n">
        <x:v>21</x:v>
      </x:c>
      <x:c r="F912" s="26" t="str">
        <x:v>Bigio</x:v>
      </x:c>
      <x:c r="G912" s="26" t="n">
        <x:v>2024</x:v>
      </x:c>
      <x:c r="H912" s="25" t="str">
        <x:v>A Model of Credit, Money, Interest, and Prices</x:v>
      </x:c>
      <x:c r="I912" s="25" t="str"/>
      <x:c r="J912" s="25" t="str"/>
      <x:c r="K912" s="25" t="str">
        <x:v>automatic_screen_pass</x:v>
      </x:c>
      <x:c r="L912" s="25" t="str">
        <x:v>accepted</x:v>
      </x:c>
      <x:c r="M912" s="25" t="str">
        <x:v>no</x:v>
      </x:c>
      <x:c r="N912" s="25" t="str">
        <x:v>saki_research/research_vision/research_vision.pdf</x:v>
      </x:c>
      <x:c r="O912" s="25" t="str">
        <x:v>Bigio, Saki and Yuliy Sannikov, “A Model of Credit, Money, Interest, and Prices,” 2024. revise and resubmit, Journal of Finance.</x:v>
      </x:c>
    </x:row>
    <x:row r="913" ht="48" customHeight="1">
      <x:c r="A913" s="24" t="str">
        <x:v>V01-R027</x:v>
      </x:c>
      <x:c r="B913" s="24" t="str">
        <x:v>V01</x:v>
      </x:c>
      <x:c r="C913" s="26" t="n">
        <x:v>27</x:v>
      </x:c>
      <x:c r="D913" s="26" t="n">
        <x:v>21</x:v>
      </x:c>
      <x:c r="E913" s="26" t="n">
        <x:v>21</x:v>
      </x:c>
      <x:c r="F913" s="26" t="str">
        <x:v>Bigio</x:v>
      </x:c>
      <x:c r="G913" s="26" t="n">
        <x:v>2026</x:v>
      </x:c>
      <x:c r="H913" s="25" t="str">
        <x:v>HeterogeneousBeliefs, Asset Prices, and Business Cycles</x:v>
      </x:c>
      <x:c r="I913" s="25" t="str"/>
      <x:c r="J913" s="25" t="str"/>
      <x:c r="K913" s="25" t="str">
        <x:v>automatic_screen_pass</x:v>
      </x:c>
      <x:c r="L913" s="25" t="str">
        <x:v>accepted</x:v>
      </x:c>
      <x:c r="M913" s="25" t="str">
        <x:v>no</x:v>
      </x:c>
      <x:c r="N913" s="25" t="str">
        <x:v>saki_research/research_vision/research_vision.pdf</x:v>
      </x:c>
      <x:c r="O913" s="25" t="str">
        <x:v>Bigio, Saki, DejanirSilva, andEduardoZilberman, “HeterogeneousBeliefs, Asset Prices, and Business Cycles,”Journal of Financial Economics,2026. forthcoming.</x:v>
      </x:c>
    </x:row>
    <x:row r="914" ht="48" customHeight="1">
      <x:c r="A914" s="24" t="str">
        <x:v>V01-R028</x:v>
      </x:c>
      <x:c r="B914" s="24" t="str">
        <x:v>V01</x:v>
      </x:c>
      <x:c r="C914" s="26" t="n">
        <x:v>28</x:v>
      </x:c>
      <x:c r="D914" s="26" t="n">
        <x:v>21</x:v>
      </x:c>
      <x:c r="E914" s="26" t="n">
        <x:v>21</x:v>
      </x:c>
      <x:c r="F914" s="26" t="str">
        <x:v>Bigio</x:v>
      </x:c>
      <x:c r="G914" s="26" t="n">
        <x:v>2025</x:v>
      </x:c>
      <x:c r="H914" s="25" t="str">
        <x:v>ATheoryofPayment-Chain Crises</x:v>
      </x:c>
      <x:c r="I914" s="25" t="str"/>
      <x:c r="J914" s="25" t="str"/>
      <x:c r="K914" s="25" t="str">
        <x:v>automatic_screen_pass</x:v>
      </x:c>
      <x:c r="L914" s="25" t="str">
        <x:v>accepted</x:v>
      </x:c>
      <x:c r="M914" s="25" t="str">
        <x:v>no</x:v>
      </x:c>
      <x:c r="N914" s="25" t="str">
        <x:v>saki_research/research_vision/research_vision.pdf</x:v>
      </x:c>
      <x:c r="O914" s="25" t="str">
        <x:v>Bigio,Saki,EstebanMendez,andDianaVanPatten,“ATheoryofPayment-Chain Crises,” September2025.</x:v>
      </x:c>
    </x:row>
    <x:row r="915" ht="48" customHeight="1">
      <x:c r="A915" s="24" t="str">
        <x:v>V01-R029</x:v>
      </x:c>
      <x:c r="B915" s="24" t="str">
        <x:v>V01</x:v>
      </x:c>
      <x:c r="C915" s="26" t="n">
        <x:v>29</x:v>
      </x:c>
      <x:c r="D915" s="26" t="n">
        <x:v>21</x:v>
      </x:c>
      <x:c r="E915" s="26" t="n">
        <x:v>21</x:v>
      </x:c>
      <x:c r="F915" s="26" t="str">
        <x:v>Bigio</x:v>
      </x:c>
      <x:c r="G915" s="26" t="n">
        <x:v>2023</x:v>
      </x:c>
      <x:c r="H915" s="25" t="str">
        <x:v>Debt-Maturity Management with Liquidity Costs</x:v>
      </x:c>
      <x:c r="I915" s="25" t="str"/>
      <x:c r="J915" s="25" t="str"/>
      <x:c r="K915" s="25" t="str">
        <x:v>prior_manual_sample</x:v>
      </x:c>
      <x:c r="L915" s="25" t="str">
        <x:v>accepted</x:v>
      </x:c>
      <x:c r="M915" s="25" t="str">
        <x:v>no</x:v>
      </x:c>
      <x:c r="N915" s="25" t="str">
        <x:v>saki_research/research_vision/research_vision.pdf</x:v>
      </x:c>
      <x:c r="O915" s="25" t="str">
        <x:v>Bigio, Saki, Galo Nuno, and Juan Passadore, “Debt-Maturity Management with Liquidity Costs,”Journal of Political Economy Macroeconomics,2023,1(1).</x:v>
      </x:c>
    </x:row>
    <x:row r="916" ht="48" customHeight="1">
      <x:c r="A916" s="24" t="str">
        <x:v>V01-R030</x:v>
      </x:c>
      <x:c r="B916" s="24" t="str">
        <x:v>V01</x:v>
      </x:c>
      <x:c r="C916" s="26" t="n">
        <x:v>30</x:v>
      </x:c>
      <x:c r="D916" s="26" t="n">
        <x:v>21</x:v>
      </x:c>
      <x:c r="E916" s="26" t="n">
        <x:v>21</x:v>
      </x:c>
      <x:c r="F916" s="26" t="str">
        <x:v>Bigio</x:v>
      </x:c>
      <x:c r="G916" s="26" t="n">
        <x:v>2025</x:v>
      </x:c>
      <x:c r="H916" s="25" t="str">
        <x:v>Sticky Inflation</x:v>
      </x:c>
      <x:c r="I916" s="25" t="str"/>
      <x:c r="J916" s="25" t="str"/>
      <x:c r="K916" s="25" t="str">
        <x:v>prior_manual_sample</x:v>
      </x:c>
      <x:c r="L916" s="25" t="str">
        <x:v>accepted</x:v>
      </x:c>
      <x:c r="M916" s="25" t="str">
        <x:v>no</x:v>
      </x:c>
      <x:c r="N916" s="25" t="str">
        <x:v>saki_research/research_vision/research_vision.pdf</x:v>
      </x:c>
      <x:c r="O916" s="25" t="str">
        <x:v>Bigio, Saki, Nicolas Caramp, and Dejanir Silva, “Sticky Inflation,”2025. revise and resubmit, Journal of Political Economy Macroeconomics.</x:v>
      </x:c>
    </x:row>
    <x:row r="917" ht="48" customHeight="1">
      <x:c r="A917" s="24" t="str">
        <x:v>V01-R031</x:v>
      </x:c>
      <x:c r="B917" s="24" t="str">
        <x:v>V01</x:v>
      </x:c>
      <x:c r="C917" s="26" t="n">
        <x:v>31</x:v>
      </x:c>
      <x:c r="D917" s="26" t="n">
        <x:v>21</x:v>
      </x:c>
      <x:c r="E917" s="26" t="n">
        <x:v>21</x:v>
      </x:c>
      <x:c r="F917" s="26" t="str">
        <x:v>Bigio</x:v>
      </x:c>
      <x:c r="G917" s="26" t="n">
        <x:v>2025</x:v>
      </x:c>
      <x:c r="H917" s="25" t="str">
        <x:v>Monetary Policy Implementation Regimes in the US and Reserve Demand Estimation</x:v>
      </x:c>
      <x:c r="I917" s="25" t="str"/>
      <x:c r="J917" s="25" t="str"/>
      <x:c r="K917" s="25" t="str">
        <x:v>automatic_screen_pass</x:v>
      </x:c>
      <x:c r="L917" s="25" t="str">
        <x:v>accepted</x:v>
      </x:c>
      <x:c r="M917" s="25" t="str">
        <x:v>no</x:v>
      </x:c>
      <x:c r="N917" s="25" t="str">
        <x:v>saki_research/research_vision/research_vision.pdf</x:v>
      </x:c>
      <x:c r="O917" s="25" t="str">
        <x:v>Bigio, Saki, Pablo D’Erasmo, and Luis Yepez, “Monetary Policy Implementation Regimes in the US and Reserve Demand Estimation,”2025.</x:v>
      </x:c>
    </x:row>
    <x:row r="918" ht="48" customHeight="1">
      <x:c r="A918" s="24" t="str">
        <x:v>V01-R032</x:v>
      </x:c>
      <x:c r="B918" s="24" t="str">
        <x:v>V01</x:v>
      </x:c>
      <x:c r="C918" s="26" t="n">
        <x:v>32</x:v>
      </x:c>
      <x:c r="D918" s="26" t="n">
        <x:v>21</x:v>
      </x:c>
      <x:c r="E918" s="26" t="n">
        <x:v>21</x:v>
      </x:c>
      <x:c r="F918" s="26" t="str">
        <x:v>Bigio</x:v>
      </x:c>
      <x:c r="G918" s="26" t="n">
        <x:v>2025</x:v>
      </x:c>
      <x:c r="H918" s="25" t="str">
        <x:v>Dollar Liquidity Flows in Small- Open Economies</x:v>
      </x:c>
      <x:c r="I918" s="25" t="str"/>
      <x:c r="J918" s="25" t="str"/>
      <x:c r="K918" s="25" t="str">
        <x:v>automatic_screen_pass</x:v>
      </x:c>
      <x:c r="L918" s="25" t="str">
        <x:v>accepted</x:v>
      </x:c>
      <x:c r="M918" s="25" t="str">
        <x:v>no</x:v>
      </x:c>
      <x:c r="N918" s="25" t="str">
        <x:v>saki_research/research_vision/research_vision.pdf</x:v>
      </x:c>
      <x:c r="O918" s="25" t="str">
        <x:v>Bigio, Saki, Paul Castillo, and Seungyub Han, “Dollar Liquidity Flows in Small- Open Economies,”2025.</x:v>
      </x:c>
    </x:row>
    <x:row r="919" ht="48" customHeight="1">
      <x:c r="A919" s="24" t="str">
        <x:v>V01-R033</x:v>
      </x:c>
      <x:c r="B919" s="24" t="str">
        <x:v>V01</x:v>
      </x:c>
      <x:c r="C919" s="26" t="n">
        <x:v>33</x:v>
      </x:c>
      <x:c r="D919" s="26" t="n">
        <x:v>21</x:v>
      </x:c>
      <x:c r="E919" s="26" t="n">
        <x:v>22</x:v>
      </x:c>
      <x:c r="F919" s="26" t="str">
        <x:v>Bigio</x:v>
      </x:c>
      <x:c r="G919" s="26" t="n">
        <x:v>2024</x:v>
      </x:c>
      <x:c r="H919" s="25" t="str">
        <x:v>A Monetary Theory of Bank Balance Sheets</x:v>
      </x:c>
      <x:c r="I919" s="25" t="str"/>
      <x:c r="J919" s="25" t="str"/>
      <x:c r="K919" s="25" t="str">
        <x:v>automatic_screen_pass</x:v>
      </x:c>
      <x:c r="L919" s="25" t="str">
        <x:v>accepted</x:v>
      </x:c>
      <x:c r="M919" s="25" t="str">
        <x:v>no</x:v>
      </x:c>
      <x:c r="N919" s="25" t="str">
        <x:v>saki_research/research_vision/research_vision.pdf</x:v>
      </x:c>
      <x:c r="O919" s="25" t="str">
        <x:v>Bigio, Saki, Pierre-Olivier Weill, and Diego Zuniga, “A Monetary Theory of Bank Balance Sheets,”2024. liquidity and macroeconomics:a research vision and an agenda 22</x:v>
      </x:c>
    </x:row>
    <x:row r="920" ht="48" customHeight="1">
      <x:c r="A920" s="24" t="str">
        <x:v>V01-R034</x:v>
      </x:c>
      <x:c r="B920" s="24" t="str">
        <x:v>V01</x:v>
      </x:c>
      <x:c r="C920" s="26" t="n">
        <x:v>34</x:v>
      </x:c>
      <x:c r="D920" s="26" t="n">
        <x:v>22</x:v>
      </x:c>
      <x:c r="E920" s="26" t="n">
        <x:v>22</x:v>
      </x:c>
      <x:c r="F920" s="26" t="str">
        <x:v>Bigio</x:v>
      </x:c>
      <x:c r="G920" s="26" t="n">
        <x:v>2026</x:v>
      </x:c>
      <x:c r="H920" s="25" t="str">
        <x:v>Competitive Bank Liability Design</x:v>
      </x:c>
      <x:c r="I920" s="25" t="str"/>
      <x:c r="J920" s="25" t="str"/>
      <x:c r="K920" s="25" t="str">
        <x:v>prior_manual_sample</x:v>
      </x:c>
      <x:c r="L920" s="25" t="str">
        <x:v>accepted</x:v>
      </x:c>
      <x:c r="M920" s="25" t="str">
        <x:v>no</x:v>
      </x:c>
      <x:c r="N920" s="25" t="str">
        <x:v>saki_research/research_vision/research_vision.pdf</x:v>
      </x:c>
      <x:c r="O920" s="25" t="str">
        <x:v>Bigio, Saki, Pierre-Olivier Weill, and Diego Zuniga, “Competitive Bank Liability Design,”2026.</x:v>
      </x:c>
    </x:row>
    <x:row r="921" ht="48" customHeight="1">
      <x:c r="A921" s="24" t="str">
        <x:v>V01-R035</x:v>
      </x:c>
      <x:c r="B921" s="24" t="str">
        <x:v>V01</x:v>
      </x:c>
      <x:c r="C921" s="26" t="n">
        <x:v>35</x:v>
      </x:c>
      <x:c r="D921" s="26" t="n">
        <x:v>22</x:v>
      </x:c>
      <x:c r="E921" s="26" t="n">
        <x:v>22</x:v>
      </x:c>
      <x:c r="F921" s="26" t="str">
        <x:v>Bigio</x:v>
      </x:c>
      <x:c r="G921" s="26" t="n">
        <x:v>2024</x:v>
      </x:c>
      <x:c r="H921" s="25" t="str">
        <x:v>A Comparative-Static Approach to Central Bank Balance Sheet Policies</x:v>
      </x:c>
      <x:c r="I921" s="25" t="str"/>
      <x:c r="J921" s="25" t="str"/>
      <x:c r="K921" s="25" t="str">
        <x:v>prior_manual_sample</x:v>
      </x:c>
      <x:c r="L921" s="25" t="str">
        <x:v>accepted</x:v>
      </x:c>
      <x:c r="M921" s="25" t="str">
        <x:v>no</x:v>
      </x:c>
      <x:c r="N921" s="25" t="str">
        <x:v>saki_research/research_vision/research_vision.pdf</x:v>
      </x:c>
      <x:c r="O921" s="25" t="str">
        <x:v>Bigio, Saki, Tobias Linzert, Fernando Mendo, Dominik Thaler, and Julian Schumacher, “A Comparative-Static Approach to Central Bank Balance Sheet Policies,”2024.</x:v>
      </x:c>
    </x:row>
    <x:row r="922" ht="48" customHeight="1">
      <x:c r="A922" s="24" t="str">
        <x:v>V01-R036</x:v>
      </x:c>
      <x:c r="B922" s="24" t="str">
        <x:v>V01</x:v>
      </x:c>
      <x:c r="C922" s="26" t="n">
        <x:v>36</x:v>
      </x:c>
      <x:c r="D922" s="26" t="n">
        <x:v>22</x:v>
      </x:c>
      <x:c r="E922" s="26" t="n">
        <x:v>22</x:v>
      </x:c>
      <x:c r="F922" s="26" t="str">
        <x:v>Boyd</x:v>
      </x:c>
      <x:c r="G922" s="26" t="n">
        <x:v>1986</x:v>
      </x:c>
      <x:c r="H922" s="25" t="str">
        <x:v>Financial Intermediary-Coalitions</x:v>
      </x:c>
      <x:c r="I922" s="25" t="str"/>
      <x:c r="J922" s="25" t="str"/>
      <x:c r="K922" s="25" t="str">
        <x:v>automatic_screen_pass</x:v>
      </x:c>
      <x:c r="L922" s="25" t="str">
        <x:v>accepted</x:v>
      </x:c>
      <x:c r="M922" s="25" t="str">
        <x:v>no</x:v>
      </x:c>
      <x:c r="N922" s="25" t="str">
        <x:v>saki_research/research_vision/research_vision.pdf</x:v>
      </x:c>
      <x:c r="O922" s="25" t="str">
        <x:v>Boyd, John H and Edward C Prescott, “Financial Intermediary-Coalitions,”Journal of Economic Theory,1986,38(2),211–232.</x:v>
      </x:c>
    </x:row>
    <x:row r="923" ht="48" customHeight="1">
      <x:c r="A923" s="24" t="str">
        <x:v>V01-R037</x:v>
      </x:c>
      <x:c r="B923" s="24" t="str">
        <x:v>V01</x:v>
      </x:c>
      <x:c r="C923" s="26" t="n">
        <x:v>37</x:v>
      </x:c>
      <x:c r="D923" s="26" t="n">
        <x:v>22</x:v>
      </x:c>
      <x:c r="E923" s="26" t="n">
        <x:v>22</x:v>
      </x:c>
      <x:c r="F923" s="26" t="str">
        <x:v>Brunnermeier</x:v>
      </x:c>
      <x:c r="G923" s="26" t="n">
        <x:v>2014</x:v>
      </x:c>
      <x:c r="H923" s="25" t="str">
        <x:v>A Macroeconomic Model with a Financial Sector</x:v>
      </x:c>
      <x:c r="I923" s="25" t="str"/>
      <x:c r="J923" s="25" t="str"/>
      <x:c r="K923" s="25" t="str">
        <x:v>automatic_screen_pass</x:v>
      </x:c>
      <x:c r="L923" s="25" t="str">
        <x:v>accepted</x:v>
      </x:c>
      <x:c r="M923" s="25" t="str">
        <x:v>no</x:v>
      </x:c>
      <x:c r="N923" s="25" t="str">
        <x:v>saki_research/research_vision/research_vision.pdf</x:v>
      </x:c>
      <x:c r="O923" s="25" t="str">
        <x:v>Brunnermeier, Markus K. and Yuliy Sannikov, “A Macroeconomic Model with a Financial Sector,”American Economic Review,2014,104(2),379–421.</x:v>
      </x:c>
    </x:row>
    <x:row r="924" ht="48" customHeight="1">
      <x:c r="A924" s="24" t="str">
        <x:v>V01-R038</x:v>
      </x:c>
      <x:c r="B924" s="24" t="str">
        <x:v>V01</x:v>
      </x:c>
      <x:c r="C924" s="26" t="n">
        <x:v>38</x:v>
      </x:c>
      <x:c r="D924" s="26" t="n">
        <x:v>22</x:v>
      </x:c>
      <x:c r="E924" s="26" t="n">
        <x:v>22</x:v>
      </x:c>
      <x:c r="F924" s="26" t="str">
        <x:v>Buera</x:v>
      </x:c>
      <x:c r="G924" s="26" t="n">
        <x:v>2012</x:v>
      </x:c>
      <x:c r="H924" s="25" t="str">
        <x:v>Aggregate Implications of a Credit Crunch</x:v>
      </x:c>
      <x:c r="I924" s="25" t="str"/>
      <x:c r="J924" s="25" t="str"/>
      <x:c r="K924" s="25" t="str">
        <x:v>automatic_screen_pass</x:v>
      </x:c>
      <x:c r="L924" s="25" t="str">
        <x:v>accepted</x:v>
      </x:c>
      <x:c r="M924" s="25" t="str">
        <x:v>no</x:v>
      </x:c>
      <x:c r="N924" s="25" t="str">
        <x:v>saki_research/research_vision/research_vision.pdf</x:v>
      </x:c>
      <x:c r="O924" s="25" t="str">
        <x:v>Buera, Francisco J. and Benjamin Moll, “Aggregate Implications of a Credit Crunch,”2012.</x:v>
      </x:c>
    </x:row>
    <x:row r="925" ht="48" customHeight="1">
      <x:c r="A925" s="24" t="str">
        <x:v>V01-R039</x:v>
      </x:c>
      <x:c r="B925" s="24" t="str">
        <x:v>V01</x:v>
      </x:c>
      <x:c r="C925" s="26" t="n">
        <x:v>39</x:v>
      </x:c>
      <x:c r="D925" s="26" t="n">
        <x:v>22</x:v>
      </x:c>
      <x:c r="E925" s="26" t="n">
        <x:v>22</x:v>
      </x:c>
      <x:c r="F925" s="26" t="str">
        <x:v>Caballero</x:v>
      </x:c>
      <x:c r="G925" s="26" t="n">
        <x:v>2001</x:v>
      </x:c>
      <x:c r="H925" s="25" t="str">
        <x:v>International and domestic collateral constraints in a model of emerging market crises</x:v>
      </x:c>
      <x:c r="I925" s="25" t="str"/>
      <x:c r="J925" s="25" t="str"/>
      <x:c r="K925" s="25" t="str">
        <x:v>automatic_screen_pass</x:v>
      </x:c>
      <x:c r="L925" s="25" t="str">
        <x:v>accepted</x:v>
      </x:c>
      <x:c r="M925" s="25" t="str">
        <x:v>no</x:v>
      </x:c>
      <x:c r="N925" s="25" t="str">
        <x:v>saki_research/research_vision/research_vision.pdf</x:v>
      </x:c>
      <x:c r="O925" s="25" t="str">
        <x:v>Caballero, Ricardo J. and Arvind Krishnamurthy, “International and domestic collateral constraints in a model of emerging market crises,”Journal of Monetary Economics,2001,48,513–548.</x:v>
      </x:c>
    </x:row>
    <x:row r="926" ht="48" customHeight="1">
      <x:c r="A926" s="24" t="str">
        <x:v>V01-R040</x:v>
      </x:c>
      <x:c r="B926" s="24" t="str">
        <x:v>V01</x:v>
      </x:c>
      <x:c r="C926" s="26" t="n">
        <x:v>40</x:v>
      </x:c>
      <x:c r="D926" s="26" t="n">
        <x:v>22</x:v>
      </x:c>
      <x:c r="E926" s="26" t="n">
        <x:v>22</x:v>
      </x:c>
      <x:c r="F926" s="26" t="str">
        <x:v>Cerra</x:v>
      </x:c>
      <x:c r="G926" s="26" t="n">
        <x:v>2008</x:v>
      </x:c>
      <x:c r="H926" s="25" t="str">
        <x:v>Growth Dynamics: The Myth of Economic Recovery</x:v>
      </x:c>
      <x:c r="I926" s="25" t="str"/>
      <x:c r="J926" s="25" t="str"/>
      <x:c r="K926" s="25" t="str">
        <x:v>automatic_screen_pass</x:v>
      </x:c>
      <x:c r="L926" s="25" t="str">
        <x:v>accepted</x:v>
      </x:c>
      <x:c r="M926" s="25" t="str">
        <x:v>no</x:v>
      </x:c>
      <x:c r="N926" s="25" t="str">
        <x:v>saki_research/research_vision/research_vision.pdf</x:v>
      </x:c>
      <x:c r="O926" s="25" t="str">
        <x:v>Cerra, Valerie and Chaman Saxena, “Growth Dynamics: The Myth of Economic Recovery,”American Economic Review,2008,98(1),439–57.</x:v>
      </x:c>
    </x:row>
    <x:row r="927" ht="48" customHeight="1">
      <x:c r="A927" s="24" t="str">
        <x:v>V01-R041</x:v>
      </x:c>
      <x:c r="B927" s="24" t="str">
        <x:v>V01</x:v>
      </x:c>
      <x:c r="C927" s="26" t="n">
        <x:v>41</x:v>
      </x:c>
      <x:c r="D927" s="26" t="n">
        <x:v>22</x:v>
      </x:c>
      <x:c r="E927" s="26" t="n">
        <x:v>22</x:v>
      </x:c>
      <x:c r="F927" s="26" t="str">
        <x:v>Chari</x:v>
      </x:c>
      <x:c r="G927" s="26" t="n">
        <x:v>2009</x:v>
      </x:c>
      <x:c r="H927" s="25" t="str">
        <x:v>Confronting Models of Financial Frictions with the Data</x:v>
      </x:c>
      <x:c r="I927" s="25" t="str"/>
      <x:c r="J927" s="25" t="str"/>
      <x:c r="K927" s="25" t="str">
        <x:v>automatic_screen_pass</x:v>
      </x:c>
      <x:c r="L927" s="25" t="str">
        <x:v>accepted</x:v>
      </x:c>
      <x:c r="M927" s="25" t="str">
        <x:v>no</x:v>
      </x:c>
      <x:c r="N927" s="25" t="str">
        <x:v>saki_research/research_vision/research_vision.pdf</x:v>
      </x:c>
      <x:c r="O927" s="25" t="str">
        <x:v>Chari, V. V. and Patrick Kehoe, “Confronting Models of Financial Frictions with the Data,”2009.</x:v>
      </x:c>
    </x:row>
    <x:row r="928" ht="48" customHeight="1">
      <x:c r="A928" s="24" t="str">
        <x:v>V01-R042</x:v>
      </x:c>
      <x:c r="B928" s="24" t="str">
        <x:v>V01</x:v>
      </x:c>
      <x:c r="C928" s="26" t="n">
        <x:v>42</x:v>
      </x:c>
      <x:c r="D928" s="26" t="n">
        <x:v>22</x:v>
      </x:c>
      <x:c r="E928" s="26" t="n">
        <x:v>22</x:v>
      </x:c>
      <x:c r="F928" s="26" t="str">
        <x:v>d’Avernas</x:v>
      </x:c>
      <x:c r="G928" s="26" t="n">
        <x:v>2024</x:v>
      </x:c>
      <x:c r="H928" s="25" t="str">
        <x:v>Treasury Bill Shortages and the Pricing of Short-Term Assets</x:v>
      </x:c>
      <x:c r="I928" s="25" t="str"/>
      <x:c r="J928" s="25" t="str"/>
      <x:c r="K928" s="25" t="str">
        <x:v>prior_manual_sample</x:v>
      </x:c>
      <x:c r="L928" s="25" t="str">
        <x:v>accepted</x:v>
      </x:c>
      <x:c r="M928" s="25" t="str">
        <x:v>no</x:v>
      </x:c>
      <x:c r="N928" s="25" t="str">
        <x:v>saki_research/research_vision/research_vision.pdf</x:v>
      </x:c>
      <x:c r="O928" s="25" t="str">
        <x:v>d’Avernas, Adrien and Quentin Vandeweyer, “Treasury Bill Shortages and the Pricing of Short-Term Assets,”The Journal of Finance,2024,79(6),4083–4141.</x:v>
      </x:c>
    </x:row>
    <x:row r="929" ht="48" customHeight="1">
      <x:c r="A929" s="24" t="str">
        <x:v>V01-R043</x:v>
      </x:c>
      <x:c r="B929" s="24" t="str">
        <x:v>V01</x:v>
      </x:c>
      <x:c r="C929" s="26" t="n">
        <x:v>43</x:v>
      </x:c>
      <x:c r="D929" s="26" t="n">
        <x:v>22</x:v>
      </x:c>
      <x:c r="E929" s="26" t="n">
        <x:v>22</x:v>
      </x:c>
      <x:c r="F929" s="26" t="str">
        <x:v>de Cavalcanti</x:v>
      </x:c>
      <x:c r="G929" s="26" t="n">
        <x:v>1999</x:v>
      </x:c>
      <x:c r="H929" s="25" t="str">
        <x:v>Private Money and Reserve Management in a Random-Matching Model</x:v>
      </x:c>
      <x:c r="I929" s="25" t="str"/>
      <x:c r="J929" s="25" t="str"/>
      <x:c r="K929" s="25" t="str">
        <x:v>automatic_screen_pass</x:v>
      </x:c>
      <x:c r="L929" s="25" t="str">
        <x:v>accepted</x:v>
      </x:c>
      <x:c r="M929" s="25" t="str">
        <x:v>no</x:v>
      </x:c>
      <x:c r="N929" s="25" t="str">
        <x:v>saki_research/research_vision/research_vision.pdf</x:v>
      </x:c>
      <x:c r="O929" s="25" t="str">
        <x:v>de Cavalcanti, Ricardo O., Andres Erosa, and Ted Temzelides, “Private Money and Reserve Management in a Random-Matching Model,”The Journal of Political Economy,1999,107(5),929–945.</x:v>
      </x:c>
    </x:row>
    <x:row r="930" ht="48" customHeight="1">
      <x:c r="A930" s="24" t="str">
        <x:v>V01-R044</x:v>
      </x:c>
      <x:c r="B930" s="24" t="str">
        <x:v>V01</x:v>
      </x:c>
      <x:c r="C930" s="26" t="n">
        <x:v>44</x:v>
      </x:c>
      <x:c r="D930" s="26" t="n">
        <x:v>22</x:v>
      </x:c>
      <x:c r="E930" s="26" t="n">
        <x:v>22</x:v>
      </x:c>
      <x:c r="F930" s="26" t="str">
        <x:v>Diamond</x:v>
      </x:c>
      <x:c r="G930" s="26" t="n">
        <x:v>1984</x:v>
      </x:c>
      <x:c r="H930" s="25" t="str">
        <x:v>Financial Intermediation and Delegated Monitoring</x:v>
      </x:c>
      <x:c r="I930" s="25" t="str"/>
      <x:c r="J930" s="25" t="str"/>
      <x:c r="K930" s="25" t="str">
        <x:v>automatic_screen_pass</x:v>
      </x:c>
      <x:c r="L930" s="25" t="str">
        <x:v>accepted</x:v>
      </x:c>
      <x:c r="M930" s="25" t="str">
        <x:v>no</x:v>
      </x:c>
      <x:c r="N930" s="25" t="str">
        <x:v>saki_research/research_vision/research_vision.pdf</x:v>
      </x:c>
      <x:c r="O930" s="25" t="str">
        <x:v>Diamond, Douglas W., “Financial Intermediation and Delegated Monitoring,”The Review of Economic Studies,1984,51(3),393–414.</x:v>
      </x:c>
    </x:row>
    <x:row r="931" ht="48" customHeight="1">
      <x:c r="A931" s="24" t="str">
        <x:v>V01-R045</x:v>
      </x:c>
      <x:c r="B931" s="24" t="str">
        <x:v>V01</x:v>
      </x:c>
      <x:c r="C931" s="26" t="n">
        <x:v>45</x:v>
      </x:c>
      <x:c r="D931" s="26" t="n">
        <x:v>22</x:v>
      </x:c>
      <x:c r="E931" s="26" t="n">
        <x:v>22</x:v>
      </x:c>
      <x:c r="F931" s="26" t="str">
        <x:v>Diamond</x:v>
      </x:c>
      <x:c r="G931" s="26" t="n">
        <x:v>1983</x:v>
      </x:c>
      <x:c r="H931" s="25" t="str">
        <x:v>Bank Runs, Deposit Insurance, and Liquidity</x:v>
      </x:c>
      <x:c r="I931" s="25" t="str"/>
      <x:c r="J931" s="25" t="str"/>
      <x:c r="K931" s="25" t="str">
        <x:v>automatic_screen_pass</x:v>
      </x:c>
      <x:c r="L931" s="25" t="str">
        <x:v>accepted</x:v>
      </x:c>
      <x:c r="M931" s="25" t="str">
        <x:v>no</x:v>
      </x:c>
      <x:c r="N931" s="25" t="str">
        <x:v>saki_research/research_vision/research_vision.pdf</x:v>
      </x:c>
      <x:c r="O931" s="25" t="str">
        <x:v>Diamond, Douglas W. and Phillip H. Dybvig, “Bank Runs, Deposit Insurance, and Liquidity,”Journal of Political Economy,1983,91(3),401–419.</x:v>
      </x:c>
    </x:row>
    <x:row r="932" ht="48" customHeight="1">
      <x:c r="A932" s="24" t="str">
        <x:v>V01-R046</x:v>
      </x:c>
      <x:c r="B932" s="24" t="str">
        <x:v>V01</x:v>
      </x:c>
      <x:c r="C932" s="26" t="n">
        <x:v>46</x:v>
      </x:c>
      <x:c r="D932" s="26" t="n">
        <x:v>22</x:v>
      </x:c>
      <x:c r="E932" s="26" t="n">
        <x:v>22</x:v>
      </x:c>
      <x:c r="F932" s="26" t="str">
        <x:v>Drechsler</x:v>
      </x:c>
      <x:c r="G932" s="26" t="n">
        <x:v>2017</x:v>
      </x:c>
      <x:c r="H932" s="25" t="str">
        <x:v>The Deposits Channel of Monetary Policy</x:v>
      </x:c>
      <x:c r="I932" s="25" t="str"/>
      <x:c r="J932" s="25" t="str"/>
      <x:c r="K932" s="25" t="str">
        <x:v>exhaustive_visual_multiwork_pattern_accepted</x:v>
      </x:c>
      <x:c r="L932" s="25" t="str">
        <x:v>accepted</x:v>
      </x:c>
      <x:c r="M932" s="25" t="str">
        <x:v>sí</x:v>
      </x:c>
      <x:c r="N932" s="25" t="str">
        <x:v>saki_research/research_vision/research_vision.pdf</x:v>
      </x:c>
      <x:c r="O932" s="25" t="str">
        <x:v>Drechsler, Itamar, Alexi Savov, and Philipp Schnabl, “The Deposits Channel of Monetary Policy,”The Quarterly Journal of Economics,2017,132(4),1819–1876.</x:v>
      </x:c>
    </x:row>
    <x:row r="933" ht="48" customHeight="1">
      <x:c r="A933" s="24" t="str">
        <x:v>V01-R047</x:v>
      </x:c>
      <x:c r="B933" s="24" t="str">
        <x:v>V01</x:v>
      </x:c>
      <x:c r="C933" s="26" t="n">
        <x:v>47</x:v>
      </x:c>
      <x:c r="D933" s="26" t="n">
        <x:v>22</x:v>
      </x:c>
      <x:c r="E933" s="26" t="n">
        <x:v>22</x:v>
      </x:c>
      <x:c r="F933" s="26" t="str">
        <x:v>Fiore</x:v>
      </x:c>
      <x:c r="G933" s="26" t="n">
        <x:v>2018</x:v>
      </x:c>
      <x:c r="H933" s="25" t="str">
        <x:v>Money Markets, Collateral and Monetary Policy</x:v>
      </x:c>
      <x:c r="I933" s="25" t="str"/>
      <x:c r="J933" s="25" t="str"/>
      <x:c r="K933" s="25" t="str">
        <x:v>automatic_screen_pass</x:v>
      </x:c>
      <x:c r="L933" s="25" t="str">
        <x:v>accepted</x:v>
      </x:c>
      <x:c r="M933" s="25" t="str">
        <x:v>no</x:v>
      </x:c>
      <x:c r="N933" s="25" t="str">
        <x:v>saki_research/research_vision/research_vision.pdf</x:v>
      </x:c>
      <x:c r="O933" s="25" t="str">
        <x:v>Fiore, Fiorella De, Marie Hoerova, and Harald Uhlig, “Money Markets, Collateral and Monetary Policy,”2018. NBER Working Paper253190.</x:v>
      </x:c>
    </x:row>
    <x:row r="934" ht="48" customHeight="1">
      <x:c r="A934" s="24" t="str">
        <x:v>V01-R048</x:v>
      </x:c>
      <x:c r="B934" s="24" t="str">
        <x:v>V01</x:v>
      </x:c>
      <x:c r="C934" s="26" t="n">
        <x:v>48</x:v>
      </x:c>
      <x:c r="D934" s="26" t="n">
        <x:v>22</x:v>
      </x:c>
      <x:c r="E934" s="26" t="n">
        <x:v>22</x:v>
      </x:c>
      <x:c r="F934" s="26" t="str">
        <x:v>Gabaix</x:v>
      </x:c>
      <x:c r="G934" s="26" t="n">
        <x:v>2015</x:v>
      </x:c>
      <x:c r="H934" s="25" t="str">
        <x:v>International Liquidity and Exchange Rate Dynamics</x:v>
      </x:c>
      <x:c r="I934" s="25" t="str"/>
      <x:c r="J934" s="25" t="str"/>
      <x:c r="K934" s="25" t="str">
        <x:v>prior_manual_sample</x:v>
      </x:c>
      <x:c r="L934" s="25" t="str">
        <x:v>accepted</x:v>
      </x:c>
      <x:c r="M934" s="25" t="str">
        <x:v>no</x:v>
      </x:c>
      <x:c r="N934" s="25" t="str">
        <x:v>saki_research/research_vision/research_vision.pdf</x:v>
      </x:c>
      <x:c r="O934" s="25" t="str">
        <x:v>Gabaix, Xavier and Matteo Maggiori, “International Liquidity and Exchange Rate Dynamics,”The Quarterly Journal of Economics,2015,130(3),1369–1420.</x:v>
      </x:c>
    </x:row>
    <x:row r="935" ht="48" customHeight="1">
      <x:c r="A935" s="24" t="str">
        <x:v>V01-R049</x:v>
      </x:c>
      <x:c r="B935" s="24" t="str">
        <x:v>V01</x:v>
      </x:c>
      <x:c r="C935" s="26" t="n">
        <x:v>49</x:v>
      </x:c>
      <x:c r="D935" s="26" t="n">
        <x:v>22</x:v>
      </x:c>
      <x:c r="E935" s="26" t="n">
        <x:v>22</x:v>
      </x:c>
      <x:c r="F935" s="26" t="str">
        <x:v>Galí</x:v>
      </x:c>
      <x:c r="G935" s="26" t="n">
        <x:v>2015</x:v>
      </x:c>
      <x:c r="H935" s="25" t="str">
        <x:v>Monetary Policy, Inflation, and the Business Cycle: An Introduction to the New Keynesian Framework and Its Applications</x:v>
      </x:c>
      <x:c r="I935" s="25" t="str"/>
      <x:c r="J935" s="25" t="str">
        <x:v>local_citation_grammar_v3</x:v>
      </x:c>
      <x:c r="K935" s="25" t="str">
        <x:v>automatic_screen_pass</x:v>
      </x:c>
      <x:c r="L935" s="25" t="str">
        <x:v>accepted</x:v>
      </x:c>
      <x:c r="M935" s="25" t="str">
        <x:v>no</x:v>
      </x:c>
      <x:c r="N935" s="25" t="str">
        <x:v>saki_research/research_vision/research_vision.pdf</x:v>
      </x:c>
      <x:c r="O935" s="25" t="str">
        <x:v>Galí, Jordi,Monetary Policy, Inflation, and the Business Cycle: An Introduction to the New Keynesian Framework and Its Applications, Princeton University Press,2015.</x:v>
      </x:c>
    </x:row>
    <x:row r="936" ht="48" customHeight="1">
      <x:c r="A936" s="24" t="str">
        <x:v>V01-R050</x:v>
      </x:c>
      <x:c r="B936" s="24" t="str">
        <x:v>V01</x:v>
      </x:c>
      <x:c r="C936" s="26" t="n">
        <x:v>50</x:v>
      </x:c>
      <x:c r="D936" s="26" t="n">
        <x:v>22</x:v>
      </x:c>
      <x:c r="E936" s="26" t="n">
        <x:v>22</x:v>
      </x:c>
      <x:c r="F936" s="26" t="str">
        <x:v>Gertler</x:v>
      </x:c>
      <x:c r="G936" s="26" t="n">
        <x:v>2010</x:v>
      </x:c>
      <x:c r="H936" s="25" t="str">
        <x:v>Financial intermediation and credit policy in business cycle analysis</x:v>
      </x:c>
      <x:c r="I936" s="25" t="str"/>
      <x:c r="J936" s="25" t="str">
        <x:v>C-065</x:v>
      </x:c>
      <x:c r="K936" s="25" t="str">
        <x:v>prior_manual_sample</x:v>
      </x:c>
      <x:c r="L936" s="25" t="str">
        <x:v>accepted</x:v>
      </x:c>
      <x:c r="M936" s="25" t="str">
        <x:v>no</x:v>
      </x:c>
      <x:c r="N936" s="25" t="str">
        <x:v>saki_research/research_vision/research_vision.pdf</x:v>
      </x:c>
      <x:c r="O936" s="25" t="str">
        <x:v>Gertler, Mark and Nobuhiro Kiyotaki, “Financial intermediation and credit policy in business cycle analysis,”Handbook of Monetary Economics,2010,3,547.</x:v>
      </x:c>
    </x:row>
    <x:row r="937" ht="48" customHeight="1">
      <x:c r="A937" s="24" t="str">
        <x:v>V01-R051</x:v>
      </x:c>
      <x:c r="B937" s="24" t="str">
        <x:v>V01</x:v>
      </x:c>
      <x:c r="C937" s="26" t="n">
        <x:v>51</x:v>
      </x:c>
      <x:c r="D937" s="26" t="n">
        <x:v>23</x:v>
      </x:c>
      <x:c r="E937" s="26" t="n">
        <x:v>23</x:v>
      </x:c>
      <x:c r="F937" s="26" t="str">
        <x:v>Gertler</x:v>
      </x:c>
      <x:c r="G937" s="26" t="n">
        <x:v>2011</x:v>
      </x:c>
      <x:c r="H937" s="25" t="str">
        <x:v>A Model of Unconventional Monetary Policy</x:v>
      </x:c>
      <x:c r="I937" s="25" t="str"/>
      <x:c r="J937" s="25" t="str"/>
      <x:c r="K937" s="25" t="str">
        <x:v>automatic_screen_pass</x:v>
      </x:c>
      <x:c r="L937" s="25" t="str">
        <x:v>accepted</x:v>
      </x:c>
      <x:c r="M937" s="25" t="str">
        <x:v>no</x:v>
      </x:c>
      <x:c r="N937" s="25" t="str">
        <x:v>saki_research/research_vision/research_vision.pdf</x:v>
      </x:c>
      <x:c r="O937" s="25" t="str">
        <x:v>Gertler, Mark and Peter Karadi, “A Model of Unconventional Monetary Policy,” Journal of Monetary Economics,2011,58(1),17–34.</x:v>
      </x:c>
    </x:row>
    <x:row r="938" ht="48" customHeight="1">
      <x:c r="A938" s="24" t="str">
        <x:v>V01-R052</x:v>
      </x:c>
      <x:c r="B938" s="24" t="str">
        <x:v>V01</x:v>
      </x:c>
      <x:c r="C938" s="26" t="n">
        <x:v>52</x:v>
      </x:c>
      <x:c r="D938" s="26" t="n">
        <x:v>23</x:v>
      </x:c>
      <x:c r="E938" s="26" t="n">
        <x:v>23</x:v>
      </x:c>
      <x:c r="F938" s="26" t="str">
        <x:v>Gilchrist</x:v>
      </x:c>
      <x:c r="G938" s="26" t="n">
        <x:v>2012</x:v>
      </x:c>
      <x:c r="H938" s="25" t="str">
        <x:v>Credit Spreads and Business Cycle Fluctuations</x:v>
      </x:c>
      <x:c r="I938" s="25" t="str"/>
      <x:c r="J938" s="25" t="str"/>
      <x:c r="K938" s="25" t="str">
        <x:v>automatic_screen_pass</x:v>
      </x:c>
      <x:c r="L938" s="25" t="str">
        <x:v>accepted</x:v>
      </x:c>
      <x:c r="M938" s="25" t="str">
        <x:v>no</x:v>
      </x:c>
      <x:c r="N938" s="25" t="str">
        <x:v>saki_research/research_vision/research_vision.pdf</x:v>
      </x:c>
      <x:c r="O938" s="25" t="str">
        <x:v>Gilchrist, Simon and Egon Zakrajšek, “Credit Spreads and Business Cycle Fluctuations,”American Economic Review,2012,102(4),1692–1720.</x:v>
      </x:c>
    </x:row>
    <x:row r="939" ht="48" customHeight="1">
      <x:c r="A939" s="24" t="str">
        <x:v>V01-R053</x:v>
      </x:c>
      <x:c r="B939" s="24" t="str">
        <x:v>V01</x:v>
      </x:c>
      <x:c r="C939" s="26" t="n">
        <x:v>53</x:v>
      </x:c>
      <x:c r="D939" s="26" t="n">
        <x:v>23</x:v>
      </x:c>
      <x:c r="E939" s="26" t="n">
        <x:v>23</x:v>
      </x:c>
      <x:c r="F939" s="26" t="str">
        <x:v>Gorton</x:v>
      </x:c>
      <x:c r="G939" s="26" t="n">
        <x:v>2012</x:v>
      </x:c>
      <x:c r="H939" s="25" t="str">
        <x:v>Misunderstanding Financial Crises: Why we Don’t See Them Coming</x:v>
      </x:c>
      <x:c r="I939" s="25" t="str"/>
      <x:c r="J939" s="25" t="str">
        <x:v>local_citation_grammar_v3</x:v>
      </x:c>
      <x:c r="K939" s="25" t="str">
        <x:v>automatic_screen_pass</x:v>
      </x:c>
      <x:c r="L939" s="25" t="str">
        <x:v>accepted</x:v>
      </x:c>
      <x:c r="M939" s="25" t="str">
        <x:v>no</x:v>
      </x:c>
      <x:c r="N939" s="25" t="str">
        <x:v>saki_research/research_vision/research_vision.pdf</x:v>
      </x:c>
      <x:c r="O939" s="25" t="str">
        <x:v>Gorton, Gary B.,Misunderstanding Financial Crises: Why we Don’t See Them Coming, Oxford University Press,2012.</x:v>
      </x:c>
    </x:row>
    <x:row r="940" ht="48" customHeight="1">
      <x:c r="A940" s="24" t="str">
        <x:v>V01-R054</x:v>
      </x:c>
      <x:c r="B940" s="24" t="str">
        <x:v>V01</x:v>
      </x:c>
      <x:c r="C940" s="26" t="n">
        <x:v>54</x:v>
      </x:c>
      <x:c r="D940" s="26" t="n">
        <x:v>23</x:v>
      </x:c>
      <x:c r="E940" s="26" t="n">
        <x:v>23</x:v>
      </x:c>
      <x:c r="F940" s="26" t="str">
        <x:v>Gorton</x:v>
      </x:c>
      <x:c r="G940" s="26" t="n">
        <x:v>1990</x:v>
      </x:c>
      <x:c r="H940" s="25" t="str">
        <x:v>Financial Intermediaries and Liquidity Creation</x:v>
      </x:c>
      <x:c r="I940" s="25" t="str"/>
      <x:c r="J940" s="25" t="str"/>
      <x:c r="K940" s="25" t="str">
        <x:v>prior_manual_sample</x:v>
      </x:c>
      <x:c r="L940" s="25" t="str">
        <x:v>accepted</x:v>
      </x:c>
      <x:c r="M940" s="25" t="str">
        <x:v>no</x:v>
      </x:c>
      <x:c r="N940" s="25" t="str">
        <x:v>saki_research/research_vision/research_vision.pdf</x:v>
      </x:c>
      <x:c r="O940" s="25" t="str">
        <x:v>Gorton, Gary B. and George Pennacchi, “Financial Intermediaries and Liquidity Creation,”Journal of Finance,1990,45(1),49–71.</x:v>
      </x:c>
    </x:row>
    <x:row r="941" ht="48" customHeight="1">
      <x:c r="A941" s="24" t="str">
        <x:v>V01-R055</x:v>
      </x:c>
      <x:c r="B941" s="24" t="str">
        <x:v>V01</x:v>
      </x:c>
      <x:c r="C941" s="26" t="n">
        <x:v>55</x:v>
      </x:c>
      <x:c r="D941" s="26" t="n">
        <x:v>23</x:v>
      </x:c>
      <x:c r="E941" s="26" t="n">
        <x:v>23</x:v>
      </x:c>
      <x:c r="F941" s="26" t="str">
        <x:v>He</x:v>
      </x:c>
      <x:c r="G941" s="26" t="n">
        <x:v>2010</x:v>
      </x:c>
      <x:c r="H941" s="25" t="str">
        <x:v>Balance sheet adjustments during the2008crisis</x:v>
      </x:c>
      <x:c r="I941" s="25" t="str"/>
      <x:c r="J941" s="25" t="str"/>
      <x:c r="K941" s="25" t="str">
        <x:v>automatic_screen_pass</x:v>
      </x:c>
      <x:c r="L941" s="25" t="str">
        <x:v>accepted</x:v>
      </x:c>
      <x:c r="M941" s="25" t="str">
        <x:v>no</x:v>
      </x:c>
      <x:c r="N941" s="25" t="str">
        <x:v>saki_research/research_vision/research_vision.pdf</x:v>
      </x:c>
      <x:c r="O941" s="25" t="str">
        <x:v>He, Zhiguo, In Gu Khang, and Arvind Krishnamurthy, “Balance sheet adjustments during the2008crisis,”IMF Economic Review,2010,58(1),118–156.</x:v>
      </x:c>
    </x:row>
    <x:row r="942" ht="48" customHeight="1">
      <x:c r="A942" s="24" t="str">
        <x:v>V01-R056</x:v>
      </x:c>
      <x:c r="B942" s="24" t="str">
        <x:v>V01</x:v>
      </x:c>
      <x:c r="C942" s="26" t="n">
        <x:v>56</x:v>
      </x:c>
      <x:c r="D942" s="26" t="n">
        <x:v>23</x:v>
      </x:c>
      <x:c r="E942" s="26" t="n">
        <x:v>23</x:v>
      </x:c>
      <x:c r="F942" s="26" t="str">
        <x:v>Holmstrom</x:v>
      </x:c>
      <x:c r="G942" s="26" t="n">
        <x:v>1997</x:v>
      </x:c>
      <x:c r="H942" s="25" t="str">
        <x:v>Financial Intermediation, Loanable Funds, and the Real Sector</x:v>
      </x:c>
      <x:c r="I942" s="25" t="str"/>
      <x:c r="J942" s="25" t="str"/>
      <x:c r="K942" s="25" t="str">
        <x:v>automatic_screen_pass</x:v>
      </x:c>
      <x:c r="L942" s="25" t="str">
        <x:v>accepted</x:v>
      </x:c>
      <x:c r="M942" s="25" t="str">
        <x:v>no</x:v>
      </x:c>
      <x:c r="N942" s="25" t="str">
        <x:v>saki_research/research_vision/research_vision.pdf</x:v>
      </x:c>
      <x:c r="O942" s="25" t="str">
        <x:v>Holmstrom, Bengt and Jean Tirole, “Financial Intermediation, Loanable Funds, and the Real Sector,”TheQuarterlyJournalofEconomics,1997,112(3), pp.663–691.</x:v>
      </x:c>
    </x:row>
    <x:row r="943" ht="48" customHeight="1">
      <x:c r="A943" s="24" t="str">
        <x:v>V01-R057</x:v>
      </x:c>
      <x:c r="B943" s="24" t="str">
        <x:v>V01</x:v>
      </x:c>
      <x:c r="C943" s="26" t="n">
        <x:v>57</x:v>
      </x:c>
      <x:c r="D943" s="26" t="n">
        <x:v>23</x:v>
      </x:c>
      <x:c r="E943" s="26" t="n">
        <x:v>23</x:v>
      </x:c>
      <x:c r="F943" s="26" t="str">
        <x:v>Holmstrom</x:v>
      </x:c>
      <x:c r="G943" s="26" t="n">
        <x:v>1998</x:v>
      </x:c>
      <x:c r="H943" s="25" t="str">
        <x:v>Private and Public Supply of Liquidity</x:v>
      </x:c>
      <x:c r="I943" s="25" t="str"/>
      <x:c r="J943" s="25" t="str"/>
      <x:c r="K943" s="25" t="str">
        <x:v>automatic_screen_pass</x:v>
      </x:c>
      <x:c r="L943" s="25" t="str">
        <x:v>accepted</x:v>
      </x:c>
      <x:c r="M943" s="25" t="str">
        <x:v>no</x:v>
      </x:c>
      <x:c r="N943" s="25" t="str">
        <x:v>saki_research/research_vision/research_vision.pdf</x:v>
      </x:c>
      <x:c r="O943" s="25" t="str">
        <x:v>Holmstrom, Bengt and Jean Tirole, “Private and Public Supply of Liquidity,” Journal of Political Economy,1998,106(1),1–40.</x:v>
      </x:c>
    </x:row>
    <x:row r="944" ht="48" customHeight="1">
      <x:c r="A944" s="24" t="str">
        <x:v>V01-R058</x:v>
      </x:c>
      <x:c r="B944" s="24" t="str">
        <x:v>V01</x:v>
      </x:c>
      <x:c r="C944" s="26" t="n">
        <x:v>58</x:v>
      </x:c>
      <x:c r="D944" s="26" t="n">
        <x:v>23</x:v>
      </x:c>
      <x:c r="E944" s="26" t="n">
        <x:v>23</x:v>
      </x:c>
      <x:c r="F944" s="26" t="str">
        <x:v>Hsieh</x:v>
      </x:c>
      <x:c r="G944" s="26" t="n">
        <x:v>2009</x:v>
      </x:c>
      <x:c r="H944" s="25" t="str">
        <x:v>Misallocation and Manufacturing TFP in China and India</x:v>
      </x:c>
      <x:c r="I944" s="25" t="str"/>
      <x:c r="J944" s="25" t="str"/>
      <x:c r="K944" s="25" t="str">
        <x:v>automatic_screen_pass</x:v>
      </x:c>
      <x:c r="L944" s="25" t="str">
        <x:v>accepted</x:v>
      </x:c>
      <x:c r="M944" s="25" t="str">
        <x:v>no</x:v>
      </x:c>
      <x:c r="N944" s="25" t="str">
        <x:v>saki_research/research_vision/research_vision.pdf</x:v>
      </x:c>
      <x:c r="O944" s="25" t="str">
        <x:v>Hsieh, Chang-Tai and Peter J. Klenow, “Misallocation and Manufacturing TFP in China and India,”The Quarterly Journal of Economics, November2009,124(4), 1403–1448.</x:v>
      </x:c>
    </x:row>
    <x:row r="945" ht="48" customHeight="1">
      <x:c r="A945" s="24" t="str">
        <x:v>V01-R059</x:v>
      </x:c>
      <x:c r="B945" s="24" t="str">
        <x:v>V01</x:v>
      </x:c>
      <x:c r="C945" s="26" t="n">
        <x:v>59</x:v>
      </x:c>
      <x:c r="D945" s="26" t="n">
        <x:v>23</x:v>
      </x:c>
      <x:c r="E945" s="26" t="n">
        <x:v>23</x:v>
      </x:c>
      <x:c r="F945" s="26" t="str">
        <x:v>Itskhoki</x:v>
      </x:c>
      <x:c r="G945" s="26" t="n">
        <x:v>2021</x:v>
      </x:c>
      <x:c r="H945" s="25" t="str">
        <x:v>Exchange Rate Disconnect in General Equilibrium</x:v>
      </x:c>
      <x:c r="I945" s="25" t="str"/>
      <x:c r="J945" s="25" t="str"/>
      <x:c r="K945" s="25" t="str">
        <x:v>prior_manual_sample</x:v>
      </x:c>
      <x:c r="L945" s="25" t="str">
        <x:v>accepted</x:v>
      </x:c>
      <x:c r="M945" s="25" t="str">
        <x:v>no</x:v>
      </x:c>
      <x:c r="N945" s="25" t="str">
        <x:v>saki_research/research_vision/research_vision.pdf</x:v>
      </x:c>
      <x:c r="O945" s="25" t="str">
        <x:v>Itskhoki, Oleg and Dmitry Mukhin, “Exchange Rate Disconnect in General Equilibrium,”Journal of Political Economy,2021,129(8),2183–2232.</x:v>
      </x:c>
    </x:row>
    <x:row r="946" ht="48" customHeight="1">
      <x:c r="A946" s="24" t="str">
        <x:v>V01-R060</x:v>
      </x:c>
      <x:c r="B946" s="24" t="str">
        <x:v>V01</x:v>
      </x:c>
      <x:c r="C946" s="26" t="n">
        <x:v>60</x:v>
      </x:c>
      <x:c r="D946" s="26" t="n">
        <x:v>23</x:v>
      </x:c>
      <x:c r="E946" s="26" t="n">
        <x:v>23</x:v>
      </x:c>
      <x:c r="F946" s="26" t="str">
        <x:v>Keister</x:v>
      </x:c>
      <x:c r="G946" s="26" t="n">
        <x:v>2009</x:v>
      </x:c>
      <x:c r="H946" s="25" t="str">
        <x:v>Why Are Banks Holding So Many Excess Reserves?</x:v>
      </x:c>
      <x:c r="I946" s="25" t="str"/>
      <x:c r="J946" s="25" t="str"/>
      <x:c r="K946" s="25" t="str">
        <x:v>automatic_screen_pass</x:v>
      </x:c>
      <x:c r="L946" s="25" t="str">
        <x:v>accepted</x:v>
      </x:c>
      <x:c r="M946" s="25" t="str">
        <x:v>no</x:v>
      </x:c>
      <x:c r="N946" s="25" t="str">
        <x:v>saki_research/research_vision/research_vision.pdf</x:v>
      </x:c>
      <x:c r="O946" s="25" t="str">
        <x:v>Keister, Todd and James McAndrews, “Why Are Banks Holding So Many Excess Reserves?,” July2009. Federal Reserve Bank of New York Staff Report no.380.</x:v>
      </x:c>
    </x:row>
    <x:row r="947" ht="48" customHeight="1">
      <x:c r="A947" s="24" t="str">
        <x:v>V01-R061</x:v>
      </x:c>
      <x:c r="B947" s="24" t="str">
        <x:v>V01</x:v>
      </x:c>
      <x:c r="C947" s="26" t="n">
        <x:v>61</x:v>
      </x:c>
      <x:c r="D947" s="26" t="n">
        <x:v>23</x:v>
      </x:c>
      <x:c r="E947" s="26" t="n">
        <x:v>23</x:v>
      </x:c>
      <x:c r="F947" s="26" t="str">
        <x:v>Kiyotaki</x:v>
      </x:c>
      <x:c r="G947" s="26" t="n">
        <x:v>1997</x:v>
      </x:c>
      <x:c r="H947" s="25" t="str">
        <x:v>Credit Cycles</x:v>
      </x:c>
      <x:c r="I947" s="25" t="str"/>
      <x:c r="J947" s="25" t="str"/>
      <x:c r="K947" s="25" t="str">
        <x:v>automatic_screen_pass</x:v>
      </x:c>
      <x:c r="L947" s="25" t="str">
        <x:v>accepted</x:v>
      </x:c>
      <x:c r="M947" s="25" t="str">
        <x:v>no</x:v>
      </x:c>
      <x:c r="N947" s="25" t="str">
        <x:v>saki_research/research_vision/research_vision.pdf</x:v>
      </x:c>
      <x:c r="O947" s="25" t="str">
        <x:v>Kiyotaki, Nobuhiro and John Moore, “Credit Cycles,”Journal of Political Economy, 1997,105(2),211–248.</x:v>
      </x:c>
    </x:row>
    <x:row r="948" ht="48" customHeight="1">
      <x:c r="A948" s="24" t="str">
        <x:v>V01-R062</x:v>
      </x:c>
      <x:c r="B948" s="24" t="str">
        <x:v>V01</x:v>
      </x:c>
      <x:c r="C948" s="26" t="n">
        <x:v>62</x:v>
      </x:c>
      <x:c r="D948" s="26" t="n">
        <x:v>23</x:v>
      </x:c>
      <x:c r="E948" s="26" t="n">
        <x:v>23</x:v>
      </x:c>
      <x:c r="F948" s="26" t="str">
        <x:v>Kiyotaki</x:v>
      </x:c>
      <x:c r="G948" s="26" t="n">
        <x:v>2008</x:v>
      </x:c>
      <x:c r="H948" s="25" t="str">
        <x:v>Liquidity, Business Cycles, and Monetary Policy</x:v>
      </x:c>
      <x:c r="I948" s="25" t="str"/>
      <x:c r="J948" s="25" t="str"/>
      <x:c r="K948" s="25" t="str">
        <x:v>automatic_screen_pass</x:v>
      </x:c>
      <x:c r="L948" s="25" t="str">
        <x:v>accepted</x:v>
      </x:c>
      <x:c r="M948" s="25" t="str">
        <x:v>no</x:v>
      </x:c>
      <x:c r="N948" s="25" t="str">
        <x:v>saki_research/research_vision/research_vision.pdf</x:v>
      </x:c>
      <x:c r="O948" s="25" t="str">
        <x:v>Kiyotaki, Nobuhiro and John Moore, “Liquidity, Business Cycles, and Monetary Policy,”2008.</x:v>
      </x:c>
    </x:row>
    <x:row r="949" ht="48" customHeight="1">
      <x:c r="A949" s="24" t="str">
        <x:v>V01-R063</x:v>
      </x:c>
      <x:c r="B949" s="24" t="str">
        <x:v>V01</x:v>
      </x:c>
      <x:c r="C949" s="26" t="n">
        <x:v>63</x:v>
      </x:c>
      <x:c r="D949" s="26" t="n">
        <x:v>23</x:v>
      </x:c>
      <x:c r="E949" s="26" t="n">
        <x:v>23</x:v>
      </x:c>
      <x:c r="F949" s="26" t="str">
        <x:v>Kurlat</x:v>
      </x:c>
      <x:c r="G949" s="26" t="n">
        <x:v>2013</x:v>
      </x:c>
      <x:c r="H949" s="25" t="str">
        <x:v>Lemons Markets and the Transmission of Aggregate Shocks</x:v>
      </x:c>
      <x:c r="I949" s="25" t="str"/>
      <x:c r="J949" s="25" t="str"/>
      <x:c r="K949" s="25" t="str">
        <x:v>automatic_screen_pass</x:v>
      </x:c>
      <x:c r="L949" s="25" t="str">
        <x:v>accepted</x:v>
      </x:c>
      <x:c r="M949" s="25" t="str">
        <x:v>no</x:v>
      </x:c>
      <x:c r="N949" s="25" t="str">
        <x:v>saki_research/research_vision/research_vision.pdf</x:v>
      </x:c>
      <x:c r="O949" s="25" t="str">
        <x:v>Kurlat, Pablo, “Lemons Markets and the Transmission of Aggregate Shocks,” American Economic Review,2013,103(4),1463–89.</x:v>
      </x:c>
    </x:row>
    <x:row r="950" ht="48" customHeight="1">
      <x:c r="A950" s="24" t="str">
        <x:v>V01-R064</x:v>
      </x:c>
      <x:c r="B950" s="24" t="str">
        <x:v>V01</x:v>
      </x:c>
      <x:c r="C950" s="26" t="n">
        <x:v>64</x:v>
      </x:c>
      <x:c r="D950" s="26" t="n">
        <x:v>23</x:v>
      </x:c>
      <x:c r="E950" s="26" t="n">
        <x:v>23</x:v>
      </x:c>
      <x:c r="F950" s="26" t="str">
        <x:v>Nuno</x:v>
      </x:c>
      <x:c r="G950" s="26" t="n">
        <x:v>2018</x:v>
      </x:c>
      <x:c r="H950" s="25" t="str">
        <x:v>Social optima in economies with heterogeneous agents</x:v>
      </x:c>
      <x:c r="I950" s="25" t="str"/>
      <x:c r="J950" s="25" t="str"/>
      <x:c r="K950" s="25" t="str">
        <x:v>automatic_screen_pass</x:v>
      </x:c>
      <x:c r="L950" s="25" t="str">
        <x:v>accepted</x:v>
      </x:c>
      <x:c r="M950" s="25" t="str">
        <x:v>no</x:v>
      </x:c>
      <x:c r="N950" s="25" t="str">
        <x:v>saki_research/research_vision/research_vision.pdf</x:v>
      </x:c>
      <x:c r="O950" s="25" t="str">
        <x:v>Nuno, Galo and Benjamin Moll, “Social optima in economies with heterogeneous agents,”Review of Economic Dynamics,2018,28,150–180.</x:v>
      </x:c>
    </x:row>
    <x:row r="951" ht="48" customHeight="1">
      <x:c r="A951" s="24" t="str">
        <x:v>V01-R065</x:v>
      </x:c>
      <x:c r="B951" s="24" t="str">
        <x:v>V01</x:v>
      </x:c>
      <x:c r="C951" s="26" t="n">
        <x:v>65</x:v>
      </x:c>
      <x:c r="D951" s="26" t="n">
        <x:v>23</x:v>
      </x:c>
      <x:c r="E951" s="26" t="n">
        <x:v>23</x:v>
      </x:c>
      <x:c r="F951" s="26" t="str">
        <x:v>Piazzesi</x:v>
      </x:c>
      <x:c r="G951" s="26" t="n">
        <x:v>2018</x:v>
      </x:c>
      <x:c r="H951" s="25" t="str">
        <x:v>Payments, credit and asset prices</x:v>
      </x:c>
      <x:c r="I951" s="25" t="str"/>
      <x:c r="J951" s="25" t="str"/>
      <x:c r="K951" s="25" t="str">
        <x:v>automatic_screen_pass</x:v>
      </x:c>
      <x:c r="L951" s="25" t="str">
        <x:v>accepted</x:v>
      </x:c>
      <x:c r="M951" s="25" t="str">
        <x:v>no</x:v>
      </x:c>
      <x:c r="N951" s="25" t="str">
        <x:v>saki_research/research_vision/research_vision.pdf</x:v>
      </x:c>
      <x:c r="O951" s="25" t="str">
        <x:v>Piazzesi, Monika and Martin Schneider, “Payments, credit and asset prices,”2018. BIS Working Paper.</x:v>
      </x:c>
    </x:row>
    <x:row r="952" ht="48" customHeight="1">
      <x:c r="A952" s="24" t="str">
        <x:v>V01-R066</x:v>
      </x:c>
      <x:c r="B952" s="24" t="str">
        <x:v>V01</x:v>
      </x:c>
      <x:c r="C952" s="26" t="n">
        <x:v>66</x:v>
      </x:c>
      <x:c r="D952" s="26" t="n">
        <x:v>23</x:v>
      </x:c>
      <x:c r="E952" s="26" t="n">
        <x:v>23</x:v>
      </x:c>
      <x:c r="F952" s="26" t="str">
        <x:v>Piazzesi</x:v>
      </x:c>
      <x:c r="G952" s="26" t="n">
        <x:v>2019</x:v>
      </x:c>
      <x:c r="H952" s="25" t="str">
        <x:v>Money and Banking in a New Keynesian Model</x:v>
      </x:c>
      <x:c r="I952" s="25" t="str"/>
      <x:c r="J952" s="25" t="str"/>
      <x:c r="K952" s="25" t="str">
        <x:v>automatic_screen_pass</x:v>
      </x:c>
      <x:c r="L952" s="25" t="str">
        <x:v>accepted</x:v>
      </x:c>
      <x:c r="M952" s="25" t="str">
        <x:v>no</x:v>
      </x:c>
      <x:c r="N952" s="25" t="str">
        <x:v>saki_research/research_vision/research_vision.pdf</x:v>
      </x:c>
      <x:c r="O952" s="25" t="str">
        <x:v>Piazzesi, Monika, Ciaran Rogers, and Martin Schneider, “Money and Banking in a New Keynesian Model,”2019. Working Paper, Stanford.</x:v>
      </x:c>
    </x:row>
    <x:row r="953" ht="48" customHeight="1">
      <x:c r="A953" s="24" t="str">
        <x:v>V01-R067</x:v>
      </x:c>
      <x:c r="B953" s="24" t="str">
        <x:v>V01</x:v>
      </x:c>
      <x:c r="C953" s="26" t="n">
        <x:v>67</x:v>
      </x:c>
      <x:c r="D953" s="26" t="n">
        <x:v>23</x:v>
      </x:c>
      <x:c r="E953" s="26" t="n">
        <x:v>23</x:v>
      </x:c>
      <x:c r="F953" s="26" t="str">
        <x:v>Reinhart</x:v>
      </x:c>
      <x:c r="G953" s="26" t="n">
        <x:v>2009</x:v>
      </x:c>
      <x:c r="H953" s="25" t="str">
        <x:v>This Time Is Different</x:v>
      </x:c>
      <x:c r="I953" s="25" t="str"/>
      <x:c r="J953" s="25" t="str">
        <x:v>literal_citation_review_2026-09-16</x:v>
      </x:c>
      <x:c r="K953" s="25" t="str">
        <x:v>automatic_screen_pass</x:v>
      </x:c>
      <x:c r="L953" s="25" t="str">
        <x:v>accepted</x:v>
      </x:c>
      <x:c r="M953" s="25" t="str">
        <x:v>no</x:v>
      </x:c>
      <x:c r="N953" s="25" t="str">
        <x:v>saki_research/research_vision/research_vision.pdf</x:v>
      </x:c>
      <x:c r="O953" s="25" t="str">
        <x:v>Reinhart,CarmenandKenethRogoff,Thistimeisdifferent,Princeton,NJ:Princeton University Press,2009.</x:v>
      </x:c>
    </x:row>
    <x:row r="954" ht="48" customHeight="1">
      <x:c r="A954" s="24" t="str">
        <x:v>V01-R068</x:v>
      </x:c>
      <x:c r="B954" s="24" t="str">
        <x:v>V01</x:v>
      </x:c>
      <x:c r="C954" s="26" t="n">
        <x:v>68</x:v>
      </x:c>
      <x:c r="D954" s="26" t="n">
        <x:v>23</x:v>
      </x:c>
      <x:c r="E954" s="26" t="n">
        <x:v>24</x:v>
      </x:c>
      <x:c r="F954" s="26" t="str">
        <x:v>Ríos-Rull</x:v>
      </x:c>
      <x:c r="G954" s="26" t="n">
        <x:v>2024</x:v>
      </x:c>
      <x:c r="H954" s="25" t="str">
        <x:v>Real Monetary Policy</x:v>
      </x:c>
      <x:c r="I954" s="25" t="str"/>
      <x:c r="J954" s="25" t="str"/>
      <x:c r="K954" s="25" t="str">
        <x:v>automatic_screen_pass</x:v>
      </x:c>
      <x:c r="L954" s="25" t="str">
        <x:v>accepted</x:v>
      </x:c>
      <x:c r="M954" s="25" t="str">
        <x:v>no</x:v>
      </x:c>
      <x:c r="N954" s="25" t="str">
        <x:v>saki_research/research_vision/research_vision.pdf</x:v>
      </x:c>
      <x:c r="O954" s="25" t="str">
        <x:v>Ríos-Rull, José-Víctor, Joao Ritto, Tamon Takamura, and Yaz Terajima, “Real Monetary Policy,” October2024. Very Preliminary. liquidity and macroeconomics:a research vision and an agenda 24</x:v>
      </x:c>
    </x:row>
    <x:row r="955" ht="48" customHeight="1">
      <x:c r="A955" s="24" t="str">
        <x:v>V01-R069</x:v>
      </x:c>
      <x:c r="B955" s="24" t="str">
        <x:v>V01</x:v>
      </x:c>
      <x:c r="C955" s="26" t="n">
        <x:v>69</x:v>
      </x:c>
      <x:c r="D955" s="26" t="n">
        <x:v>24</x:v>
      </x:c>
      <x:c r="E955" s="26" t="n">
        <x:v>24</x:v>
      </x:c>
      <x:c r="F955" s="26" t="str">
        <x:v>Shi</x:v>
      </x:c>
      <x:c r="G955" s="26" t="n">
        <x:v>2015</x:v>
      </x:c>
      <x:c r="H955" s="25" t="str">
        <x:v>Liquidity, Assets and Business Cycles</x:v>
      </x:c>
      <x:c r="I955" s="25" t="str"/>
      <x:c r="J955" s="25" t="str"/>
      <x:c r="K955" s="25" t="str">
        <x:v>automatic_screen_pass</x:v>
      </x:c>
      <x:c r="L955" s="25" t="str">
        <x:v>accepted</x:v>
      </x:c>
      <x:c r="M955" s="25" t="str">
        <x:v>no</x:v>
      </x:c>
      <x:c r="N955" s="25" t="str">
        <x:v>saki_research/research_vision/research_vision.pdf</x:v>
      </x:c>
      <x:c r="O955" s="25" t="str">
        <x:v>Shi, Shouyong, “Liquidity, Assets and Business Cycles,”Journal of Monetary Economics,2015,70,116–132.</x:v>
      </x:c>
    </x:row>
    <x:row r="956" ht="48" customHeight="1">
      <x:c r="A956" s="24" t="str">
        <x:v>V01-R070</x:v>
      </x:c>
      <x:c r="B956" s="24" t="str">
        <x:v>V01</x:v>
      </x:c>
      <x:c r="C956" s="26" t="n">
        <x:v>70</x:v>
      </x:c>
      <x:c r="D956" s="26" t="n">
        <x:v>24</x:v>
      </x:c>
      <x:c r="E956" s="26" t="n">
        <x:v>24</x:v>
      </x:c>
      <x:c r="F956" s="26" t="str">
        <x:v>Stigum</x:v>
      </x:c>
      <x:c r="G956" s="26" t="n">
        <x:v>2007</x:v>
      </x:c>
      <x:c r="H956" s="25" t="str">
        <x:v>Stigum’s Money Market, fourth ed</x:v>
      </x:c>
      <x:c r="I956" s="25" t="str"/>
      <x:c r="J956" s="25" t="str">
        <x:v>local_citation_grammar_v3</x:v>
      </x:c>
      <x:c r="K956" s="25" t="str">
        <x:v>automatic_screen_pass</x:v>
      </x:c>
      <x:c r="L956" s="25" t="str">
        <x:v>accepted</x:v>
      </x:c>
      <x:c r="M956" s="25" t="str">
        <x:v>no</x:v>
      </x:c>
      <x:c r="N956" s="25" t="str">
        <x:v>saki_research/research_vision/research_vision.pdf</x:v>
      </x:c>
      <x:c r="O956" s="25" t="str">
        <x:v>Stigum, Marcia and Anthony Crescenzi, Stigum’s Money Market, fourth ed., McGraw-Hill Education,2007.</x:v>
      </x:c>
    </x:row>
    <x:row r="957" ht="48" customHeight="1">
      <x:c r="A957" s="24" t="str">
        <x:v>V01-R071</x:v>
      </x:c>
      <x:c r="B957" s="24" t="str">
        <x:v>V01</x:v>
      </x:c>
      <x:c r="C957" s="26" t="n">
        <x:v>71</x:v>
      </x:c>
      <x:c r="D957" s="26" t="n">
        <x:v>24</x:v>
      </x:c>
      <x:c r="E957" s="26" t="n">
        <x:v>24</x:v>
      </x:c>
      <x:c r="F957" s="26" t="str">
        <x:v>Williamson</x:v>
      </x:c>
      <x:c r="G957" s="26" t="n">
        <x:v>1987</x:v>
      </x:c>
      <x:c r="H957" s="25" t="str">
        <x:v>CostlyMonitoring, LoanContracts, andEquilibriumCredit Rationing</x:v>
      </x:c>
      <x:c r="I957" s="25" t="str"/>
      <x:c r="J957" s="25" t="str"/>
      <x:c r="K957" s="25" t="str">
        <x:v>prior_manual_sample</x:v>
      </x:c>
      <x:c r="L957" s="25" t="str">
        <x:v>accepted</x:v>
      </x:c>
      <x:c r="M957" s="25" t="str">
        <x:v>no</x:v>
      </x:c>
      <x:c r="N957" s="25" t="str">
        <x:v>saki_research/research_vision/research_vision.pdf</x:v>
      </x:c>
      <x:c r="O957" s="25" t="str">
        <x:v>Williamson, Stephen, “CostlyMonitoring, LoanContracts, andEquilibriumCredit Rationing,”The Quarterly Journal of Economics,1987,102(1),135–146.</x:v>
      </x:c>
    </x:row>
    <x:row r="958" ht="48" customHeight="1">
      <x:c r="A958" s="24" t="str">
        <x:v>V01-R072</x:v>
      </x:c>
      <x:c r="B958" s="24" t="str">
        <x:v>V01</x:v>
      </x:c>
      <x:c r="C958" s="26" t="n">
        <x:v>72</x:v>
      </x:c>
      <x:c r="D958" s="26" t="n">
        <x:v>24</x:v>
      </x:c>
      <x:c r="E958" s="26" t="n">
        <x:v>24</x:v>
      </x:c>
      <x:c r="F958" s="26" t="str">
        <x:v>Woodford</x:v>
      </x:c>
      <x:c r="G958" s="26" t="n">
        <x:v>1998</x:v>
      </x:c>
      <x:c r="H958" s="25" t="str">
        <x:v>Doing without Money: Controlling Inflation in a Post- Monetary World</x:v>
      </x:c>
      <x:c r="I958" s="25" t="str"/>
      <x:c r="J958" s="25" t="str"/>
      <x:c r="K958" s="25" t="str">
        <x:v>automatic_screen_pass</x:v>
      </x:c>
      <x:c r="L958" s="25" t="str">
        <x:v>accepted</x:v>
      </x:c>
      <x:c r="M958" s="25" t="str">
        <x:v>no</x:v>
      </x:c>
      <x:c r="N958" s="25" t="str">
        <x:v>saki_research/research_vision/research_vision.pdf</x:v>
      </x:c>
      <x:c r="O958" s="25" t="str">
        <x:v>Woodford, Michael, “Doing without Money: Controlling Inflation in a Post- Monetary World,”Review of Economic Dynamics,1998,1(1),173–219.</x:v>
      </x:c>
    </x:row>
    <x:row r="959" ht="48" customHeight="1">
      <x:c r="A959" s="24" t="str">
        <x:v>V01-R073</x:v>
      </x:c>
      <x:c r="B959" s="24" t="str">
        <x:v>V01</x:v>
      </x:c>
      <x:c r="C959" s="26" t="n">
        <x:v>73</x:v>
      </x:c>
      <x:c r="D959" s="26" t="n">
        <x:v>24</x:v>
      </x:c>
      <x:c r="E959" s="26" t="n">
        <x:v>24</x:v>
      </x:c>
      <x:c r="F959" s="26" t="str">
        <x:v>Woodford</x:v>
      </x:c>
      <x:c r="G959" s="26" t="n">
        <x:v>2004</x:v>
      </x:c>
      <x:c r="H959" s="25" t="str">
        <x:v>Interest and Prices: Foundations of a Theory of Monetary Policy</x:v>
      </x:c>
      <x:c r="I959" s="25" t="str"/>
      <x:c r="J959" s="25" t="str">
        <x:v>local_citation_grammar_v3</x:v>
      </x:c>
      <x:c r="K959" s="25" t="str">
        <x:v>automatic_screen_pass</x:v>
      </x:c>
      <x:c r="L959" s="25" t="str">
        <x:v>accepted</x:v>
      </x:c>
      <x:c r="M959" s="25" t="str">
        <x:v>no</x:v>
      </x:c>
      <x:c r="N959" s="25" t="str">
        <x:v>saki_research/research_vision/research_vision.pdf</x:v>
      </x:c>
      <x:c r="O959" s="25" t="str">
        <x:v>Woodford, Michael,Interest and Prices: Foundations of a Theory of Monetary Policy, Princeton University Press,2004.</x:v>
      </x:c>
    </x:row>
    <x:row r="960" ht="48" customHeight="1">
      <x:c r="A960" s="24" t="str">
        <x:v>V01-R074</x:v>
      </x:c>
      <x:c r="B960" s="24" t="str">
        <x:v>V01</x:v>
      </x:c>
      <x:c r="C960" s="26" t="n">
        <x:v>74</x:v>
      </x:c>
      <x:c r="D960" s="26" t="n">
        <x:v>24</x:v>
      </x:c>
      <x:c r="E960" s="26" t="n">
        <x:v>24</x:v>
      </x:c>
      <x:c r="F960" s="26" t="str">
        <x:v>Zetlin-Jones</x:v>
      </x:c>
      <x:c r="G960" s="26" t="n">
        <x:v>2012</x:v>
      </x:c>
      <x:c r="H960" s="25" t="str">
        <x:v>External Financing and the Role of Financial Frictions over the Business Cycle: Measurement and Theory</x:v>
      </x:c>
      <x:c r="I960" s="25" t="str"/>
      <x:c r="J960" s="25" t="str">
        <x:v>H-065</x:v>
      </x:c>
      <x:c r="K960" s="25" t="str">
        <x:v>prior_manual_sample</x:v>
      </x:c>
      <x:c r="L960" s="25" t="str">
        <x:v>accepted</x:v>
      </x:c>
      <x:c r="M960" s="25" t="str">
        <x:v>no</x:v>
      </x:c>
      <x:c r="N960" s="25" t="str">
        <x:v>saki_research/research_vision/research_vision.pdf</x:v>
      </x:c>
      <x:c r="O960" s="25" t="str">
        <x:v>Zetlin-Jones, Ariel and Ali Shourideh, “External Financing and the Role of Financial Frictions over the Business Cycle: Measurement and Theory,”2012.</x:v>
      </x:c>
    </x:row>
    <x:row r="961" ht="48" customHeight="1">
      <x:c r="A961" s="24" t="str">
        <x:v>W09-R001</x:v>
      </x:c>
      <x:c r="B961" s="24" t="str">
        <x:v>W09</x:v>
      </x:c>
      <x:c r="C961" s="26" t="n">
        <x:v>1</x:v>
      </x:c>
      <x:c r="D961" s="26" t="n">
        <x:v>36</x:v>
      </x:c>
      <x:c r="E961" s="26" t="n">
        <x:v>36</x:v>
      </x:c>
      <x:c r="F961" s="26" t="str">
        <x:v>Altavilla</x:v>
      </x:c>
      <x:c r="G961" s="26" t="n">
        <x:v>2020</x:v>
      </x:c>
      <x:c r="H961" s="25" t="str">
        <x:v>Mendingthebrokenlink: Heterogeneous bank lending rates and monetary policy pass-through</x:v>
      </x:c>
      <x:c r="I961" s="25" t="str"/>
      <x:c r="J961" s="25" t="str"/>
      <x:c r="K961" s="25" t="str">
        <x:v>prior_manual_sample</x:v>
      </x:c>
      <x:c r="L961" s="25" t="str">
        <x:v>accepted</x:v>
      </x:c>
      <x:c r="M961" s="25" t="str">
        <x:v>no</x:v>
      </x:c>
      <x:c r="N961" s="25" t="str">
        <x:v>saki_research/working_papers/abad_bigio_garcia_villegas_marbet_nuno_heterogeneous_bank_lending_channel_monetary_policy.pdf</x:v>
      </x:c>
      <x:c r="O961" s="25" t="str">
        <x:v>Altavilla,C.,Canova,F.,andCiccarelli,M.(2020). Mendingthebrokenlink: Heterogeneous bank lending rates and monetary policy pass-through. Journal of Monetary Economics, 110:81–98.</x:v>
      </x:c>
    </x:row>
    <x:row r="962" ht="48" customHeight="1">
      <x:c r="A962" s="24" t="str">
        <x:v>W09-R002</x:v>
      </x:c>
      <x:c r="B962" s="24" t="str">
        <x:v>W09</x:v>
      </x:c>
      <x:c r="C962" s="26" t="n">
        <x:v>2</x:v>
      </x:c>
      <x:c r="D962" s="26" t="n">
        <x:v>36</x:v>
      </x:c>
      <x:c r="E962" s="26" t="n">
        <x:v>36</x:v>
      </x:c>
      <x:c r="F962" s="26" t="str">
        <x:v>Altunok</x:v>
      </x:c>
      <x:c r="G962" s="26" t="n">
        <x:v>2023</x:v>
      </x:c>
      <x:c r="H962" s="25" t="str">
        <x:v>Monetary policy transmission with adjustableandfixedratemortgages: Theroleofcreditsupply</x:v>
      </x:c>
      <x:c r="I962" s="25" t="str"/>
      <x:c r="J962" s="25" t="str"/>
      <x:c r="K962" s="25" t="str">
        <x:v>automatic_screen_pass</x:v>
      </x:c>
      <x:c r="L962" s="25" t="str">
        <x:v>accepted</x:v>
      </x:c>
      <x:c r="M962" s="25" t="str">
        <x:v>no</x:v>
      </x:c>
      <x:c r="N962" s="25" t="str">
        <x:v>saki_research/working_papers/abad_bigio_garcia_villegas_marbet_nuno_heterogeneous_bank_lending_channel_monetary_policy.pdf</x:v>
      </x:c>
      <x:c r="O962" s="25" t="str">
        <x:v>Altunok, F., Arslan, Y., and Ongena, S. (2023). Monetary policy transmission with adjustableandfixedratemortgages: Theroleofcreditsupply. CEPRDiscussionPaper, (18293).</x:v>
      </x:c>
    </x:row>
    <x:row r="963" ht="48" customHeight="1">
      <x:c r="A963" s="24" t="str">
        <x:v>W09-R003</x:v>
      </x:c>
      <x:c r="B963" s="24" t="str">
        <x:v>W09</x:v>
      </x:c>
      <x:c r="C963" s="26" t="n">
        <x:v>3</x:v>
      </x:c>
      <x:c r="D963" s="26" t="n">
        <x:v>36</x:v>
      </x:c>
      <x:c r="E963" s="26" t="n">
        <x:v>36</x:v>
      </x:c>
      <x:c r="F963" s="26" t="str">
        <x:v>Auclert</x:v>
      </x:c>
      <x:c r="G963" s="26" t="n">
        <x:v>2019</x:v>
      </x:c>
      <x:c r="H963" s="25" t="str">
        <x:v>Monetary policy andthe redistributionchannel</x:v>
      </x:c>
      <x:c r="I963" s="25" t="str"/>
      <x:c r="J963" s="25" t="str"/>
      <x:c r="K963" s="25" t="str">
        <x:v>prior_manual_sample</x:v>
      </x:c>
      <x:c r="L963" s="25" t="str">
        <x:v>accepted</x:v>
      </x:c>
      <x:c r="M963" s="25" t="str">
        <x:v>no</x:v>
      </x:c>
      <x:c r="N963" s="25" t="str">
        <x:v>saki_research/working_papers/abad_bigio_garcia_villegas_marbet_nuno_heterogeneous_bank_lending_channel_monetary_policy.pdf</x:v>
      </x:c>
      <x:c r="O963" s="25" t="str">
        <x:v>Auclert, A.(2019). Monetary policy andthe redistributionchannel. American Economic Review, 109(6):2333–67.</x:v>
      </x:c>
    </x:row>
    <x:row r="964" ht="48" customHeight="1">
      <x:c r="A964" s="24" t="str">
        <x:v>W09-R004</x:v>
      </x:c>
      <x:c r="B964" s="24" t="str">
        <x:v>W09</x:v>
      </x:c>
      <x:c r="C964" s="26" t="n">
        <x:v>4</x:v>
      </x:c>
      <x:c r="D964" s="26" t="n">
        <x:v>36</x:v>
      </x:c>
      <x:c r="E964" s="26" t="n">
        <x:v>36</x:v>
      </x:c>
      <x:c r="F964" s="26" t="str">
        <x:v>Bellifemine</x:v>
      </x:c>
      <x:c r="G964" s="26" t="n">
        <x:v>2022</x:v>
      </x:c>
      <x:c r="H964" s="25" t="str">
        <x:v>Hbank: Monetary policy with heterogeneous banks</x:v>
      </x:c>
      <x:c r="I964" s="25" t="str"/>
      <x:c r="J964" s="25" t="str"/>
      <x:c r="K964" s="25" t="str">
        <x:v>automatic_screen_pass</x:v>
      </x:c>
      <x:c r="L964" s="25" t="str">
        <x:v>accepted</x:v>
      </x:c>
      <x:c r="M964" s="25" t="str">
        <x:v>no</x:v>
      </x:c>
      <x:c r="N964" s="25" t="str">
        <x:v>saki_research/working_papers/abad_bigio_garcia_villegas_marbet_nuno_heterogeneous_bank_lending_channel_monetary_policy.pdf</x:v>
      </x:c>
      <x:c r="O964" s="25" t="str">
        <x:v>Bellifemine, M., Jamilov, R., and Monacelli, T. (2022). Hbank: Monetary policy with heterogeneous banks. CEPR Working Paper DP17129.</x:v>
      </x:c>
    </x:row>
    <x:row r="965" ht="48" customHeight="1">
      <x:c r="A965" s="24" t="str">
        <x:v>W09-R005</x:v>
      </x:c>
      <x:c r="B965" s="24" t="str">
        <x:v>W09</x:v>
      </x:c>
      <x:c r="C965" s="26" t="n">
        <x:v>5</x:v>
      </x:c>
      <x:c r="D965" s="26" t="n">
        <x:v>36</x:v>
      </x:c>
      <x:c r="E965" s="26" t="n">
        <x:v>36</x:v>
      </x:c>
      <x:c r="F965" s="26" t="str">
        <x:v>Beraja</x:v>
      </x:c>
      <x:c r="G965" s="26" t="n">
        <x:v>2018</x:v>
      </x:c>
      <x:c r="H965" s="25" t="str">
        <x:v>Regional heterogeneity and the refinancing channel of monetary policy*</x:v>
      </x:c>
      <x:c r="I965" s="25" t="str"/>
      <x:c r="J965" s="25" t="str"/>
      <x:c r="K965" s="25" t="str">
        <x:v>automatic_screen_pass</x:v>
      </x:c>
      <x:c r="L965" s="25" t="str">
        <x:v>accepted</x:v>
      </x:c>
      <x:c r="M965" s="25" t="str">
        <x:v>no</x:v>
      </x:c>
      <x:c r="N965" s="25" t="str">
        <x:v>saki_research/working_papers/abad_bigio_garcia_villegas_marbet_nuno_heterogeneous_bank_lending_channel_monetary_policy.pdf</x:v>
      </x:c>
      <x:c r="O965" s="25" t="str">
        <x:v>Beraja, M., Fuster, A., Hurst, E., and Vavra, J. (2018). Regional heterogeneity and the refinancing channel of monetary policy*. The Quarterly Journal of Economics, 134(1):109–183.</x:v>
      </x:c>
    </x:row>
    <x:row r="966" ht="48" customHeight="1">
      <x:c r="A966" s="24" t="str">
        <x:v>W09-R006</x:v>
      </x:c>
      <x:c r="B966" s="24" t="str">
        <x:v>W09</x:v>
      </x:c>
      <x:c r="C966" s="26" t="n">
        <x:v>6</x:v>
      </x:c>
      <x:c r="D966" s="26" t="n">
        <x:v>36</x:v>
      </x:c>
      <x:c r="E966" s="26" t="n">
        <x:v>36</x:v>
      </x:c>
      <x:c r="F966" s="26" t="str">
        <x:v>Berger</x:v>
      </x:c>
      <x:c r="G966" s="26" t="n">
        <x:v>2021</x:v>
      </x:c>
      <x:c r="H966" s="25" t="str">
        <x:v>Mortgageprepaymentandpathdependenteffects ofmonetary policy</x:v>
      </x:c>
      <x:c r="I966" s="25" t="str"/>
      <x:c r="J966" s="25" t="str"/>
      <x:c r="K966" s="25" t="str">
        <x:v>automatic_screen_pass</x:v>
      </x:c>
      <x:c r="L966" s="25" t="str">
        <x:v>accepted</x:v>
      </x:c>
      <x:c r="M966" s="25" t="str">
        <x:v>no</x:v>
      </x:c>
      <x:c r="N966" s="25" t="str">
        <x:v>saki_research/working_papers/abad_bigio_garcia_villegas_marbet_nuno_heterogeneous_bank_lending_channel_monetary_policy.pdf</x:v>
      </x:c>
      <x:c r="O966" s="25" t="str">
        <x:v>Berger,D.,Milbradt,K.,Tourre,F.,andVavra,J.(2021). Mortgageprepaymentandpathdependenteffects ofmonetary policy. American Economic Review, 111(9):2829–78.</x:v>
      </x:c>
    </x:row>
    <x:row r="967" ht="48" customHeight="1">
      <x:c r="A967" s="24" t="str">
        <x:v>W09-R007</x:v>
      </x:c>
      <x:c r="B967" s="24" t="str">
        <x:v>W09</x:v>
      </x:c>
      <x:c r="C967" s="26" t="n">
        <x:v>7</x:v>
      </x:c>
      <x:c r="D967" s="26" t="n">
        <x:v>36</x:v>
      </x:c>
      <x:c r="E967" s="26" t="n">
        <x:v>36</x:v>
      </x:c>
      <x:c r="F967" s="26" t="str">
        <x:v>Bernanke</x:v>
      </x:c>
      <x:c r="G967" s="26" t="n">
        <x:v>1995</x:v>
      </x:c>
      <x:c r="H967" s="25" t="str">
        <x:v>Inside the black box: The credit channel of monetary policy transmission</x:v>
      </x:c>
      <x:c r="I967" s="25" t="str"/>
      <x:c r="J967" s="25" t="str"/>
      <x:c r="K967" s="25" t="str">
        <x:v>automatic_screen_pass</x:v>
      </x:c>
      <x:c r="L967" s="25" t="str">
        <x:v>accepted</x:v>
      </x:c>
      <x:c r="M967" s="25" t="str">
        <x:v>no</x:v>
      </x:c>
      <x:c r="N967" s="25" t="str">
        <x:v>saki_research/working_papers/abad_bigio_garcia_villegas_marbet_nuno_heterogeneous_bank_lending_channel_monetary_policy.pdf</x:v>
      </x:c>
      <x:c r="O967" s="25" t="str">
        <x:v>Bernanke, B. S. and Gertler, M. (1995). Inside the black box: The credit channel of monetary policy transmission. Journal of Economic Perspectives, 9(4):27–48.</x:v>
      </x:c>
    </x:row>
    <x:row r="968" ht="48" customHeight="1">
      <x:c r="A968" s="24" t="str">
        <x:v>W09-R008</x:v>
      </x:c>
      <x:c r="B968" s="24" t="str">
        <x:v>W09</x:v>
      </x:c>
      <x:c r="C968" s="26" t="n">
        <x:v>8</x:v>
      </x:c>
      <x:c r="D968" s="26" t="n">
        <x:v>36</x:v>
      </x:c>
      <x:c r="E968" s="26" t="n">
        <x:v>36</x:v>
      </x:c>
      <x:c r="F968" s="26" t="str">
        <x:v>Bianchi</x:v>
      </x:c>
      <x:c r="G968" s="26" t="n">
        <x:v>2022</x:v>
      </x:c>
      <x:c r="H968" s="25" t="str">
        <x:v>Banks, Liquidity Management, and Monetary Policy</x:v>
      </x:c>
      <x:c r="I968" s="25" t="str"/>
      <x:c r="J968" s="25" t="str"/>
      <x:c r="K968" s="25" t="str">
        <x:v>automatic_screen_pass</x:v>
      </x:c>
      <x:c r="L968" s="25" t="str">
        <x:v>accepted</x:v>
      </x:c>
      <x:c r="M968" s="25" t="str">
        <x:v>no</x:v>
      </x:c>
      <x:c r="N968" s="25" t="str">
        <x:v>saki_research/working_papers/abad_bigio_garcia_villegas_marbet_nuno_heterogeneous_bank_lending_channel_monetary_policy.pdf</x:v>
      </x:c>
      <x:c r="O968" s="25" t="str">
        <x:v>Bianchi, J. and Bigio, S. (2022). Banks, Liquidity Management, and Monetary Policy. Econometrica, 90:391–454.</x:v>
      </x:c>
    </x:row>
    <x:row r="969" ht="48" customHeight="1">
      <x:c r="A969" s="24" t="str">
        <x:v>W09-R009</x:v>
      </x:c>
      <x:c r="B969" s="24" t="str">
        <x:v>W09</x:v>
      </x:c>
      <x:c r="C969" s="26" t="n">
        <x:v>9</x:v>
      </x:c>
      <x:c r="D969" s="26" t="n">
        <x:v>36</x:v>
      </x:c>
      <x:c r="E969" s="26" t="n">
        <x:v>36</x:v>
      </x:c>
      <x:c r="F969" s="26" t="str">
        <x:v>Boppart</x:v>
      </x:c>
      <x:c r="G969" s="26" t="n">
        <x:v>2018</x:v>
      </x:c>
      <x:c r="H969" s="25" t="str">
        <x:v>Exploiting MIT shocks in heterogeneousagent economies: the impulse response as a numerical derivative</x:v>
      </x:c>
      <x:c r="I969" s="25" t="str"/>
      <x:c r="J969" s="25" t="str"/>
      <x:c r="K969" s="25" t="str">
        <x:v>automatic_screen_pass</x:v>
      </x:c>
      <x:c r="L969" s="25" t="str">
        <x:v>accepted</x:v>
      </x:c>
      <x:c r="M969" s="25" t="str">
        <x:v>no</x:v>
      </x:c>
      <x:c r="N969" s="25" t="str">
        <x:v>saki_research/working_papers/abad_bigio_garcia_villegas_marbet_nuno_heterogeneous_bank_lending_channel_monetary_policy.pdf</x:v>
      </x:c>
      <x:c r="O969" s="25" t="str">
        <x:v>Boppart, T., Krusell, P., and Mitman, K. (2018). Exploiting MIT shocks in heterogeneousagent economies: the impulse response as a numerical derivative. Journal of Economic Dynamics and Control, 89:68–92.</x:v>
      </x:c>
    </x:row>
    <x:row r="970" ht="48" customHeight="1">
      <x:c r="A970" s="24" t="str">
        <x:v>W09-R010</x:v>
      </x:c>
      <x:c r="B970" s="24" t="str">
        <x:v>W09</x:v>
      </x:c>
      <x:c r="C970" s="26" t="n">
        <x:v>10</x:v>
      </x:c>
      <x:c r="D970" s="26" t="n">
        <x:v>36</x:v>
      </x:c>
      <x:c r="E970" s="26" t="n">
        <x:v>36</x:v>
      </x:c>
      <x:c r="F970" s="26" t="str">
        <x:v>Boyarchenko</x:v>
      </x:c>
      <x:c r="G970" s="26" t="n">
        <x:v>2015</x:v>
      </x:c>
      <x:c r="H970" s="25" t="str">
        <x:v>Intermediary Balance Sheets. 2015 Meeting Papers 239, Society for Economic Dynamics</x:v>
      </x:c>
      <x:c r="I970" s="25" t="str"/>
      <x:c r="J970" s="25" t="str"/>
      <x:c r="K970" s="25" t="str">
        <x:v>automatic_screen_pass</x:v>
      </x:c>
      <x:c r="L970" s="25" t="str">
        <x:v>accepted</x:v>
      </x:c>
      <x:c r="M970" s="25" t="str">
        <x:v>no</x:v>
      </x:c>
      <x:c r="N970" s="25" t="str">
        <x:v>saki_research/working_papers/abad_bigio_garcia_villegas_marbet_nuno_heterogeneous_bank_lending_channel_monetary_policy.pdf</x:v>
      </x:c>
      <x:c r="O970" s="25" t="str">
        <x:v>Boyarchenko, N. and Adrian, T. (2015). Intermediary Balance Sheets. 2015 Meeting Papers 239, Society for Economic Dynamics.</x:v>
      </x:c>
    </x:row>
    <x:row r="971" ht="48" customHeight="1">
      <x:c r="A971" s="24" t="str">
        <x:v>W09-R011</x:v>
      </x:c>
      <x:c r="B971" s="24" t="str">
        <x:v>W09</x:v>
      </x:c>
      <x:c r="C971" s="26" t="n">
        <x:v>11</x:v>
      </x:c>
      <x:c r="D971" s="26" t="n">
        <x:v>36</x:v>
      </x:c>
      <x:c r="E971" s="26" t="n">
        <x:v>36</x:v>
      </x:c>
      <x:c r="F971" s="26" t="str">
        <x:v>Brunnermeier</x:v>
      </x:c>
      <x:c r="G971" s="26" t="n">
        <x:v>2014</x:v>
      </x:c>
      <x:c r="H971" s="25" t="str">
        <x:v>A macroeconomicmodel with afinancial sector</x:v>
      </x:c>
      <x:c r="I971" s="25" t="str"/>
      <x:c r="J971" s="25" t="str"/>
      <x:c r="K971" s="25" t="str">
        <x:v>automatic_screen_pass</x:v>
      </x:c>
      <x:c r="L971" s="25" t="str">
        <x:v>accepted</x:v>
      </x:c>
      <x:c r="M971" s="25" t="str">
        <x:v>no</x:v>
      </x:c>
      <x:c r="N971" s="25" t="str">
        <x:v>saki_research/working_papers/abad_bigio_garcia_villegas_marbet_nuno_heterogeneous_bank_lending_channel_monetary_policy.pdf</x:v>
      </x:c>
      <x:c r="O971" s="25" t="str">
        <x:v>Brunnermeier, M. K. and Sannikov, Y. (2014). A macroeconomicmodel with afinancial sector. American Economic Review, 104(2):379–421.</x:v>
      </x:c>
    </x:row>
    <x:row r="972" ht="48" customHeight="1">
      <x:c r="A972" s="24" t="str">
        <x:v>W09-R012</x:v>
      </x:c>
      <x:c r="B972" s="24" t="str">
        <x:v>W09</x:v>
      </x:c>
      <x:c r="C972" s="26" t="n">
        <x:v>12</x:v>
      </x:c>
      <x:c r="D972" s="26" t="n">
        <x:v>37</x:v>
      </x:c>
      <x:c r="E972" s="26" t="n">
        <x:v>37</x:v>
      </x:c>
      <x:c r="F972" s="26" t="str">
        <x:v>Clerc</x:v>
      </x:c>
      <x:c r="G972" s="26" t="n">
        <x:v>2015</x:v>
      </x:c>
      <x:c r="H972" s="25" t="str">
        <x:v>Capital regulation in a macroeconomic model with three layers of default</x:v>
      </x:c>
      <x:c r="I972" s="25" t="str"/>
      <x:c r="J972" s="25" t="str"/>
      <x:c r="K972" s="25" t="str">
        <x:v>prior_manual_sample</x:v>
      </x:c>
      <x:c r="L972" s="25" t="str">
        <x:v>accepted</x:v>
      </x:c>
      <x:c r="M972" s="25" t="str">
        <x:v>no</x:v>
      </x:c>
      <x:c r="N972" s="25" t="str">
        <x:v>saki_research/working_papers/abad_bigio_garcia_villegas_marbet_nuno_heterogeneous_bank_lending_channel_monetary_policy.pdf</x:v>
      </x:c>
      <x:c r="O972" s="25" t="str">
        <x:v>Clerc, L., Derviz, A., Mendicino, C., Moyen, S., Nikolov, K., Stracca, L., Suarez, J., and Vardoulakish, A. (2015). Capital regulation in a macroeconomic model with three layers of default. International Journal of Central Banking, page 55.</x:v>
      </x:c>
    </x:row>
    <x:row r="973" ht="48" customHeight="1">
      <x:c r="A973" s="24" t="str">
        <x:v>W09-R013</x:v>
      </x:c>
      <x:c r="B973" s="24" t="str">
        <x:v>W09</x:v>
      </x:c>
      <x:c r="C973" s="26" t="n">
        <x:v>13</x:v>
      </x:c>
      <x:c r="D973" s="26" t="n">
        <x:v>37</x:v>
      </x:c>
      <x:c r="E973" s="26" t="n">
        <x:v>37</x:v>
      </x:c>
      <x:c r="F973" s="26" t="str">
        <x:v>Coimbra</x:v>
      </x:c>
      <x:c r="G973" s="26" t="n">
        <x:v>2023</x:v>
      </x:c>
      <x:c r="H973" s="25" t="str">
        <x:v>Financial cycles with heterogeneous intermediaries</x:v>
      </x:c>
      <x:c r="I973" s="25" t="str"/>
      <x:c r="J973" s="25" t="str"/>
      <x:c r="K973" s="25" t="str">
        <x:v>automatic_screen_pass</x:v>
      </x:c>
      <x:c r="L973" s="25" t="str">
        <x:v>accepted</x:v>
      </x:c>
      <x:c r="M973" s="25" t="str">
        <x:v>no</x:v>
      </x:c>
      <x:c r="N973" s="25" t="str">
        <x:v>saki_research/working_papers/abad_bigio_garcia_villegas_marbet_nuno_heterogeneous_bank_lending_channel_monetary_policy.pdf</x:v>
      </x:c>
      <x:c r="O973" s="25" t="str">
        <x:v>Coimbra, N. and Rey, H. (2023). Financial cycles with heterogeneous intermediaries. The Reviewof Economic Studies, 91(2):817–857.</x:v>
      </x:c>
    </x:row>
    <x:row r="974" ht="48" customHeight="1">
      <x:c r="A974" s="24" t="str">
        <x:v>W09-R014</x:v>
      </x:c>
      <x:c r="B974" s="24" t="str">
        <x:v>W09</x:v>
      </x:c>
      <x:c r="C974" s="26" t="n">
        <x:v>14</x:v>
      </x:c>
      <x:c r="D974" s="26" t="n">
        <x:v>37</x:v>
      </x:c>
      <x:c r="E974" s="26" t="n">
        <x:v>37</x:v>
      </x:c>
      <x:c r="F974" s="26" t="str">
        <x:v>Corbae</x:v>
      </x:c>
      <x:c r="G974" s="26" t="n">
        <x:v>2021</x:v>
      </x:c>
      <x:c r="H974" s="25" t="str">
        <x:v>Capital buffers in a quantitative model of banking industry dynamics</x:v>
      </x:c>
      <x:c r="I974" s="25" t="str"/>
      <x:c r="J974" s="25" t="str"/>
      <x:c r="K974" s="25" t="str">
        <x:v>automatic_screen_pass</x:v>
      </x:c>
      <x:c r="L974" s="25" t="str">
        <x:v>accepted</x:v>
      </x:c>
      <x:c r="M974" s="25" t="str">
        <x:v>no</x:v>
      </x:c>
      <x:c r="N974" s="25" t="str">
        <x:v>saki_research/working_papers/abad_bigio_garcia_villegas_marbet_nuno_heterogeneous_bank_lending_channel_monetary_policy.pdf</x:v>
      </x:c>
      <x:c r="O974" s="25" t="str">
        <x:v>Corbae, D. and D’Erasmo, P. (2021). Capital buffers in a quantitative model of banking industry dynamics. Econometrica, 89(6):2975–3023.</x:v>
      </x:c>
    </x:row>
    <x:row r="975" ht="48" customHeight="1">
      <x:c r="A975" s="24" t="str">
        <x:v>W09-R015</x:v>
      </x:c>
      <x:c r="B975" s="24" t="str">
        <x:v>W09</x:v>
      </x:c>
      <x:c r="C975" s="26" t="n">
        <x:v>15</x:v>
      </x:c>
      <x:c r="D975" s="26" t="n">
        <x:v>37</x:v>
      </x:c>
      <x:c r="E975" s="26" t="n">
        <x:v>37</x:v>
      </x:c>
      <x:c r="F975" s="26" t="str">
        <x:v>Cortina</x:v>
      </x:c>
      <x:c r="G975" s="26" t="n">
        <x:v>2018</x:v>
      </x:c>
      <x:c r="H975" s="25" t="str">
        <x:v>Corporatedebtmaturityindevelopingcountries: Sourcesoflongandshort-termism</x:v>
      </x:c>
      <x:c r="I975" s="25" t="str"/>
      <x:c r="J975" s="25" t="str"/>
      <x:c r="K975" s="25" t="str">
        <x:v>automatic_screen_pass</x:v>
      </x:c>
      <x:c r="L975" s="25" t="str">
        <x:v>accepted</x:v>
      </x:c>
      <x:c r="M975" s="25" t="str">
        <x:v>no</x:v>
      </x:c>
      <x:c r="N975" s="25" t="str">
        <x:v>saki_research/working_papers/abad_bigio_garcia_villegas_marbet_nuno_heterogeneous_bank_lending_channel_monetary_policy.pdf</x:v>
      </x:c>
      <x:c r="O975" s="25" t="str">
        <x:v>Cortina,J.J.,Didier,T.,andSchmukler,S.L.(2018). Corporatedebtmaturityindevelopingcountries: Sourcesoflongandshort-termism. TheWorldEconomy,41:3288–3316.</x:v>
      </x:c>
    </x:row>
    <x:row r="976" ht="48" customHeight="1">
      <x:c r="A976" s="24" t="str">
        <x:v>W09-R016</x:v>
      </x:c>
      <x:c r="B976" s="24" t="str">
        <x:v>W09</x:v>
      </x:c>
      <x:c r="C976" s="26" t="n">
        <x:v>16</x:v>
      </x:c>
      <x:c r="D976" s="26" t="n">
        <x:v>37</x:v>
      </x:c>
      <x:c r="E976" s="26" t="n">
        <x:v>37</x:v>
      </x:c>
      <x:c r="F976" s="26" t="str">
        <x:v>Dell’Ariccia</x:v>
      </x:c>
      <x:c r="G976" s="26" t="n">
        <x:v>2017</x:v>
      </x:c>
      <x:c r="H976" s="25" t="str">
        <x:v>Bank leverage and monetary policy’s risk-taking channel: Evidence from the United States</x:v>
      </x:c>
      <x:c r="I976" s="25" t="str"/>
      <x:c r="J976" s="25" t="str">
        <x:v>exhaustive_title_boundary_audit_2026-09-17</x:v>
      </x:c>
      <x:c r="K976" s="25" t="str">
        <x:v>exhaustive_visual_correction</x:v>
      </x:c>
      <x:c r="L976" s="25" t="str">
        <x:v>corrected</x:v>
      </x:c>
      <x:c r="M976" s="25" t="str">
        <x:v>no</x:v>
      </x:c>
      <x:c r="N976" s="25" t="str">
        <x:v>saki_research/working_papers/abad_bigio_garcia_villegas_marbet_nuno_heterogeneous_bank_lending_channel_monetary_policy.pdf</x:v>
      </x:c>
      <x:c r="O976" s="25" t="str">
        <x:v>Dell’Ariccia, G., Laeven, L., and Suarez, G. A. (2017). Bank leverage and monetary policy’srisk-takingchannel: Evidence from the united states.The Journal of Finance, 72(2):613–654.</x:v>
      </x:c>
    </x:row>
    <x:row r="977" ht="48" customHeight="1">
      <x:c r="A977" s="24" t="str">
        <x:v>W09-R017</x:v>
      </x:c>
      <x:c r="B977" s="24" t="str">
        <x:v>W09</x:v>
      </x:c>
      <x:c r="C977" s="26" t="n">
        <x:v>17</x:v>
      </x:c>
      <x:c r="D977" s="26" t="n">
        <x:v>37</x:v>
      </x:c>
      <x:c r="E977" s="26" t="n">
        <x:v>37</x:v>
      </x:c>
      <x:c r="F977" s="26" t="str">
        <x:v>Eichenbaum</x:v>
      </x:c>
      <x:c r="G977" s="26" t="n">
        <x:v>2022</x:v>
      </x:c>
      <x:c r="H977" s="25" t="str">
        <x:v>State-dependenteffectsofmonetary policy: The refinancing channel</x:v>
      </x:c>
      <x:c r="I977" s="25" t="str"/>
      <x:c r="J977" s="25" t="str"/>
      <x:c r="K977" s="25" t="str">
        <x:v>automatic_screen_pass</x:v>
      </x:c>
      <x:c r="L977" s="25" t="str">
        <x:v>accepted</x:v>
      </x:c>
      <x:c r="M977" s="25" t="str">
        <x:v>no</x:v>
      </x:c>
      <x:c r="N977" s="25" t="str">
        <x:v>saki_research/working_papers/abad_bigio_garcia_villegas_marbet_nuno_heterogeneous_bank_lending_channel_monetary_policy.pdf</x:v>
      </x:c>
      <x:c r="O977" s="25" t="str">
        <x:v>Eichenbaum,M.,Rebelo,S.,andWong,A.(2022). State-dependenteffectsofmonetary policy: The refinancing channel. American Economic Review, 112(3):721–61.</x:v>
      </x:c>
    </x:row>
    <x:row r="978" ht="48" customHeight="1">
      <x:c r="A978" s="24" t="str">
        <x:v>W09-R018</x:v>
      </x:c>
      <x:c r="B978" s="24" t="str">
        <x:v>W09</x:v>
      </x:c>
      <x:c r="C978" s="26" t="n">
        <x:v>18</x:v>
      </x:c>
      <x:c r="D978" s="26" t="n">
        <x:v>37</x:v>
      </x:c>
      <x:c r="E978" s="26" t="n">
        <x:v>37</x:v>
      </x:c>
      <x:c r="F978" s="26" t="str">
        <x:v>Elenev</x:v>
      </x:c>
      <x:c r="G978" s="26" t="n">
        <x:v>2025</x:v>
      </x:c>
      <x:c r="H978" s="25" t="str">
        <x:v>Amacro-financemodelofmortgagestructure: Financial stability and risk sharing</x:v>
      </x:c>
      <x:c r="I978" s="25" t="str"/>
      <x:c r="J978" s="25" t="str"/>
      <x:c r="K978" s="25" t="str">
        <x:v>prior_manual_sample</x:v>
      </x:c>
      <x:c r="L978" s="25" t="str">
        <x:v>accepted</x:v>
      </x:c>
      <x:c r="M978" s="25" t="str">
        <x:v>no</x:v>
      </x:c>
      <x:c r="N978" s="25" t="str">
        <x:v>saki_research/working_papers/abad_bigio_garcia_villegas_marbet_nuno_heterogeneous_bank_lending_channel_monetary_policy.pdf</x:v>
      </x:c>
      <x:c r="O978" s="25" t="str">
        <x:v>Elenev,V.andLiu,L.(2025). Amacro-financemodelofmortgagestructure: Financial stability and risk sharing. Manuscript.</x:v>
      </x:c>
    </x:row>
    <x:row r="979" ht="48" customHeight="1">
      <x:c r="A979" s="24" t="str">
        <x:v>W09-R019</x:v>
      </x:c>
      <x:c r="B979" s="24" t="str">
        <x:v>W09</x:v>
      </x:c>
      <x:c r="C979" s="26" t="n">
        <x:v>19</x:v>
      </x:c>
      <x:c r="D979" s="26" t="n">
        <x:v>37</x:v>
      </x:c>
      <x:c r="E979" s="26" t="n">
        <x:v>37</x:v>
      </x:c>
      <x:c r="F979" s="26" t="str">
        <x:v>Gabaix</x:v>
      </x:c>
      <x:c r="G979" s="26" t="n">
        <x:v>2009</x:v>
      </x:c>
      <x:c r="H979" s="25" t="str">
        <x:v>Power Laws inEconomics and Finance</x:v>
      </x:c>
      <x:c r="I979" s="25" t="str"/>
      <x:c r="J979" s="25" t="str"/>
      <x:c r="K979" s="25" t="str">
        <x:v>automatic_screen_pass</x:v>
      </x:c>
      <x:c r="L979" s="25" t="str">
        <x:v>accepted</x:v>
      </x:c>
      <x:c r="M979" s="25" t="str">
        <x:v>no</x:v>
      </x:c>
      <x:c r="N979" s="25" t="str">
        <x:v>saki_research/working_papers/abad_bigio_garcia_villegas_marbet_nuno_heterogeneous_bank_lending_channel_monetary_policy.pdf</x:v>
      </x:c>
      <x:c r="O979" s="25" t="str">
        <x:v>Gabaix, X. (2009). Power Laws inEconomics and Finance. Annual Review of Economics, 1:255–294.</x:v>
      </x:c>
    </x:row>
    <x:row r="980" ht="48" customHeight="1">
      <x:c r="A980" s="24" t="str">
        <x:v>W09-R020</x:v>
      </x:c>
      <x:c r="B980" s="24" t="str">
        <x:v>W09</x:v>
      </x:c>
      <x:c r="C980" s="26" t="n">
        <x:v>20</x:v>
      </x:c>
      <x:c r="D980" s="26" t="n">
        <x:v>37</x:v>
      </x:c>
      <x:c r="E980" s="26" t="n">
        <x:v>37</x:v>
      </x:c>
      <x:c r="F980" s="26" t="str">
        <x:v>Gambacorta</x:v>
      </x:c>
      <x:c r="G980" s="26" t="n">
        <x:v>2004</x:v>
      </x:c>
      <x:c r="H980" s="25" t="str">
        <x:v>Does bank capital affect lending behavior?</x:v>
      </x:c>
      <x:c r="I980" s="25" t="str"/>
      <x:c r="J980" s="25" t="str">
        <x:v>exhaustive_title_boundary_audit_2026-09-17</x:v>
      </x:c>
      <x:c r="K980" s="25" t="str">
        <x:v>exhaustive_visual_correction</x:v>
      </x:c>
      <x:c r="L980" s="25" t="str">
        <x:v>corrected</x:v>
      </x:c>
      <x:c r="M980" s="25" t="str">
        <x:v>no</x:v>
      </x:c>
      <x:c r="N980" s="25" t="str">
        <x:v>saki_research/working_papers/abad_bigio_garcia_villegas_marbet_nuno_heterogeneous_bank_lending_channel_monetary_policy.pdf</x:v>
      </x:c>
      <x:c r="O980" s="25" t="str">
        <x:v>Gambacorta, L. and Mistrulli, P. E. (2004). Does bank capital affect lending behavior? Journal of Financial Intermediation, 13(4):436–457.</x:v>
      </x:c>
    </x:row>
    <x:row r="981" ht="48" customHeight="1">
      <x:c r="A981" s="24" t="str">
        <x:v>W09-R021</x:v>
      </x:c>
      <x:c r="B981" s="24" t="str">
        <x:v>W09</x:v>
      </x:c>
      <x:c r="C981" s="26" t="n">
        <x:v>21</x:v>
      </x:c>
      <x:c r="D981" s="26" t="n">
        <x:v>37</x:v>
      </x:c>
      <x:c r="E981" s="26" t="n">
        <x:v>37</x:v>
      </x:c>
      <x:c r="F981" s="26" t="str">
        <x:v>Gambacorta</x:v>
      </x:c>
      <x:c r="G981" s="26" t="n">
        <x:v>2018</x:v>
      </x:c>
      <x:c r="H981" s="25" t="str">
        <x:v>Whybankcapitalmattersformonetarypolicy</x:v>
      </x:c>
      <x:c r="I981" s="25" t="str"/>
      <x:c r="J981" s="25" t="str"/>
      <x:c r="K981" s="25" t="str">
        <x:v>automatic_screen_pass</x:v>
      </x:c>
      <x:c r="L981" s="25" t="str">
        <x:v>accepted</x:v>
      </x:c>
      <x:c r="M981" s="25" t="str">
        <x:v>no</x:v>
      </x:c>
      <x:c r="N981" s="25" t="str">
        <x:v>saki_research/working_papers/abad_bigio_garcia_villegas_marbet_nuno_heterogeneous_bank_lending_channel_monetary_policy.pdf</x:v>
      </x:c>
      <x:c r="O981" s="25" t="str">
        <x:v>Gambacorta,L.andShin, H.S.(2018). Whybankcapitalmattersformonetarypolicy. Journal of Financial Intermediation, 35:17–29. Banking and regulation: the next frontier.</x:v>
      </x:c>
    </x:row>
    <x:row r="982" ht="48" customHeight="1">
      <x:c r="A982" s="24" t="str">
        <x:v>W09-R022</x:v>
      </x:c>
      <x:c r="B982" s="24" t="str">
        <x:v>W09</x:v>
      </x:c>
      <x:c r="C982" s="26" t="n">
        <x:v>22</x:v>
      </x:c>
      <x:c r="D982" s="26" t="n">
        <x:v>37</x:v>
      </x:c>
      <x:c r="E982" s="26" t="n">
        <x:v>37</x:v>
      </x:c>
      <x:c r="F982" s="26" t="str">
        <x:v>Garriga</x:v>
      </x:c>
      <x:c r="G982" s="26" t="n">
        <x:v>2020</x:v>
      </x:c>
      <x:c r="H982" s="25" t="str">
        <x:v>Mortgage debt, consumption, and illiquid housing markets inthe greatrecession</x:v>
      </x:c>
      <x:c r="I982" s="25" t="str"/>
      <x:c r="J982" s="25" t="str"/>
      <x:c r="K982" s="25" t="str">
        <x:v>prior_manual_sample</x:v>
      </x:c>
      <x:c r="L982" s="25" t="str">
        <x:v>accepted</x:v>
      </x:c>
      <x:c r="M982" s="25" t="str">
        <x:v>no</x:v>
      </x:c>
      <x:c r="N982" s="25" t="str">
        <x:v>saki_research/working_papers/abad_bigio_garcia_villegas_marbet_nuno_heterogeneous_bank_lending_channel_monetary_policy.pdf</x:v>
      </x:c>
      <x:c r="O982" s="25" t="str">
        <x:v>Garriga, C. andHedlund, A. (2020). Mortgage debt, consumption, and illiquid housing markets inthe greatrecession. American Economic Review, 110(6):1603–34.</x:v>
      </x:c>
    </x:row>
    <x:row r="983" ht="48" customHeight="1">
      <x:c r="A983" s="24" t="str">
        <x:v>W09-R023</x:v>
      </x:c>
      <x:c r="B983" s="24" t="str">
        <x:v>W09</x:v>
      </x:c>
      <x:c r="C983" s="26" t="n">
        <x:v>23</x:v>
      </x:c>
      <x:c r="D983" s="26" t="n">
        <x:v>37</x:v>
      </x:c>
      <x:c r="E983" s="26" t="n">
        <x:v>37</x:v>
      </x:c>
      <x:c r="F983" s="26" t="str">
        <x:v>Gertler</x:v>
      </x:c>
      <x:c r="G983" s="26" t="n">
        <x:v>2011</x:v>
      </x:c>
      <x:c r="H983" s="25" t="str">
        <x:v>A model of unconventional monetary policy</x:v>
      </x:c>
      <x:c r="I983" s="25" t="str"/>
      <x:c r="J983" s="25" t="str"/>
      <x:c r="K983" s="25" t="str">
        <x:v>prior_manual_sample</x:v>
      </x:c>
      <x:c r="L983" s="25" t="str">
        <x:v>accepted</x:v>
      </x:c>
      <x:c r="M983" s="25" t="str">
        <x:v>no</x:v>
      </x:c>
      <x:c r="N983" s="25" t="str">
        <x:v>saki_research/working_papers/abad_bigio_garcia_villegas_marbet_nuno_heterogeneous_bank_lending_channel_monetary_policy.pdf</x:v>
      </x:c>
      <x:c r="O983" s="25" t="str">
        <x:v>Gertler, M. and Karadi, P. (2011). A model of unconventional monetary policy. Journal of Monetary Economics, 58:17–34.</x:v>
      </x:c>
    </x:row>
    <x:row r="984" ht="48" customHeight="1">
      <x:c r="A984" s="24" t="str">
        <x:v>W09-R024</x:v>
      </x:c>
      <x:c r="B984" s="24" t="str">
        <x:v>W09</x:v>
      </x:c>
      <x:c r="C984" s="26" t="n">
        <x:v>24</x:v>
      </x:c>
      <x:c r="D984" s="26" t="n">
        <x:v>38</x:v>
      </x:c>
      <x:c r="E984" s="26" t="n">
        <x:v>38</x:v>
      </x:c>
      <x:c r="F984" s="26" t="str">
        <x:v>Gertler</x:v>
      </x:c>
      <x:c r="G984" s="26" t="n">
        <x:v>2010</x:v>
      </x:c>
      <x:c r="H984" s="25" t="str">
        <x:v>Chapter 11 - financial intermediation and credit policy in business cycle analysis</x:v>
      </x:c>
      <x:c r="I984" s="25" t="str"/>
      <x:c r="J984" s="25" t="str"/>
      <x:c r="K984" s="25" t="str">
        <x:v>automatic_screen_pass</x:v>
      </x:c>
      <x:c r="L984" s="25" t="str">
        <x:v>accepted</x:v>
      </x:c>
      <x:c r="M984" s="25" t="str">
        <x:v>no</x:v>
      </x:c>
      <x:c r="N984" s="25" t="str">
        <x:v>saki_research/working_papers/abad_bigio_garcia_villegas_marbet_nuno_heterogeneous_bank_lending_channel_monetary_policy.pdf</x:v>
      </x:c>
      <x:c r="O984" s="25" t="str">
        <x:v>Gertler, M. and Kiyotaki, N. (2010). Chapter 11 - financial intermediation and credit policy in business cycle analysis. In Friedman, B. M. and Woodford, M., editors, Handbook of Monetary Economics, volume 3, pages 547–599. Elsevier.</x:v>
      </x:c>
    </x:row>
    <x:row r="985" ht="48" customHeight="1">
      <x:c r="A985" s="24" t="str">
        <x:v>W09-R025</x:v>
      </x:c>
      <x:c r="B985" s="24" t="str">
        <x:v>W09</x:v>
      </x:c>
      <x:c r="C985" s="26" t="n">
        <x:v>25</x:v>
      </x:c>
      <x:c r="D985" s="26" t="n">
        <x:v>38</x:v>
      </x:c>
      <x:c r="E985" s="26" t="n">
        <x:v>38</x:v>
      </x:c>
      <x:c r="F985" s="26" t="str">
        <x:v>Gordy</x:v>
      </x:c>
      <x:c r="G985" s="26" t="n">
        <x:v>2003</x:v>
      </x:c>
      <x:c r="H985" s="25" t="str">
        <x:v>A risk-factor model foundationfor ratings-based bank capital rules</x:v>
      </x:c>
      <x:c r="I985" s="25" t="str"/>
      <x:c r="J985" s="25" t="str"/>
      <x:c r="K985" s="25" t="str">
        <x:v>prior_manual_sample</x:v>
      </x:c>
      <x:c r="L985" s="25" t="str">
        <x:v>accepted</x:v>
      </x:c>
      <x:c r="M985" s="25" t="str">
        <x:v>no</x:v>
      </x:c>
      <x:c r="N985" s="25" t="str">
        <x:v>saki_research/working_papers/abad_bigio_garcia_villegas_marbet_nuno_heterogeneous_bank_lending_channel_monetary_policy.pdf</x:v>
      </x:c>
      <x:c r="O985" s="25" t="str">
        <x:v>Gordy, M. (2003). A risk-factor model foundationfor ratings-based bank capital rules. Journal of Financial Intermediation, 12:199–232.</x:v>
      </x:c>
    </x:row>
    <x:row r="986" ht="48" customHeight="1">
      <x:c r="A986" s="24" t="str">
        <x:v>W09-R026</x:v>
      </x:c>
      <x:c r="B986" s="24" t="str">
        <x:v>W09</x:v>
      </x:c>
      <x:c r="C986" s="26" t="n">
        <x:v>26</x:v>
      </x:c>
      <x:c r="D986" s="26" t="n">
        <x:v>38</x:v>
      </x:c>
      <x:c r="E986" s="26" t="n">
        <x:v>38</x:v>
      </x:c>
      <x:c r="F986" s="26" t="str">
        <x:v>Greenwald</x:v>
      </x:c>
      <x:c r="G986" s="26" t="n">
        <x:v>2018</x:v>
      </x:c>
      <x:c r="H986" s="25" t="str">
        <x:v>The mortgage creditchannel ofmacroeconomic transmission</x:v>
      </x:c>
      <x:c r="I986" s="25" t="str"/>
      <x:c r="J986" s="25" t="str"/>
      <x:c r="K986" s="25" t="str">
        <x:v>prior_manual_sample</x:v>
      </x:c>
      <x:c r="L986" s="25" t="str">
        <x:v>accepted</x:v>
      </x:c>
      <x:c r="M986" s="25" t="str">
        <x:v>no</x:v>
      </x:c>
      <x:c r="N986" s="25" t="str">
        <x:v>saki_research/working_papers/abad_bigio_garcia_villegas_marbet_nuno_heterogeneous_bank_lending_channel_monetary_policy.pdf</x:v>
      </x:c>
      <x:c r="O986" s="25" t="str">
        <x:v>Greenwald, D. (2018). The mortgage creditchannel ofmacroeconomic transmission. Manuscript.</x:v>
      </x:c>
    </x:row>
    <x:row r="987" ht="48" customHeight="1">
      <x:c r="A987" s="24" t="str">
        <x:v>W09-R027</x:v>
      </x:c>
      <x:c r="B987" s="24" t="str">
        <x:v>W09</x:v>
      </x:c>
      <x:c r="C987" s="26" t="n">
        <x:v>27</x:v>
      </x:c>
      <x:c r="D987" s="26" t="n">
        <x:v>38</x:v>
      </x:c>
      <x:c r="E987" s="26" t="n">
        <x:v>38</x:v>
      </x:c>
      <x:c r="F987" s="26" t="str">
        <x:v>Guren</x:v>
      </x:c>
      <x:c r="G987" s="26" t="n">
        <x:v>2021</x:v>
      </x:c>
      <x:c r="H987" s="25" t="str">
        <x:v>Mortgage design in an equilibrium model ofthe housing market</x:v>
      </x:c>
      <x:c r="I987" s="25" t="str"/>
      <x:c r="J987" s="25" t="str"/>
      <x:c r="K987" s="25" t="str">
        <x:v>automatic_screen_pass</x:v>
      </x:c>
      <x:c r="L987" s="25" t="str">
        <x:v>accepted</x:v>
      </x:c>
      <x:c r="M987" s="25" t="str">
        <x:v>no</x:v>
      </x:c>
      <x:c r="N987" s="25" t="str">
        <x:v>saki_research/working_papers/abad_bigio_garcia_villegas_marbet_nuno_heterogeneous_bank_lending_channel_monetary_policy.pdf</x:v>
      </x:c>
      <x:c r="O987" s="25" t="str">
        <x:v>Guren, A. M., Krishnamurthy, A., and McQuade, T. J. (2021). Mortgage design in an equilibrium model ofthe housing market. The Journal of Finance, 76(1):113–168.</x:v>
      </x:c>
    </x:row>
    <x:row r="988" ht="48" customHeight="1">
      <x:c r="A988" s="24" t="str">
        <x:v>W09-R028</x:v>
      </x:c>
      <x:c r="B988" s="24" t="str">
        <x:v>W09</x:v>
      </x:c>
      <x:c r="C988" s="26" t="n">
        <x:v>28</x:v>
      </x:c>
      <x:c r="D988" s="26" t="n">
        <x:v>38</x:v>
      </x:c>
      <x:c r="E988" s="26" t="n">
        <x:v>38</x:v>
      </x:c>
      <x:c r="F988" s="26" t="str">
        <x:v>He</x:v>
      </x:c>
      <x:c r="G988" s="26" t="n">
        <x:v>2013</x:v>
      </x:c>
      <x:c r="H988" s="25" t="str">
        <x:v>Intermediary assetpricing</x:v>
      </x:c>
      <x:c r="I988" s="25" t="str"/>
      <x:c r="J988" s="25" t="str"/>
      <x:c r="K988" s="25" t="str">
        <x:v>automatic_screen_pass</x:v>
      </x:c>
      <x:c r="L988" s="25" t="str">
        <x:v>accepted</x:v>
      </x:c>
      <x:c r="M988" s="25" t="str">
        <x:v>no</x:v>
      </x:c>
      <x:c r="N988" s="25" t="str">
        <x:v>saki_research/working_papers/abad_bigio_garcia_villegas_marbet_nuno_heterogeneous_bank_lending_channel_monetary_policy.pdf</x:v>
      </x:c>
      <x:c r="O988" s="25" t="str">
        <x:v>He,Z. and Krishnamurthy, A.(2013). Intermediary assetpricing. American Economic Review, 103(2):732–70.</x:v>
      </x:c>
    </x:row>
    <x:row r="989" ht="48" customHeight="1">
      <x:c r="A989" s="24" t="str">
        <x:v>W09-R029</x:v>
      </x:c>
      <x:c r="B989" s="24" t="str">
        <x:v>W09</x:v>
      </x:c>
      <x:c r="C989" s="26" t="n">
        <x:v>29</x:v>
      </x:c>
      <x:c r="D989" s="26" t="n">
        <x:v>38</x:v>
      </x:c>
      <x:c r="E989" s="26" t="n">
        <x:v>38</x:v>
      </x:c>
      <x:c r="F989" s="26" t="str">
        <x:v>Holton</x:v>
      </x:c>
      <x:c r="G989" s="26" t="n">
        <x:v>2018</x:v>
      </x:c>
      <x:c r="H989" s="25" t="str">
        <x:v>Interest rate pass-through since the euro areacrisis</x:v>
      </x:c>
      <x:c r="I989" s="25" t="str"/>
      <x:c r="J989" s="25" t="str"/>
      <x:c r="K989" s="25" t="str">
        <x:v>automatic_screen_pass</x:v>
      </x:c>
      <x:c r="L989" s="25" t="str">
        <x:v>accepted</x:v>
      </x:c>
      <x:c r="M989" s="25" t="str">
        <x:v>no</x:v>
      </x:c>
      <x:c r="N989" s="25" t="str">
        <x:v>saki_research/working_papers/abad_bigio_garcia_villegas_marbet_nuno_heterogeneous_bank_lending_channel_monetary_policy.pdf</x:v>
      </x:c>
      <x:c r="O989" s="25" t="str">
        <x:v>Holton, S. and Rodriguez d’Acri, C. (2018). Interest rate pass-through since the euro areacrisis. Journal of Banking &amp; Finance, 96(C):277–291.</x:v>
      </x:c>
    </x:row>
    <x:row r="990" ht="48" customHeight="1">
      <x:c r="A990" s="24" t="str">
        <x:v>W09-R030</x:v>
      </x:c>
      <x:c r="B990" s="24" t="str">
        <x:v>W09</x:v>
      </x:c>
      <x:c r="C990" s="26" t="n">
        <x:v>30</x:v>
      </x:c>
      <x:c r="D990" s="26" t="n">
        <x:v>38</x:v>
      </x:c>
      <x:c r="E990" s="26" t="n">
        <x:v>38</x:v>
      </x:c>
      <x:c r="F990" s="26" t="str">
        <x:v>Jamilov</x:v>
      </x:c>
      <x:c r="G990" s="26" t="n">
        <x:v>2025</x:v>
      </x:c>
      <x:c r="H990" s="25" t="str">
        <x:v>Bewley banks</x:v>
      </x:c>
      <x:c r="I990" s="25" t="str"/>
      <x:c r="J990" s="25" t="str"/>
      <x:c r="K990" s="25" t="str">
        <x:v>prior_manual_sample</x:v>
      </x:c>
      <x:c r="L990" s="25" t="str">
        <x:v>accepted</x:v>
      </x:c>
      <x:c r="M990" s="25" t="str">
        <x:v>no</x:v>
      </x:c>
      <x:c r="N990" s="25" t="str">
        <x:v>saki_research/working_papers/abad_bigio_garcia_villegas_marbet_nuno_heterogeneous_bank_lending_channel_monetary_policy.pdf</x:v>
      </x:c>
      <x:c r="O990" s="25" t="str">
        <x:v>Jamilov, R. andMonacelli, T. (2025). Bewley banks. Review of Economic Studies.</x:v>
      </x:c>
    </x:row>
    <x:row r="991" ht="48" customHeight="1">
      <x:c r="A991" s="24" t="str">
        <x:v>W09-R031</x:v>
      </x:c>
      <x:c r="B991" s="24" t="str">
        <x:v>W09</x:v>
      </x:c>
      <x:c r="C991" s="26" t="n">
        <x:v>31</x:v>
      </x:c>
      <x:c r="D991" s="26" t="n">
        <x:v>38</x:v>
      </x:c>
      <x:c r="E991" s="26" t="n">
        <x:v>38</x:v>
      </x:c>
      <x:c r="F991" s="26" t="str">
        <x:v>Jarociński</x:v>
      </x:c>
      <x:c r="G991" s="26" t="n">
        <x:v>2020</x:v>
      </x:c>
      <x:c r="H991" s="25" t="str">
        <x:v>Deconstructingmonetarypolicysurprises—therole of information shocks</x:v>
      </x:c>
      <x:c r="I991" s="25" t="str"/>
      <x:c r="J991" s="25" t="str">
        <x:v>literal_citation_review_2026-09-16</x:v>
      </x:c>
      <x:c r="K991" s="25" t="str">
        <x:v>prior_manual_sample</x:v>
      </x:c>
      <x:c r="L991" s="25" t="str">
        <x:v>accepted</x:v>
      </x:c>
      <x:c r="M991" s="25" t="str">
        <x:v>no</x:v>
      </x:c>
      <x:c r="N991" s="25" t="str">
        <x:v>saki_research/working_papers/abad_bigio_garcia_villegas_marbet_nuno_heterogeneous_bank_lending_channel_monetary_policy.pdf</x:v>
      </x:c>
      <x:c r="O991" s="25" t="str">
        <x:v>Jaroci ́nski,M.andKaradi,P.(2020). Deconstructingmonetarypolicysurprises—therole of information shocks. American Economic Journal: Macroeconomics, 12(2):1–43.</x:v>
      </x:c>
    </x:row>
    <x:row r="992" ht="48" customHeight="1">
      <x:c r="A992" s="24" t="str">
        <x:v>W09-R032</x:v>
      </x:c>
      <x:c r="B992" s="24" t="str">
        <x:v>W09</x:v>
      </x:c>
      <x:c r="C992" s="26" t="n">
        <x:v>32</x:v>
      </x:c>
      <x:c r="D992" s="26" t="n">
        <x:v>38</x:v>
      </x:c>
      <x:c r="E992" s="26" t="n">
        <x:v>38</x:v>
      </x:c>
      <x:c r="F992" s="26" t="str">
        <x:v>Jiménez</x:v>
      </x:c>
      <x:c r="G992" s="26" t="n">
        <x:v>2012</x:v>
      </x:c>
      <x:c r="H992" s="25" t="str">
        <x:v>Creditsupplyandmonetary policy: Identifyingthebankbalance-sheetchannelwithloanapplications</x:v>
      </x:c>
      <x:c r="I992" s="25" t="str"/>
      <x:c r="J992" s="25" t="str"/>
      <x:c r="K992" s="25" t="str">
        <x:v>automatic_screen_pass</x:v>
      </x:c>
      <x:c r="L992" s="25" t="str">
        <x:v>accepted</x:v>
      </x:c>
      <x:c r="M992" s="25" t="str">
        <x:v>no</x:v>
      </x:c>
      <x:c r="N992" s="25" t="str">
        <x:v>saki_research/working_papers/abad_bigio_garcia_villegas_marbet_nuno_heterogeneous_bank_lending_channel_monetary_policy.pdf</x:v>
      </x:c>
      <x:c r="O992" s="25" t="str">
        <x:v>Jiménez,G.,Ongena,S.,Peydró,J.-L.,andSaurina,J.(2012). Creditsupplyandmonetary policy: Identifyingthebankbalance-sheetchannelwithloanapplications. American Economic Review, 102(5):2301–26.</x:v>
      </x:c>
    </x:row>
    <x:row r="993" ht="48" customHeight="1">
      <x:c r="A993" s="24" t="str">
        <x:v>W09-R033</x:v>
      </x:c>
      <x:c r="B993" s="24" t="str">
        <x:v>W09</x:v>
      </x:c>
      <x:c r="C993" s="26" t="n">
        <x:v>33</x:v>
      </x:c>
      <x:c r="D993" s="26" t="n">
        <x:v>38</x:v>
      </x:c>
      <x:c r="E993" s="26" t="n">
        <x:v>38</x:v>
      </x:c>
      <x:c r="F993" s="26" t="str">
        <x:v>Jordà</x:v>
      </x:c>
      <x:c r="G993" s="26" t="n">
        <x:v>2005</x:v>
      </x:c>
      <x:c r="H993" s="25" t="str">
        <x:v>Estimation and inference of impulse responses by local projections</x:v>
      </x:c>
      <x:c r="I993" s="25" t="str"/>
      <x:c r="J993" s="25" t="str"/>
      <x:c r="K993" s="25" t="str">
        <x:v>automatic_screen_pass</x:v>
      </x:c>
      <x:c r="L993" s="25" t="str">
        <x:v>accepted</x:v>
      </x:c>
      <x:c r="M993" s="25" t="str">
        <x:v>no</x:v>
      </x:c>
      <x:c r="N993" s="25" t="str">
        <x:v>saki_research/working_papers/abad_bigio_garcia_villegas_marbet_nuno_heterogeneous_bank_lending_channel_monetary_policy.pdf</x:v>
      </x:c>
      <x:c r="O993" s="25" t="str">
        <x:v>Jordà, O. (2005). Estimation and inference of impulse responses by local projections. American Economic Review, 95(1):161–182.</x:v>
      </x:c>
    </x:row>
    <x:row r="994" ht="48" customHeight="1">
      <x:c r="A994" s="24" t="str">
        <x:v>W09-R034</x:v>
      </x:c>
      <x:c r="B994" s="24" t="str">
        <x:v>W09</x:v>
      </x:c>
      <x:c r="C994" s="26" t="n">
        <x:v>34</x:v>
      </x:c>
      <x:c r="D994" s="26" t="n">
        <x:v>38</x:v>
      </x:c>
      <x:c r="E994" s="26" t="n">
        <x:v>38</x:v>
      </x:c>
      <x:c r="F994" s="26" t="str">
        <x:v>Jordà</x:v>
      </x:c>
      <x:c r="G994" s="26" t="n">
        <x:v>2015</x:v>
      </x:c>
      <x:c r="H994" s="25" t="str">
        <x:v>Betting the house</x:v>
      </x:c>
      <x:c r="I994" s="25" t="str"/>
      <x:c r="J994" s="25" t="str"/>
      <x:c r="K994" s="25" t="str">
        <x:v>automatic_screen_pass</x:v>
      </x:c>
      <x:c r="L994" s="25" t="str">
        <x:v>accepted</x:v>
      </x:c>
      <x:c r="M994" s="25" t="str">
        <x:v>no</x:v>
      </x:c>
      <x:c r="N994" s="25" t="str">
        <x:v>saki_research/working_papers/abad_bigio_garcia_villegas_marbet_nuno_heterogeneous_bank_lending_channel_monetary_policy.pdf</x:v>
      </x:c>
      <x:c r="O994" s="25" t="str">
        <x:v>Jordà, O., Schularick, M., and Taylor, A. M. (2015). Betting the house. Journal of International Economics, 96:S2–S18. 37th Annual NBER International Seminar on Macroeconomics.</x:v>
      </x:c>
    </x:row>
    <x:row r="995" ht="48" customHeight="1">
      <x:c r="A995" s="24" t="str">
        <x:v>W09-R035</x:v>
      </x:c>
      <x:c r="B995" s="24" t="str">
        <x:v>W09</x:v>
      </x:c>
      <x:c r="C995" s="26" t="n">
        <x:v>35</x:v>
      </x:c>
      <x:c r="D995" s="26" t="n">
        <x:v>38</x:v>
      </x:c>
      <x:c r="E995" s="26" t="n">
        <x:v>38</x:v>
      </x:c>
      <x:c r="F995" s="26" t="str">
        <x:v>Kaplan</x:v>
      </x:c>
      <x:c r="G995" s="26" t="n">
        <x:v>2018</x:v>
      </x:c>
      <x:c r="H995" s="25" t="str">
        <x:v>Monetary policy according to hank</x:v>
      </x:c>
      <x:c r="I995" s="25" t="str"/>
      <x:c r="J995" s="25" t="str"/>
      <x:c r="K995" s="25" t="str">
        <x:v>automatic_screen_pass</x:v>
      </x:c>
      <x:c r="L995" s="25" t="str">
        <x:v>accepted</x:v>
      </x:c>
      <x:c r="M995" s="25" t="str">
        <x:v>no</x:v>
      </x:c>
      <x:c r="N995" s="25" t="str">
        <x:v>saki_research/working_papers/abad_bigio_garcia_villegas_marbet_nuno_heterogeneous_bank_lending_channel_monetary_policy.pdf</x:v>
      </x:c>
      <x:c r="O995" s="25" t="str">
        <x:v>Kaplan, G., Moll, B., and Violante, G. L. (2018). Monetary policy according to hank. American Economic Review, 108(3):697–743.</x:v>
      </x:c>
    </x:row>
    <x:row r="996" ht="48" customHeight="1">
      <x:c r="A996" s="24" t="str">
        <x:v>W09-R036</x:v>
      </x:c>
      <x:c r="B996" s="24" t="str">
        <x:v>W09</x:v>
      </x:c>
      <x:c r="C996" s="26" t="n">
        <x:v>36</x:v>
      </x:c>
      <x:c r="D996" s="26" t="n">
        <x:v>38</x:v>
      </x:c>
      <x:c r="E996" s="26" t="n">
        <x:v>38</x:v>
      </x:c>
      <x:c r="F996" s="26" t="str">
        <x:v>Kashyap</x:v>
      </x:c>
      <x:c r="G996" s="26" t="n">
        <x:v>2000</x:v>
      </x:c>
      <x:c r="H996" s="25" t="str">
        <x:v>What do a million observations on banks say about the transmission of monetary policy?</x:v>
      </x:c>
      <x:c r="I996" s="25" t="str"/>
      <x:c r="J996" s="25" t="str">
        <x:v>exhaustive_title_boundary_audit_2026-09-17</x:v>
      </x:c>
      <x:c r="K996" s="25" t="str">
        <x:v>exhaustive_visual_correction</x:v>
      </x:c>
      <x:c r="L996" s="25" t="str">
        <x:v>corrected</x:v>
      </x:c>
      <x:c r="M996" s="25" t="str">
        <x:v>no</x:v>
      </x:c>
      <x:c r="N996" s="25" t="str">
        <x:v>saki_research/working_papers/abad_bigio_garcia_villegas_marbet_nuno_heterogeneous_bank_lending_channel_monetary_policy.pdf</x:v>
      </x:c>
      <x:c r="O996" s="25" t="str">
        <x:v>Kashyap,A.K.andStein,J.C.(2000). Whatdoamillionobservationsonbankssayabout the transmissionof monetary policy? American Economic Review, 90(3):407–428.</x:v>
      </x:c>
    </x:row>
    <x:row r="997" ht="48" customHeight="1">
      <x:c r="A997" s="24" t="str">
        <x:v>W09-R037</x:v>
      </x:c>
      <x:c r="B997" s="24" t="str">
        <x:v>W09</x:v>
      </x:c>
      <x:c r="C997" s="26" t="n">
        <x:v>37</x:v>
      </x:c>
      <x:c r="D997" s="26" t="n">
        <x:v>39</x:v>
      </x:c>
      <x:c r="E997" s="26" t="n">
        <x:v>39</x:v>
      </x:c>
      <x:c r="F997" s="26" t="str">
        <x:v>Kishan</x:v>
      </x:c>
      <x:c r="G997" s="26" t="n">
        <x:v>2000</x:v>
      </x:c>
      <x:c r="H997" s="25" t="str">
        <x:v>Bank Size, Bank Capital, and the Bank Lending Channel</x:v>
      </x:c>
      <x:c r="I997" s="25" t="str"/>
      <x:c r="J997" s="25" t="str"/>
      <x:c r="K997" s="25" t="str">
        <x:v>prior_manual_sample</x:v>
      </x:c>
      <x:c r="L997" s="25" t="str">
        <x:v>accepted</x:v>
      </x:c>
      <x:c r="M997" s="25" t="str">
        <x:v>no</x:v>
      </x:c>
      <x:c r="N997" s="25" t="str">
        <x:v>saki_research/working_papers/abad_bigio_garcia_villegas_marbet_nuno_heterogeneous_bank_lending_channel_monetary_policy.pdf</x:v>
      </x:c>
      <x:c r="O997" s="25" t="str">
        <x:v>Kishan, R. P. and Opiela, T. P. (2000). Bank Size, Bank Capital, and the Bank Lending Channel. Journal of Money, Credit and Banking, 32(1):121–141.</x:v>
      </x:c>
    </x:row>
    <x:row r="998" ht="48" customHeight="1">
      <x:c r="A998" s="24" t="str">
        <x:v>W09-R038</x:v>
      </x:c>
      <x:c r="B998" s="24" t="str">
        <x:v>W09</x:v>
      </x:c>
      <x:c r="C998" s="26" t="n">
        <x:v>38</x:v>
      </x:c>
      <x:c r="D998" s="26" t="n">
        <x:v>39</x:v>
      </x:c>
      <x:c r="E998" s="26" t="n">
        <x:v>39</x:v>
      </x:c>
      <x:c r="F998" s="26" t="str">
        <x:v>Lagos</x:v>
      </x:c>
      <x:c r="G998" s="26" t="n">
        <x:v>2017</x:v>
      </x:c>
      <x:c r="H998" s="25" t="str">
        <x:v>Liquidity: Anewmonetaristperspective</x:v>
      </x:c>
      <x:c r="I998" s="25" t="str"/>
      <x:c r="J998" s="25" t="str"/>
      <x:c r="K998" s="25" t="str">
        <x:v>automatic_screen_pass</x:v>
      </x:c>
      <x:c r="L998" s="25" t="str">
        <x:v>accepted</x:v>
      </x:c>
      <x:c r="M998" s="25" t="str">
        <x:v>no</x:v>
      </x:c>
      <x:c r="N998" s="25" t="str">
        <x:v>saki_research/working_papers/abad_bigio_garcia_villegas_marbet_nuno_heterogeneous_bank_lending_channel_monetary_policy.pdf</x:v>
      </x:c>
      <x:c r="O998" s="25" t="str">
        <x:v>Lagos,R.,Rocheteau,G.,andWright,R.(2017). Liquidity: Anewmonetaristperspective. Journal of Economic Literature, 55(2):371–440.</x:v>
      </x:c>
    </x:row>
    <x:row r="999" ht="48" customHeight="1">
      <x:c r="A999" s="24" t="str">
        <x:v>W09-R039</x:v>
      </x:c>
      <x:c r="B999" s="24" t="str">
        <x:v>W09</x:v>
      </x:c>
      <x:c r="C999" s="26" t="n">
        <x:v>39</x:v>
      </x:c>
      <x:c r="D999" s="26" t="n">
        <x:v>39</x:v>
      </x:c>
      <x:c r="E999" s="26" t="n">
        <x:v>39</x:v>
      </x:c>
      <x:c r="F999" s="26" t="str">
        <x:v>Lagos</x:v>
      </x:c>
      <x:c r="G999" s="26" t="n">
        <x:v>2005</x:v>
      </x:c>
      <x:c r="H999" s="25" t="str">
        <x:v>A unified framework for monetary theory and policy analysis</x:v>
      </x:c>
      <x:c r="I999" s="25" t="str"/>
      <x:c r="J999" s="25" t="str"/>
      <x:c r="K999" s="25" t="str">
        <x:v>automatic_screen_pass</x:v>
      </x:c>
      <x:c r="L999" s="25" t="str">
        <x:v>accepted</x:v>
      </x:c>
      <x:c r="M999" s="25" t="str">
        <x:v>no</x:v>
      </x:c>
      <x:c r="N999" s="25" t="str">
        <x:v>saki_research/working_papers/abad_bigio_garcia_villegas_marbet_nuno_heterogeneous_bank_lending_channel_monetary_policy.pdf</x:v>
      </x:c>
      <x:c r="O999" s="25" t="str">
        <x:v>Lagos, R. and Wright, R. (2005). A unified framework for monetary theory and policy analysis. Journal of Political Economy, 113(3):463–484.</x:v>
      </x:c>
    </x:row>
    <x:row r="1000" ht="48" customHeight="1">
      <x:c r="A1000" s="24" t="str">
        <x:v>W09-R040</x:v>
      </x:c>
      <x:c r="B1000" s="24" t="str">
        <x:v>W09</x:v>
      </x:c>
      <x:c r="C1000" s="26" t="n">
        <x:v>40</x:v>
      </x:c>
      <x:c r="D1000" s="26" t="n">
        <x:v>39</x:v>
      </x:c>
      <x:c r="E1000" s="26" t="n">
        <x:v>39</x:v>
      </x:c>
      <x:c r="F1000" s="26" t="str">
        <x:v>Leland</x:v>
      </x:c>
      <x:c r="G1000" s="26" t="n">
        <x:v>1996</x:v>
      </x:c>
      <x:c r="H1000" s="25" t="str">
        <x:v>Optimalcapital structure,endogenousbankruptcy, and the termstructure ofcreditspreads</x:v>
      </x:c>
      <x:c r="I1000" s="25" t="str"/>
      <x:c r="J1000" s="25" t="str"/>
      <x:c r="K1000" s="25" t="str">
        <x:v>prior_manual_sample</x:v>
      </x:c>
      <x:c r="L1000" s="25" t="str">
        <x:v>accepted</x:v>
      </x:c>
      <x:c r="M1000" s="25" t="str">
        <x:v>no</x:v>
      </x:c>
      <x:c r="N1000" s="25" t="str">
        <x:v>saki_research/working_papers/abad_bigio_garcia_villegas_marbet_nuno_heterogeneous_bank_lending_channel_monetary_policy.pdf</x:v>
      </x:c>
      <x:c r="O1000" s="25" t="str">
        <x:v>Leland, H. E. andToft,K.B. (1996). Optimalcapital structure,endogenousbankruptcy, and the termstructure ofcreditspreads. Journal of Finance, 51(3):987–1019.</x:v>
      </x:c>
    </x:row>
    <x:row r="1001" ht="48" customHeight="1">
      <x:c r="A1001" s="24" t="str">
        <x:v>W09-R041</x:v>
      </x:c>
      <x:c r="B1001" s="24" t="str">
        <x:v>W09</x:v>
      </x:c>
      <x:c r="C1001" s="26" t="n">
        <x:v>41</x:v>
      </x:c>
      <x:c r="D1001" s="26" t="n">
        <x:v>39</x:v>
      </x:c>
      <x:c r="E1001" s="26" t="n">
        <x:v>39</x:v>
      </x:c>
      <x:c r="F1001" s="26" t="str">
        <x:v>Mendicino</x:v>
      </x:c>
      <x:c r="G1001" s="26" t="n">
        <x:v>2024</x:v>
      </x:c>
      <x:c r="H1001" s="25" t="str">
        <x:v>Twin defaultsand bank capital requirements</x:v>
      </x:c>
      <x:c r="I1001" s="25" t="str"/>
      <x:c r="J1001" s="25" t="str"/>
      <x:c r="K1001" s="25" t="str">
        <x:v>automatic_screen_pass</x:v>
      </x:c>
      <x:c r="L1001" s="25" t="str">
        <x:v>accepted</x:v>
      </x:c>
      <x:c r="M1001" s="25" t="str">
        <x:v>no</x:v>
      </x:c>
      <x:c r="N1001" s="25" t="str">
        <x:v>saki_research/working_papers/abad_bigio_garcia_villegas_marbet_nuno_heterogeneous_bank_lending_channel_monetary_policy.pdf</x:v>
      </x:c>
      <x:c r="O1001" s="25" t="str">
        <x:v>Mendicino, C., Nikolov, K., Rubio-Ramirez, J., Suarez, J., and Supera, D. (2024). Twin defaultsand bank capital requirements. The Journal of Finance.</x:v>
      </x:c>
    </x:row>
    <x:row r="1002" ht="48" customHeight="1">
      <x:c r="A1002" s="24" t="str">
        <x:v>W09-R042</x:v>
      </x:c>
      <x:c r="B1002" s="24" t="str">
        <x:v>W09</x:v>
      </x:c>
      <x:c r="C1002" s="26" t="n">
        <x:v>42</x:v>
      </x:c>
      <x:c r="D1002" s="26" t="n">
        <x:v>39</x:v>
      </x:c>
      <x:c r="E1002" s="26" t="n">
        <x:v>39</x:v>
      </x:c>
      <x:c r="F1002" s="26" t="str">
        <x:v>Mendicino</x:v>
      </x:c>
      <x:c r="G1002" s="26" t="n">
        <x:v>2018</x:v>
      </x:c>
      <x:c r="H1002" s="25" t="str">
        <x:v>Optimaldynamiccapital requirements</x:v>
      </x:c>
      <x:c r="I1002" s="25" t="str"/>
      <x:c r="J1002" s="25" t="str"/>
      <x:c r="K1002" s="25" t="str">
        <x:v>automatic_screen_pass</x:v>
      </x:c>
      <x:c r="L1002" s="25" t="str">
        <x:v>accepted</x:v>
      </x:c>
      <x:c r="M1002" s="25" t="str">
        <x:v>no</x:v>
      </x:c>
      <x:c r="N1002" s="25" t="str">
        <x:v>saki_research/working_papers/abad_bigio_garcia_villegas_marbet_nuno_heterogeneous_bank_lending_channel_monetary_policy.pdf</x:v>
      </x:c>
      <x:c r="O1002" s="25" t="str">
        <x:v>Mendicino,C.,Nikolov,K.,Suarez,J.,andSupera,D.(2018). Optimaldynamiccapital requirements. Journal of Money, Credit and Banking, 50(6):1271–1297.</x:v>
      </x:c>
    </x:row>
    <x:row r="1003" ht="48" customHeight="1">
      <x:c r="A1003" s="24" t="str">
        <x:v>W09-R043</x:v>
      </x:c>
      <x:c r="B1003" s="24" t="str">
        <x:v>W09</x:v>
      </x:c>
      <x:c r="C1003" s="26" t="n">
        <x:v>43</x:v>
      </x:c>
      <x:c r="D1003" s="26" t="n">
        <x:v>39</x:v>
      </x:c>
      <x:c r="E1003" s="26" t="n">
        <x:v>39</x:v>
      </x:c>
      <x:c r="F1003" s="26" t="str">
        <x:v>Mendicino</x:v>
      </x:c>
      <x:c r="G1003" s="26" t="n">
        <x:v>2020</x:v>
      </x:c>
      <x:c r="H1003" s="25" t="str">
        <x:v>Bankcapital inthe short and in the long run</x:v>
      </x:c>
      <x:c r="I1003" s="25" t="str"/>
      <x:c r="J1003" s="25" t="str"/>
      <x:c r="K1003" s="25" t="str">
        <x:v>automatic_screen_pass</x:v>
      </x:c>
      <x:c r="L1003" s="25" t="str">
        <x:v>accepted</x:v>
      </x:c>
      <x:c r="M1003" s="25" t="str">
        <x:v>no</x:v>
      </x:c>
      <x:c r="N1003" s="25" t="str">
        <x:v>saki_research/working_papers/abad_bigio_garcia_villegas_marbet_nuno_heterogeneous_bank_lending_channel_monetary_policy.pdf</x:v>
      </x:c>
      <x:c r="O1003" s="25" t="str">
        <x:v>Mendicino, C., Nikolov, K., Suarez, J., andSupera, D. (2020). Bankcapital inthe short and in the long run. Journal of Monetary Economics, 115:64–79.</x:v>
      </x:c>
    </x:row>
    <x:row r="1004" ht="48" customHeight="1">
      <x:c r="A1004" s="24" t="str">
        <x:v>W09-R044</x:v>
      </x:c>
      <x:c r="B1004" s="24" t="str">
        <x:v>W09</x:v>
      </x:c>
      <x:c r="C1004" s="26" t="n">
        <x:v>44</x:v>
      </x:c>
      <x:c r="D1004" s="26" t="n">
        <x:v>39</x:v>
      </x:c>
      <x:c r="E1004" s="26" t="n">
        <x:v>39</x:v>
      </x:c>
      <x:c r="F1004" s="26" t="str">
        <x:v>Nagel</x:v>
      </x:c>
      <x:c r="G1004" s="26" t="n">
        <x:v>2020</x:v>
      </x:c>
      <x:c r="H1004" s="25" t="str">
        <x:v>Banks’ Risk Dynamics and Distance to Default</x:v>
      </x:c>
      <x:c r="I1004" s="25" t="str"/>
      <x:c r="J1004" s="25" t="str"/>
      <x:c r="K1004" s="25" t="str">
        <x:v>automatic_screen_pass</x:v>
      </x:c>
      <x:c r="L1004" s="25" t="str">
        <x:v>accepted</x:v>
      </x:c>
      <x:c r="M1004" s="25" t="str">
        <x:v>no</x:v>
      </x:c>
      <x:c r="N1004" s="25" t="str">
        <x:v>saki_research/working_papers/abad_bigio_garcia_villegas_marbet_nuno_heterogeneous_bank_lending_channel_monetary_policy.pdf</x:v>
      </x:c>
      <x:c r="O1004" s="25" t="str">
        <x:v>Nagel, S. and Purnanandam, A. (2020). Banks’ Risk Dynamics and Distance to Default. The Review of Financial Studies, 33(6):2421–2467.</x:v>
      </x:c>
    </x:row>
    <x:row r="1005" ht="48" customHeight="1">
      <x:c r="A1005" s="24" t="str">
        <x:v>W09-R045</x:v>
      </x:c>
      <x:c r="B1005" s="24" t="str">
        <x:v>W09</x:v>
      </x:c>
      <x:c r="C1005" s="26" t="n">
        <x:v>45</x:v>
      </x:c>
      <x:c r="D1005" s="26" t="n">
        <x:v>39</x:v>
      </x:c>
      <x:c r="E1005" s="26" t="n">
        <x:v>39</x:v>
      </x:c>
      <x:c r="F1005" s="26" t="str">
        <x:v>Repullo</x:v>
      </x:c>
      <x:c r="G1005" s="26" t="n">
        <x:v>2004</x:v>
      </x:c>
      <x:c r="H1005" s="25" t="str">
        <x:v>LoanpricingunderBaselcapitalrequirements</x:v>
      </x:c>
      <x:c r="I1005" s="25" t="str"/>
      <x:c r="J1005" s="25" t="str"/>
      <x:c r="K1005" s="25" t="str">
        <x:v>prior_manual_sample</x:v>
      </x:c>
      <x:c r="L1005" s="25" t="str">
        <x:v>accepted</x:v>
      </x:c>
      <x:c r="M1005" s="25" t="str">
        <x:v>no</x:v>
      </x:c>
      <x:c r="N1005" s="25" t="str">
        <x:v>saki_research/working_papers/abad_bigio_garcia_villegas_marbet_nuno_heterogeneous_bank_lending_channel_monetary_policy.pdf</x:v>
      </x:c>
      <x:c r="O1005" s="25" t="str">
        <x:v>Repullo,R.andSuarez,J.(2004). LoanpricingunderBaselcapitalrequirements. Journal of Financial Intermediation, 13:496–521.</x:v>
      </x:c>
    </x:row>
    <x:row r="1006" ht="48" customHeight="1">
      <x:c r="A1006" s="24" t="str">
        <x:v>W09-R046</x:v>
      </x:c>
      <x:c r="B1006" s="24" t="str">
        <x:v>W09</x:v>
      </x:c>
      <x:c r="C1006" s="26" t="n">
        <x:v>46</x:v>
      </x:c>
      <x:c r="D1006" s="26" t="n">
        <x:v>39</x:v>
      </x:c>
      <x:c r="E1006" s="26" t="n">
        <x:v>39</x:v>
      </x:c>
      <x:c r="F1006" s="26" t="str">
        <x:v>Rios-Rull</x:v>
      </x:c>
      <x:c r="G1006" s="26" t="n">
        <x:v>2020</x:v>
      </x:c>
      <x:c r="H1006" s="25" t="str">
        <x:v>Banking dynamics, market discipline and capital regulations</x:v>
      </x:c>
      <x:c r="I1006" s="25" t="str"/>
      <x:c r="J1006" s="25" t="str"/>
      <x:c r="K1006" s="25" t="str">
        <x:v>automatic_screen_pass</x:v>
      </x:c>
      <x:c r="L1006" s="25" t="str">
        <x:v>accepted</x:v>
      </x:c>
      <x:c r="M1006" s="25" t="str">
        <x:v>no</x:v>
      </x:c>
      <x:c r="N1006" s="25" t="str">
        <x:v>saki_research/working_papers/abad_bigio_garcia_villegas_marbet_nuno_heterogeneous_bank_lending_channel_monetary_policy.pdf</x:v>
      </x:c>
      <x:c r="O1006" s="25" t="str">
        <x:v>Rios-Rull, J.-V., Takamura, T., and Terajima, Y. (2020). Banking dynamics, market discipline and capital regulations. Technical report, Manuscript.</x:v>
      </x:c>
    </x:row>
    <x:row r="1007" ht="48" customHeight="1">
      <x:c r="A1007" s="24" t="str">
        <x:v>W09-R047</x:v>
      </x:c>
      <x:c r="B1007" s="24" t="str">
        <x:v>W09</x:v>
      </x:c>
      <x:c r="C1007" s="26" t="n">
        <x:v>47</x:v>
      </x:c>
      <x:c r="D1007" s="26" t="n">
        <x:v>39</x:v>
      </x:c>
      <x:c r="E1007" s="26" t="n">
        <x:v>39</x:v>
      </x:c>
      <x:c r="F1007" s="26" t="str">
        <x:v>Varraso</x:v>
      </x:c>
      <x:c r="G1007" s="26" t="n">
        <x:v>2025</x:v>
      </x:c>
      <x:c r="H1007" s="25" t="str">
        <x:v>Banks and the macroeconomic transmission of interest rate risk</x:v>
      </x:c>
      <x:c r="I1007" s="25" t="str"/>
      <x:c r="J1007" s="25" t="str"/>
      <x:c r="K1007" s="25" t="str">
        <x:v>automatic_screen_pass</x:v>
      </x:c>
      <x:c r="L1007" s="25" t="str">
        <x:v>accepted</x:v>
      </x:c>
      <x:c r="M1007" s="25" t="str">
        <x:v>no</x:v>
      </x:c>
      <x:c r="N1007" s="25" t="str">
        <x:v>saki_research/working_papers/abad_bigio_garcia_villegas_marbet_nuno_heterogeneous_bank_lending_channel_monetary_policy.pdf</x:v>
      </x:c>
      <x:c r="O1007" s="25" t="str">
        <x:v>Varraso, P. (2025). Banks and the macroeconomic transmission of interest rate risk. Technical report, Manuscript.</x:v>
      </x:c>
    </x:row>
    <x:row r="1008" ht="48" customHeight="1">
      <x:c r="A1008" s="24" t="str">
        <x:v>W09-R048</x:v>
      </x:c>
      <x:c r="B1008" s="24" t="str">
        <x:v>W09</x:v>
      </x:c>
      <x:c r="C1008" s="26" t="n">
        <x:v>48</x:v>
      </x:c>
      <x:c r="D1008" s="26" t="n">
        <x:v>39</x:v>
      </x:c>
      <x:c r="E1008" s="26" t="n">
        <x:v>39</x:v>
      </x:c>
      <x:c r="F1008" s="26" t="str">
        <x:v>Vasicek</x:v>
      </x:c>
      <x:c r="G1008" s="26" t="n">
        <x:v>2002</x:v>
      </x:c>
      <x:c r="H1008" s="25" t="str">
        <x:v>The distributionof loan portfolio value</x:v>
      </x:c>
      <x:c r="I1008" s="25" t="str"/>
      <x:c r="J1008" s="25" t="str"/>
      <x:c r="K1008" s="25" t="str">
        <x:v>automatic_screen_pass</x:v>
      </x:c>
      <x:c r="L1008" s="25" t="str">
        <x:v>accepted</x:v>
      </x:c>
      <x:c r="M1008" s="25" t="str">
        <x:v>no</x:v>
      </x:c>
      <x:c r="N1008" s="25" t="str">
        <x:v>saki_research/working_papers/abad_bigio_garcia_villegas_marbet_nuno_heterogeneous_bank_lending_channel_monetary_policy.pdf</x:v>
      </x:c>
      <x:c r="O1008" s="25" t="str">
        <x:v>Vasicek, O. (2002). The distributionof loan portfolio value. Risk, 15:160–162.</x:v>
      </x:c>
    </x:row>
    <x:row r="1009" ht="48" customHeight="1">
      <x:c r="A1009" s="24" t="str">
        <x:v>W03-R001</x:v>
      </x:c>
      <x:c r="B1009" s="24" t="str">
        <x:v>W03</x:v>
      </x:c>
      <x:c r="C1009" s="26" t="n">
        <x:v>1</x:v>
      </x:c>
      <x:c r="D1009" s="26" t="n">
        <x:v>33</x:v>
      </x:c>
      <x:c r="E1009" s="26" t="n">
        <x:v>33</x:v>
      </x:c>
      <x:c r="F1009" s="26" t="str">
        <x:v>Acharya</x:v>
      </x:c>
      <x:c r="G1009" s="26" t="n">
        <x:v>2017</x:v>
      </x:c>
      <x:c r="H1009" s="25" t="str">
        <x:v>Howdoglobalbanksscramblefor liquidity? Evidencefromtheasset-backedcommercialpaperfreezeof2007</x:v>
      </x:c>
      <x:c r="I1009" s="25" t="str"/>
      <x:c r="J1009" s="25" t="str"/>
      <x:c r="K1009" s="25" t="str">
        <x:v>automatic_screen_pass</x:v>
      </x:c>
      <x:c r="L1009" s="25" t="str">
        <x:v>accepted</x:v>
      </x:c>
      <x:c r="M1009" s="25" t="str">
        <x:v>no</x:v>
      </x:c>
      <x:c r="N1009" s="25" t="str">
        <x:v>saki_research/working_papers/bianchi_bigio_engel_scrambling_dollars_international_liquidity_banks_exchange_rate.pdf</x:v>
      </x:c>
      <x:c r="O1009" s="25" t="str">
        <x:v>Acharya,ViralV,GaraAfonso,andAnnaKovner,“Howdoglobalbanksscramblefor liquidity? Evidencefromtheasset-backedcommercialpaperfreezeof2007,”Journalof FinancialIntermediation,2017,30,1–34.</x:v>
      </x:c>
    </x:row>
    <x:row r="1010" ht="48" customHeight="1">
      <x:c r="A1010" s="24" t="str">
        <x:v>W03-R002</x:v>
      </x:c>
      <x:c r="B1010" s="24" t="str">
        <x:v>W03</x:v>
      </x:c>
      <x:c r="C1010" s="26" t="n">
        <x:v>2</x:v>
      </x:c>
      <x:c r="D1010" s="26" t="n">
        <x:v>33</x:v>
      </x:c>
      <x:c r="E1010" s="26" t="n">
        <x:v>33</x:v>
      </x:c>
      <x:c r="F1010" s="26" t="str">
        <x:v>Adrian</x:v>
      </x:c>
      <x:c r="G1010" s="26" t="n">
        <x:v>2020</x:v>
      </x:c>
      <x:c r="H1010" s="25" t="str">
        <x:v>The Non-US Bank Demand for US Dollar Assets</x:v>
      </x:c>
      <x:c r="I1010" s="25" t="str"/>
      <x:c r="J1010" s="25" t="str">
        <x:v>literal_citation_review_2026-09-16</x:v>
      </x:c>
      <x:c r="K1010" s="25" t="str">
        <x:v>automatic_screen_pass</x:v>
      </x:c>
      <x:c r="L1010" s="25" t="str">
        <x:v>accepted</x:v>
      </x:c>
      <x:c r="M1010" s="25" t="str">
        <x:v>no</x:v>
      </x:c>
      <x:c r="N1010" s="25" t="str">
        <x:v>saki_research/working_papers/bianchi_bigio_engel_scrambling_dollars_international_liquidity_banks_exchange_rate.pdf</x:v>
      </x:c>
      <x:c r="O1010" s="25" t="str">
        <x:v>Adrian,MrTobiasandPeichuXie,TheNon-USBankDemandforUSDollarAssets,InternationalMonetaryFund,2020.</x:v>
      </x:c>
    </x:row>
    <x:row r="1011" ht="48" customHeight="1">
      <x:c r="A1011" s="24" t="str">
        <x:v>W03-R003</x:v>
      </x:c>
      <x:c r="B1011" s="24" t="str">
        <x:v>W03</x:v>
      </x:c>
      <x:c r="C1011" s="26" t="n">
        <x:v>3</x:v>
      </x:c>
      <x:c r="D1011" s="26" t="n">
        <x:v>33</x:v>
      </x:c>
      <x:c r="E1011" s="26" t="n">
        <x:v>33</x:v>
      </x:c>
      <x:c r="F1011" s="26" t="str">
        <x:v>Adrian</x:v>
      </x:c>
      <x:c r="G1011" s="26" t="n">
        <x:v>2005</x:v>
      </x:c>
      <x:c r="H1011" s="25" t="str">
        <x:v>Whatfinancingdatarevealaboutdealerleverage</x:v>
      </x:c>
      <x:c r="I1011" s="25" t="str"/>
      <x:c r="J1011" s="25" t="str"/>
      <x:c r="K1011" s="25" t="str">
        <x:v>prior_manual_sample</x:v>
      </x:c>
      <x:c r="L1011" s="25" t="str">
        <x:v>accepted</x:v>
      </x:c>
      <x:c r="M1011" s="25" t="str">
        <x:v>no</x:v>
      </x:c>
      <x:c r="N1011" s="25" t="str">
        <x:v>saki_research/working_papers/bianchi_bigio_engel_scrambling_dollars_international_liquidity_banks_exchange_rate.pdf</x:v>
      </x:c>
      <x:c r="O1011" s="25" t="str">
        <x:v>Adrian,TobiasandMichaelJFleming,“Whatfinancingdatarevealaboutdealerleverage,” CurrentIssuesinEconomicsandFinance,2005,11(3),1–7.</x:v>
      </x:c>
    </x:row>
    <x:row r="1012" ht="48" customHeight="1">
      <x:c r="A1012" s="24" t="str">
        <x:v>W03-R004</x:v>
      </x:c>
      <x:c r="B1012" s="24" t="str">
        <x:v>W03</x:v>
      </x:c>
      <x:c r="C1012" s="26" t="n">
        <x:v>4</x:v>
      </x:c>
      <x:c r="D1012" s="26" t="n">
        <x:v>33</x:v>
      </x:c>
      <x:c r="E1012" s="26" t="n">
        <x:v>33</x:v>
      </x:c>
      <x:c r="F1012" s="26" t="str">
        <x:v>Adrian</x:v>
      </x:c>
      <x:c r="G1012" s="26" t="n">
        <x:v>2010</x:v>
      </x:c>
      <x:c r="H1012" s="25" t="str">
        <x:v>Riskappetiteandexchangerates</x:v>
      </x:c>
      <x:c r="I1012" s="25" t="str">
        <x:v>inherited_author_notation</x:v>
      </x:c>
      <x:c r="J1012" s="25" t="str"/>
      <x:c r="K1012" s="25" t="str">
        <x:v>automatic_screen_pass</x:v>
      </x:c>
      <x:c r="L1012" s="25" t="str">
        <x:v>accepted</x:v>
      </x:c>
      <x:c r="M1012" s="25" t="str">
        <x:v>no</x:v>
      </x:c>
      <x:c r="N1012" s="25" t="str">
        <x:v>saki_research/working_papers/bianchi_bigio_engel_scrambling_dollars_international_liquidity_banks_exchange_rate.pdf</x:v>
      </x:c>
      <x:c r="O1012" s="25" t="str">
        <x:v>ErkkoEtula,andHyunSongShin,“Riskappetiteandexchangerates,”FRBofNew YorkStaffReport,2010,(361).</x:v>
      </x:c>
    </x:row>
    <x:row r="1013" ht="48" customHeight="1">
      <x:c r="A1013" s="24" t="str">
        <x:v>W03-R005</x:v>
      </x:c>
      <x:c r="B1013" s="24" t="str">
        <x:v>W03</x:v>
      </x:c>
      <x:c r="C1013" s="26" t="n">
        <x:v>5</x:v>
      </x:c>
      <x:c r="D1013" s="26" t="n">
        <x:v>33</x:v>
      </x:c>
      <x:c r="E1013" s="26" t="n">
        <x:v>33</x:v>
      </x:c>
      <x:c r="F1013" s="26" t="str">
        <x:v>Afonso</x:v>
      </x:c>
      <x:c r="G1013" s="26" t="n">
        <x:v>2015</x:v>
      </x:c>
      <x:c r="H1013" s="25" t="str">
        <x:v>Trade Dynamics in the Market for Federal Funds</x:v>
      </x:c>
      <x:c r="I1013" s="25" t="str"/>
      <x:c r="J1013" s="25" t="str"/>
      <x:c r="K1013" s="25" t="str">
        <x:v>automatic_screen_pass</x:v>
      </x:c>
      <x:c r="L1013" s="25" t="str">
        <x:v>accepted</x:v>
      </x:c>
      <x:c r="M1013" s="25" t="str">
        <x:v>no</x:v>
      </x:c>
      <x:c r="N1013" s="25" t="str">
        <x:v>saki_research/working_papers/bianchi_bigio_engel_scrambling_dollars_international_liquidity_banks_exchange_rate.pdf</x:v>
      </x:c>
      <x:c r="O1013" s="25" t="str">
        <x:v>Afonso,GaraandRicardoLagos, “Trade Dynamics in the Market for Federal Funds,” Econometrica,2015,83(1),263–313.</x:v>
      </x:c>
    </x:row>
    <x:row r="1014" ht="48" customHeight="1">
      <x:c r="A1014" s="24" t="str">
        <x:v>W03-R006</x:v>
      </x:c>
      <x:c r="B1014" s="24" t="str">
        <x:v>W03</x:v>
      </x:c>
      <x:c r="C1014" s="26" t="n">
        <x:v>6</x:v>
      </x:c>
      <x:c r="D1014" s="26" t="n">
        <x:v>33</x:v>
      </x:c>
      <x:c r="E1014" s="26" t="n">
        <x:v>33</x:v>
      </x:c>
      <x:c r="F1014" s="26" t="str">
        <x:v>Alvarez</x:v>
      </x:c>
      <x:c r="G1014" s="26" t="n">
        <x:v>2009</x:v>
      </x:c>
      <x:c r="H1014" s="25" t="str">
        <x:v>Time-varyingrisk,interest rates,andexchangeratesingeneralequilibrium</x:v>
      </x:c>
      <x:c r="I1014" s="25" t="str"/>
      <x:c r="J1014" s="25" t="str"/>
      <x:c r="K1014" s="25" t="str">
        <x:v>automatic_screen_pass</x:v>
      </x:c>
      <x:c r="L1014" s="25" t="str">
        <x:v>accepted</x:v>
      </x:c>
      <x:c r="M1014" s="25" t="str">
        <x:v>no</x:v>
      </x:c>
      <x:c r="N1014" s="25" t="str">
        <x:v>saki_research/working_papers/bianchi_bigio_engel_scrambling_dollars_international_liquidity_banks_exchange_rate.pdf</x:v>
      </x:c>
      <x:c r="O1014" s="25" t="str">
        <x:v>Alvarez,Fernando,AndrewAtkeson,andPatrickJKehoe,“Time-varyingrisk,interest rates,andexchangeratesingeneralequilibrium,”TheReviewofEconomicStudies,2009, 76(3),851–878.</x:v>
      </x:c>
    </x:row>
    <x:row r="1015" ht="48" customHeight="1">
      <x:c r="A1015" s="24" t="str">
        <x:v>W03-R007</x:v>
      </x:c>
      <x:c r="B1015" s="24" t="str">
        <x:v>W03</x:v>
      </x:c>
      <x:c r="C1015" s="26" t="n">
        <x:v>7</x:v>
      </x:c>
      <x:c r="D1015" s="26" t="n">
        <x:v>33</x:v>
      </x:c>
      <x:c r="E1015" s="26" t="n">
        <x:v>33</x:v>
      </x:c>
      <x:c r="F1015" s="26" t="str">
        <x:v>Amador</x:v>
      </x:c>
      <x:c r="G1015" s="26" t="n">
        <x:v>2020</x:v>
      </x:c>
      <x:c r="H1015" s="25" t="str">
        <x:v>Exchangeratepolicies atthezerolowerbound</x:v>
      </x:c>
      <x:c r="I1015" s="25" t="str"/>
      <x:c r="J1015" s="25" t="str"/>
      <x:c r="K1015" s="25" t="str">
        <x:v>automatic_screen_pass</x:v>
      </x:c>
      <x:c r="L1015" s="25" t="str">
        <x:v>accepted</x:v>
      </x:c>
      <x:c r="M1015" s="25" t="str">
        <x:v>no</x:v>
      </x:c>
      <x:c r="N1015" s="25" t="str">
        <x:v>saki_research/working_papers/bianchi_bigio_engel_scrambling_dollars_international_liquidity_banks_exchange_rate.pdf</x:v>
      </x:c>
      <x:c r="O1015" s="25" t="str">
        <x:v>Amador,Manuel,JavierBianchi,LuigiBocola,andFabrizioPerri,“Exchangeratepolicies atthezerolowerbound,”TheReviewofEconomicStudies,2020,87(4),1605–1645.</x:v>
      </x:c>
    </x:row>
    <x:row r="1016" ht="48" customHeight="1">
      <x:c r="A1016" s="24" t="str">
        <x:v>W03-R008</x:v>
      </x:c>
      <x:c r="B1016" s="24" t="str">
        <x:v>W03</x:v>
      </x:c>
      <x:c r="C1016" s="26" t="n">
        <x:v>8</x:v>
      </x:c>
      <x:c r="D1016" s="26" t="n">
        <x:v>33</x:v>
      </x:c>
      <x:c r="E1016" s="26" t="n">
        <x:v>33</x:v>
      </x:c>
      <x:c r="F1016" s="26" t="str">
        <x:v>Armantier</x:v>
      </x:c>
      <x:c r="G1016" s="26" t="n">
        <x:v>2024</x:v>
      </x:c>
      <x:c r="H1016" s="25" t="str">
        <x:v>DiscountWindowStigmaAfter the Global Financial Crisis</x:v>
      </x:c>
      <x:c r="I1016" s="25" t="str"/>
      <x:c r="J1016" s="25" t="str"/>
      <x:c r="K1016" s="25" t="str">
        <x:v>prior_manual_sample</x:v>
      </x:c>
      <x:c r="L1016" s="25" t="str">
        <x:v>accepted</x:v>
      </x:c>
      <x:c r="M1016" s="25" t="str">
        <x:v>no</x:v>
      </x:c>
      <x:c r="N1016" s="25" t="str">
        <x:v>saki_research/working_papers/bianchi_bigio_engel_scrambling_dollars_international_liquidity_banks_exchange_rate.pdf</x:v>
      </x:c>
      <x:c r="O1016" s="25" t="str">
        <x:v>Armantier,Olivier,MarcoCipriani,andAsaniSarkar,“DiscountWindowStigmaAfter the Global Financial Crisis,” Staff Reports 1137, Federal Reserve Bank of New York November2024.</x:v>
      </x:c>
    </x:row>
    <x:row r="1017" ht="48" customHeight="1">
      <x:c r="A1017" s="24" t="str">
        <x:v>W03-R009</x:v>
      </x:c>
      <x:c r="B1017" s="24" t="str">
        <x:v>W03</x:v>
      </x:c>
      <x:c r="C1017" s="26" t="n">
        <x:v>9</x:v>
      </x:c>
      <x:c r="D1017" s="26" t="n">
        <x:v>34</x:v>
      </x:c>
      <x:c r="E1017" s="26" t="n">
        <x:v>34</x:v>
      </x:c>
      <x:c r="F1017" s="26" t="str">
        <x:v>Ashcraft</x:v>
      </x:c>
      <x:c r="G1017" s="26" t="n">
        <x:v>2007</x:v>
      </x:c>
      <x:c r="H1017" s="25" t="str">
        <x:v>SystemicIlliquidityintheFederalFundsMarket</x:v>
      </x:c>
      <x:c r="I1017" s="25" t="str"/>
      <x:c r="J1017" s="25" t="str"/>
      <x:c r="K1017" s="25" t="str">
        <x:v>automatic_screen_pass</x:v>
      </x:c>
      <x:c r="L1017" s="25" t="str">
        <x:v>accepted</x:v>
      </x:c>
      <x:c r="M1017" s="25" t="str">
        <x:v>no</x:v>
      </x:c>
      <x:c r="N1017" s="25" t="str">
        <x:v>saki_research/working_papers/bianchi_bigio_engel_scrambling_dollars_international_liquidity_banks_exchange_rate.pdf</x:v>
      </x:c>
      <x:c r="O1017" s="25" t="str">
        <x:v>Ashcraft,AdamB.andDarrellDuffie,“SystemicIlliquidityintheFederalFundsMarket,” AmericanEconomicReview,2007,97(2),221–225.</x:v>
      </x:c>
    </x:row>
    <x:row r="1018" ht="48" customHeight="1">
      <x:c r="A1018" s="24" t="str">
        <x:v>W03-R010</x:v>
      </x:c>
      <x:c r="B1018" s="24" t="str">
        <x:v>W03</x:v>
      </x:c>
      <x:c r="C1018" s="26" t="n">
        <x:v>10</x:v>
      </x:c>
      <x:c r="D1018" s="26" t="n">
        <x:v>34</x:v>
      </x:c>
      <x:c r="E1018" s="26" t="n">
        <x:v>34</x:v>
      </x:c>
      <x:c r="F1018" s="26" t="str">
        <x:v>Atkeson</x:v>
      </x:c>
      <x:c r="G1018" s="26" t="n">
        <x:v>2015</x:v>
      </x:c>
      <x:c r="H1018" s="25" t="str">
        <x:v>EntryandExitin OTCDerivativesMarkets</x:v>
      </x:c>
      <x:c r="I1018" s="25" t="str"/>
      <x:c r="J1018" s="25" t="str"/>
      <x:c r="K1018" s="25" t="str">
        <x:v>automatic_screen_pass</x:v>
      </x:c>
      <x:c r="L1018" s="25" t="str">
        <x:v>accepted</x:v>
      </x:c>
      <x:c r="M1018" s="25" t="str">
        <x:v>no</x:v>
      </x:c>
      <x:c r="N1018" s="25" t="str">
        <x:v>saki_research/working_papers/bianchi_bigio_engel_scrambling_dollars_international_liquidity_banks_exchange_rate.pdf</x:v>
      </x:c>
      <x:c r="O1018" s="25" t="str">
        <x:v>Atkeson,AndrewG.,AndreaL.Eisfeldt,andPierre-OlivierWeill,“EntryandExitin OTCDerivativesMarkets,”Econometrica,2015,83(6),2231–2292.</x:v>
      </x:c>
    </x:row>
    <x:row r="1019" ht="48" customHeight="1">
      <x:c r="A1019" s="24" t="str">
        <x:v>W03-R011</x:v>
      </x:c>
      <x:c r="B1019" s="24" t="str">
        <x:v>W03</x:v>
      </x:c>
      <x:c r="C1019" s="26" t="n">
        <x:v>11</x:v>
      </x:c>
      <x:c r="D1019" s="26" t="n">
        <x:v>34</x:v>
      </x:c>
      <x:c r="E1019" s="26" t="n">
        <x:v>34</x:v>
      </x:c>
      <x:c r="F1019" s="26" t="str">
        <x:v>Bacchetta</x:v>
      </x:c>
      <x:c r="G1019" s="26" t="n">
        <x:v>2010</x:v>
      </x:c>
      <x:c r="H1019" s="25" t="str">
        <x:v>Infrequentportfoliodecisions: Asolutionto theforwarddiscountpuzzle</x:v>
      </x:c>
      <x:c r="I1019" s="25" t="str"/>
      <x:c r="J1019" s="25" t="str"/>
      <x:c r="K1019" s="25" t="str">
        <x:v>automatic_screen_pass</x:v>
      </x:c>
      <x:c r="L1019" s="25" t="str">
        <x:v>accepted</x:v>
      </x:c>
      <x:c r="M1019" s="25" t="str">
        <x:v>no</x:v>
      </x:c>
      <x:c r="N1019" s="25" t="str">
        <x:v>saki_research/working_papers/bianchi_bigio_engel_scrambling_dollars_international_liquidity_banks_exchange_rate.pdf</x:v>
      </x:c>
      <x:c r="O1019" s="25" t="str">
        <x:v>Bacchetta,PhilippeandEricVanWincoop,“Infrequentportfoliodecisions: Asolutionto theforwarddiscountpuzzle,”AmericanEconomicReview,2010,100(3),870–904.</x:v>
      </x:c>
    </x:row>
    <x:row r="1020" ht="48" customHeight="1">
      <x:c r="A1020" s="24" t="str">
        <x:v>W03-R012</x:v>
      </x:c>
      <x:c r="B1020" s="24" t="str">
        <x:v>W03</x:v>
      </x:c>
      <x:c r="C1020" s="26" t="n">
        <x:v>12</x:v>
      </x:c>
      <x:c r="D1020" s="26" t="n">
        <x:v>34</x:v>
      </x:c>
      <x:c r="E1020" s="26" t="n">
        <x:v>34</x:v>
      </x:c>
      <x:c r="F1020" s="26" t="str">
        <x:v>Bansal</x:v>
      </x:c>
      <x:c r="G1020" s="26" t="n">
        <x:v>2013</x:v>
      </x:c>
      <x:c r="H1020" s="25" t="str">
        <x:v>A long-run risks explanation of predictability puzzlesinbondandcurrencymarkets</x:v>
      </x:c>
      <x:c r="I1020" s="25" t="str"/>
      <x:c r="J1020" s="25" t="str"/>
      <x:c r="K1020" s="25" t="str">
        <x:v>prior_manual_sample</x:v>
      </x:c>
      <x:c r="L1020" s="25" t="str">
        <x:v>accepted</x:v>
      </x:c>
      <x:c r="M1020" s="25" t="str">
        <x:v>no</x:v>
      </x:c>
      <x:c r="N1020" s="25" t="str">
        <x:v>saki_research/working_papers/bianchi_bigio_engel_scrambling_dollars_international_liquidity_banks_exchange_rate.pdf</x:v>
      </x:c>
      <x:c r="O1020" s="25" t="str">
        <x:v>Bansal, Ravi and Ivan Shaliastovich, “A long-run risks explanation of predictability puzzlesinbondandcurrencymarkets,”TheReviewofFinancialStudies,2013,26(1),1–33.</x:v>
      </x:c>
    </x:row>
    <x:row r="1021" ht="48" customHeight="1">
      <x:c r="A1021" s="24" t="str">
        <x:v>W03-R013</x:v>
      </x:c>
      <x:c r="B1021" s="24" t="str">
        <x:v>W03</x:v>
      </x:c>
      <x:c r="C1021" s="26" t="n">
        <x:v>13</x:v>
      </x:c>
      <x:c r="D1021" s="26" t="n">
        <x:v>34</x:v>
      </x:c>
      <x:c r="E1021" s="26" t="n">
        <x:v>34</x:v>
      </x:c>
      <x:c r="F1021" s="26" t="str">
        <x:v>Bianchi</x:v>
      </x:c>
      <x:c r="G1021" s="26" t="n">
        <x:v>2022</x:v>
      </x:c>
      <x:c r="H1021" s="25" t="str">
        <x:v>Banks, liquidity management, and monetary policy</x:v>
      </x:c>
      <x:c r="I1021" s="25" t="str"/>
      <x:c r="J1021" s="25" t="str"/>
      <x:c r="K1021" s="25" t="str">
        <x:v>automatic_screen_pass</x:v>
      </x:c>
      <x:c r="L1021" s="25" t="str">
        <x:v>accepted</x:v>
      </x:c>
      <x:c r="M1021" s="25" t="str">
        <x:v>no</x:v>
      </x:c>
      <x:c r="N1021" s="25" t="str">
        <x:v>saki_research/working_papers/bianchi_bigio_engel_scrambling_dollars_international_liquidity_banks_exchange_rate.pdf</x:v>
      </x:c>
      <x:c r="O1021" s="25" t="str">
        <x:v>Bianchi,JavierandSakiBigio, “Banks, liquidity management, and monetary policy,” Econometrica,2022,90(1),391–454.</x:v>
      </x:c>
    </x:row>
    <x:row r="1022" ht="48" customHeight="1">
      <x:c r="A1022" s="24" t="str">
        <x:v>W03-R014</x:v>
      </x:c>
      <x:c r="B1022" s="24" t="str">
        <x:v>W03</x:v>
      </x:c>
      <x:c r="C1022" s="26" t="n">
        <x:v>14</x:v>
      </x:c>
      <x:c r="D1022" s="26" t="n">
        <x:v>34</x:v>
      </x:c>
      <x:c r="E1022" s="26" t="n">
        <x:v>34</x:v>
      </x:c>
      <x:c r="F1022" s="26" t="str">
        <x:v>Bianchi</x:v>
      </x:c>
      <x:c r="G1022" s="26" t="n">
        <x:v>2024</x:v>
      </x:c>
      <x:c r="H1022" s="25" t="str">
        <x:v>PortfolioTheorywithSettlementFrictions</x:v>
      </x:c>
      <x:c r="I1022" s="25" t="str">
        <x:v>inherited_author_notation</x:v>
      </x:c>
      <x:c r="J1022" s="25" t="str"/>
      <x:c r="K1022" s="25" t="str">
        <x:v>automatic_screen_pass</x:v>
      </x:c>
      <x:c r="L1022" s="25" t="str">
        <x:v>accepted</x:v>
      </x:c>
      <x:c r="M1022" s="25" t="str">
        <x:v>no</x:v>
      </x:c>
      <x:c r="N1022" s="25" t="str">
        <x:v>saki_research/working_papers/bianchi_bigio_engel_scrambling_dollars_international_liquidity_banks_exchange_rate.pdf</x:v>
      </x:c>
      <x:c r="O1022" s="25" t="str">
        <x:v>and , “PortfolioTheorywithSettlementFrictions,” 2024.</x:v>
      </x:c>
    </x:row>
    <x:row r="1023" ht="48" customHeight="1">
      <x:c r="A1023" s="24" t="str">
        <x:v>W03-R015</x:v>
      </x:c>
      <x:c r="B1023" s="24" t="str">
        <x:v>W03</x:v>
      </x:c>
      <x:c r="C1023" s="26" t="n">
        <x:v>15</x:v>
      </x:c>
      <x:c r="D1023" s="26" t="n">
        <x:v>34</x:v>
      </x:c>
      <x:c r="E1023" s="26" t="n">
        <x:v>34</x:v>
      </x:c>
      <x:c r="F1023" s="26" t="str">
        <x:v>Bohorquez</x:v>
      </x:c>
      <x:c r="G1023" s="26" t="n">
        <x:v>2023</x:v>
      </x:c>
      <x:c r="H1023" s="25" t="str">
        <x:v>TheDollarandGlobalFinancialCollapse</x:v>
      </x:c>
      <x:c r="I1023" s="25" t="str"/>
      <x:c r="J1023" s="25" t="str"/>
      <x:c r="K1023" s="25" t="str">
        <x:v>prior_manual_sample</x:v>
      </x:c>
      <x:c r="L1023" s="25" t="str">
        <x:v>accepted</x:v>
      </x:c>
      <x:c r="M1023" s="25" t="str">
        <x:v>no</x:v>
      </x:c>
      <x:c r="N1023" s="25" t="str">
        <x:v>saki_research/working_papers/bianchi_bigio_engel_scrambling_dollars_international_liquidity_banks_exchange_rate.pdf</x:v>
      </x:c>
      <x:c r="O1023" s="25" t="str">
        <x:v>Bohorquez,Diego,“TheDollarandGlobalFinancialCollapse,”2023. Mimeo,CREI.</x:v>
      </x:c>
    </x:row>
    <x:row r="1024" ht="48" customHeight="1">
      <x:c r="A1024" s="24" t="str">
        <x:v>W03-R016</x:v>
      </x:c>
      <x:c r="B1024" s="24" t="str">
        <x:v>W03</x:v>
      </x:c>
      <x:c r="C1024" s="26" t="n">
        <x:v>16</x:v>
      </x:c>
      <x:c r="D1024" s="26" t="n">
        <x:v>34</x:v>
      </x:c>
      <x:c r="E1024" s="26" t="n">
        <x:v>34</x:v>
      </x:c>
      <x:c r="F1024" s="26" t="str">
        <x:v>Brunnermeier</x:v>
      </x:c>
      <x:c r="G1024" s="26" t="n">
        <x:v>2008</x:v>
      </x:c>
      <x:c r="H1024" s="25" t="str">
        <x:v>Carrytradesandcurrencycrashes</x:v>
      </x:c>
      <x:c r="I1024" s="25" t="str"/>
      <x:c r="J1024" s="25" t="str"/>
      <x:c r="K1024" s="25" t="str">
        <x:v>prior_manual_sample</x:v>
      </x:c>
      <x:c r="L1024" s="25" t="str">
        <x:v>accepted</x:v>
      </x:c>
      <x:c r="M1024" s="25" t="str">
        <x:v>no</x:v>
      </x:c>
      <x:c r="N1024" s="25" t="str">
        <x:v>saki_research/working_papers/bianchi_bigio_engel_scrambling_dollars_international_liquidity_banks_exchange_rate.pdf</x:v>
      </x:c>
      <x:c r="O1024" s="25" t="str">
        <x:v>Brunnermeier,MarkusK,StefanNagel,andLasseHPedersen,“Carrytradesandcurrencycrashes,”NBERmacroeconomicsannual,2008,23(1),313–348.</x:v>
      </x:c>
    </x:row>
    <x:row r="1025" ht="48" customHeight="1">
      <x:c r="A1025" s="24" t="str">
        <x:v>W03-R017</x:v>
      </x:c>
      <x:c r="B1025" s="24" t="str">
        <x:v>W03</x:v>
      </x:c>
      <x:c r="C1025" s="26" t="n">
        <x:v>17</x:v>
      </x:c>
      <x:c r="D1025" s="26" t="n">
        <x:v>34</x:v>
      </x:c>
      <x:c r="E1025" s="26" t="n">
        <x:v>34</x:v>
      </x:c>
      <x:c r="F1025" s="26" t="str">
        <x:v>Colacito</x:v>
      </x:c>
      <x:c r="G1025" s="26" t="n">
        <x:v>2018</x:v>
      </x:c>
      <x:c r="H1025" s="25" t="str">
        <x:v>BKKtheEZway: International long-run growth news and capital flows</x:v>
      </x:c>
      <x:c r="I1025" s="25" t="str"/>
      <x:c r="J1025" s="25" t="str"/>
      <x:c r="K1025" s="25" t="str">
        <x:v>automatic_screen_pass</x:v>
      </x:c>
      <x:c r="L1025" s="25" t="str">
        <x:v>accepted</x:v>
      </x:c>
      <x:c r="M1025" s="25" t="str">
        <x:v>no</x:v>
      </x:c>
      <x:c r="N1025" s="25" t="str">
        <x:v>saki_research/working_papers/bianchi_bigio_engel_scrambling_dollars_international_liquidity_banks_exchange_rate.pdf</x:v>
      </x:c>
      <x:c r="O1025" s="25" t="str">
        <x:v>Colacito,Ric,MaxCroce,StevenHo,andPhilipHoward,“BKKtheEZway: International long-run growth news and capital flows,”American Economic Review, 2018, 108 (11), 3416–49.</x:v>
      </x:c>
    </x:row>
    <x:row r="1026" ht="48" customHeight="1">
      <x:c r="A1026" s="24" t="str">
        <x:v>W03-R018</x:v>
      </x:c>
      <x:c r="B1026" s="24" t="str">
        <x:v>W03</x:v>
      </x:c>
      <x:c r="C1026" s="26" t="n">
        <x:v>18</x:v>
      </x:c>
      <x:c r="D1026" s="26" t="n">
        <x:v>34</x:v>
      </x:c>
      <x:c r="E1026" s="26" t="n">
        <x:v>34</x:v>
      </x:c>
      <x:c r="F1026" s="26" t="str">
        <x:v>Colacito</x:v>
      </x:c>
      <x:c r="G1026" s="26" t="n">
        <x:v>2011</x:v>
      </x:c>
      <x:c r="H1026" s="25" t="str">
        <x:v>Risksforthelongrunandtherealexchange rate</x:v>
      </x:c>
      <x:c r="I1026" s="25" t="str"/>
      <x:c r="J1026" s="25" t="str"/>
      <x:c r="K1026" s="25" t="str">
        <x:v>automatic_screen_pass</x:v>
      </x:c>
      <x:c r="L1026" s="25" t="str">
        <x:v>accepted</x:v>
      </x:c>
      <x:c r="M1026" s="25" t="str">
        <x:v>no</x:v>
      </x:c>
      <x:c r="N1026" s="25" t="str">
        <x:v>saki_research/working_papers/bianchi_bigio_engel_scrambling_dollars_international_liquidity_banks_exchange_rate.pdf</x:v>
      </x:c>
      <x:c r="O1026" s="25" t="str">
        <x:v>Colacito,RiccardoandMarianoMCroce,“Risksforthelongrunandtherealexchange rate,”JournalofPoliticalEconomy,2011,119(1),153–181.</x:v>
      </x:c>
    </x:row>
    <x:row r="1027" ht="48" customHeight="1">
      <x:c r="A1027" s="24" t="str">
        <x:v>W03-R019</x:v>
      </x:c>
      <x:c r="B1027" s="24" t="str">
        <x:v>W03</x:v>
      </x:c>
      <x:c r="C1027" s="26" t="n">
        <x:v>19</x:v>
      </x:c>
      <x:c r="D1027" s="26" t="n">
        <x:v>34</x:v>
      </x:c>
      <x:c r="E1027" s="26" t="n">
        <x:v>34</x:v>
      </x:c>
      <x:c r="F1027" s="26" t="str">
        <x:v>Copeland</x:v>
      </x:c>
      <x:c r="G1027" s="26" t="n">
        <x:v>2024</x:v>
      </x:c>
      <x:c r="H1027" s="25" t="str">
        <x:v>Reserveswerenotsoampleafterall</x:v>
      </x:c>
      <x:c r="I1027" s="25" t="str"/>
      <x:c r="J1027" s="25" t="str"/>
      <x:c r="K1027" s="25" t="str">
        <x:v>automatic_screen_pass</x:v>
      </x:c>
      <x:c r="L1027" s="25" t="str">
        <x:v>accepted</x:v>
      </x:c>
      <x:c r="M1027" s="25" t="str">
        <x:v>no</x:v>
      </x:c>
      <x:c r="N1027" s="25" t="str">
        <x:v>saki_research/working_papers/bianchi_bigio_engel_scrambling_dollars_international_liquidity_banks_exchange_rate.pdf</x:v>
      </x:c>
      <x:c r="O1027" s="25" t="str">
        <x:v>Copeland,Adam,DarrellDuffie,andYilinYang,“Reserveswerenotsoampleafterall,” TheQuarterlyJournalofEconomics,2024,p.qjae034.</x:v>
      </x:c>
    </x:row>
    <x:row r="1028" ht="48" customHeight="1">
      <x:c r="A1028" s="24" t="str">
        <x:v>W03-R020</x:v>
      </x:c>
      <x:c r="B1028" s="24" t="str">
        <x:v>W03</x:v>
      </x:c>
      <x:c r="C1028" s="26" t="n">
        <x:v>20</x:v>
      </x:c>
      <x:c r="D1028" s="26" t="n">
        <x:v>34</x:v>
      </x:c>
      <x:c r="E1028" s="26" t="n">
        <x:v>34</x:v>
      </x:c>
      <x:c r="F1028" s="26" t="str">
        <x:v>Coppola</x:v>
      </x:c>
      <x:c r="G1028" s="26" t="n">
        <x:v>2023</x:v>
      </x:c>
      <x:c r="H1028" s="25" t="str">
        <x:v>Liquidity,debtdenomination,andcurrencydominance</x:v>
      </x:c>
      <x:c r="I1028" s="25" t="str"/>
      <x:c r="J1028" s="25" t="str"/>
      <x:c r="K1028" s="25" t="str">
        <x:v>automatic_screen_pass</x:v>
      </x:c>
      <x:c r="L1028" s="25" t="str">
        <x:v>accepted</x:v>
      </x:c>
      <x:c r="M1028" s="25" t="str">
        <x:v>no</x:v>
      </x:c>
      <x:c r="N1028" s="25" t="str">
        <x:v>saki_research/working_papers/bianchi_bigio_engel_scrambling_dollars_international_liquidity_banks_exchange_rate.pdf</x:v>
      </x:c>
      <x:c r="O1028" s="25" t="str">
        <x:v>Coppola,Antonio,ArvindKrishnamurthy,andChenziXu,“Liquidity,debtdenomination,andcurrencydominance,”2023. NationalBureauofEconomicResearch.</x:v>
      </x:c>
    </x:row>
    <x:row r="1029" ht="48" customHeight="1">
      <x:c r="A1029" s="24" t="str">
        <x:v>W03-R021</x:v>
      </x:c>
      <x:c r="B1029" s="24" t="str">
        <x:v>W03</x:v>
      </x:c>
      <x:c r="C1029" s="26" t="n">
        <x:v>21</x:v>
      </x:c>
      <x:c r="D1029" s="26" t="n">
        <x:v>35</x:v>
      </x:c>
      <x:c r="E1029" s="26" t="n">
        <x:v>35</x:v>
      </x:c>
      <x:c r="F1029" s="26" t="str">
        <x:v>Dadej</x:v>
      </x:c>
      <x:c r="G1029" s="26" t="n">
        <x:v>2023</x:v>
      </x:c>
      <x:c r="H1029" s="25" t="str">
        <x:v>MarSwitching.jl: AJuliapackageforMarkovSwitchingDynamicModels</x:v>
      </x:c>
      <x:c r="I1029" s="25" t="str"/>
      <x:c r="J1029" s="25" t="str"/>
      <x:c r="K1029" s="25" t="str">
        <x:v>automatic_screen_pass</x:v>
      </x:c>
      <x:c r="L1029" s="25" t="str">
        <x:v>accepted</x:v>
      </x:c>
      <x:c r="M1029" s="25" t="str">
        <x:v>no</x:v>
      </x:c>
      <x:c r="N1029" s="25" t="str">
        <x:v>saki_research/working_papers/bianchi_bigio_engel_scrambling_dollars_international_liquidity_banks_exchange_rate.pdf</x:v>
      </x:c>
      <x:c r="O1029" s="25" t="str">
        <x:v>Dadej,Mateusz,“MarSwitching.jl: AJuliapackageforMarkovSwitchingDynamicModels,”AvailableatSSRN4638279,2023.</x:v>
      </x:c>
    </x:row>
    <x:row r="1030" ht="48" customHeight="1">
      <x:c r="A1030" s="24" t="str">
        <x:v>W03-R022</x:v>
      </x:c>
      <x:c r="B1030" s="24" t="str">
        <x:v>W03</x:v>
      </x:c>
      <x:c r="C1030" s="26" t="n">
        <x:v>22</x:v>
      </x:c>
      <x:c r="D1030" s="26" t="n">
        <x:v>35</x:v>
      </x:c>
      <x:c r="E1030" s="26" t="n">
        <x:v>35</x:v>
      </x:c>
      <x:c r="F1030" s="26" t="str">
        <x:v>Davies</x:v>
      </x:c>
      <x:c r="G1030" s="26" t="n">
        <x:v>2020</x:v>
      </x:c>
      <x:c r="H1030" s="25" t="str">
        <x:v>USdollarfunding: aninternationalperspective</x:v>
      </x:c>
      <x:c r="I1030" s="25" t="str"/>
      <x:c r="J1030" s="25" t="str"/>
      <x:c r="K1030" s="25" t="str">
        <x:v>automatic_screen_pass</x:v>
      </x:c>
      <x:c r="L1030" s="25" t="str">
        <x:v>accepted</x:v>
      </x:c>
      <x:c r="M1030" s="25" t="str">
        <x:v>no</x:v>
      </x:c>
      <x:c r="N1030" s="25" t="str">
        <x:v>saki_research/working_papers/bianchi_bigio_engel_scrambling_dollars_international_liquidity_banks_exchange_rate.pdf</x:v>
      </x:c>
      <x:c r="O1030" s="25" t="str">
        <x:v>Davies,SallyandChristopherKent,“USdollarfunding: aninternationalperspective,” CGFSPapers,2020,No65.</x:v>
      </x:c>
    </x:row>
    <x:row r="1031" ht="48" customHeight="1">
      <x:c r="A1031" s="24" t="str">
        <x:v>W03-R023</x:v>
      </x:c>
      <x:c r="B1031" s="24" t="str">
        <x:v>W03</x:v>
      </x:c>
      <x:c r="C1031" s="26" t="n">
        <x:v>23</x:v>
      </x:c>
      <x:c r="D1031" s="26" t="n">
        <x:v>35</x:v>
      </x:c>
      <x:c r="E1031" s="26" t="n">
        <x:v>35</x:v>
      </x:c>
      <x:c r="F1031" s="26" t="str">
        <x:v>Diamond</x:v>
      </x:c>
      <x:c r="G1031" s="26" t="n">
        <x:v>2022</x:v>
      </x:c>
      <x:c r="H1031" s="25" t="str">
        <x:v>Risk-FreeRatesandConvenienceYieldsaround theWorld</x:v>
      </x:c>
      <x:c r="I1031" s="25" t="str"/>
      <x:c r="J1031" s="25" t="str"/>
      <x:c r="K1031" s="25" t="str">
        <x:v>automatic_screen_pass</x:v>
      </x:c>
      <x:c r="L1031" s="25" t="str">
        <x:v>accepted</x:v>
      </x:c>
      <x:c r="M1031" s="25" t="str">
        <x:v>no</x:v>
      </x:c>
      <x:c r="N1031" s="25" t="str">
        <x:v>saki_research/working_papers/bianchi_bigio_engel_scrambling_dollars_international_liquidity_banks_exchange_rate.pdf</x:v>
      </x:c>
      <x:c r="O1031" s="25" t="str">
        <x:v>Diamond,WilliamandPeterVanTassel,“Risk-FreeRatesandConvenienceYieldsaround theWorld,”2022. FederalReserveBankofNewYorkStaffReports,no.1032.</x:v>
      </x:c>
    </x:row>
    <x:row r="1032" ht="48" customHeight="1">
      <x:c r="A1032" s="24" t="str">
        <x:v>W03-R024</x:v>
      </x:c>
      <x:c r="B1032" s="24" t="str">
        <x:v>W03</x:v>
      </x:c>
      <x:c r="C1032" s="26" t="n">
        <x:v>24</x:v>
      </x:c>
      <x:c r="D1032" s="26" t="n">
        <x:v>35</x:v>
      </x:c>
      <x:c r="E1032" s="26" t="n">
        <x:v>35</x:v>
      </x:c>
      <x:c r="F1032" s="26" t="str">
        <x:v>Du</x:v>
      </x:c>
      <x:c r="G1032" s="26" t="n">
        <x:v>2018</x:v>
      </x:c>
      <x:c r="H1032" s="25" t="str">
        <x:v>Deviationsfromcoveredinterest rateparity</x:v>
      </x:c>
      <x:c r="I1032" s="25" t="str"/>
      <x:c r="J1032" s="25" t="str"/>
      <x:c r="K1032" s="25" t="str">
        <x:v>automatic_screen_pass</x:v>
      </x:c>
      <x:c r="L1032" s="25" t="str">
        <x:v>accepted</x:v>
      </x:c>
      <x:c r="M1032" s="25" t="str">
        <x:v>no</x:v>
      </x:c>
      <x:c r="N1032" s="25" t="str">
        <x:v>saki_research/working_papers/bianchi_bigio_engel_scrambling_dollars_international_liquidity_banks_exchange_rate.pdf</x:v>
      </x:c>
      <x:c r="O1032" s="25" t="str">
        <x:v>Du,Wenxin,AlexanderTepper,andAdrienVerdelhan,“Deviationsfromcoveredinterest rateparity,”TheJournalofFinance,2018,73(3),915–957.</x:v>
      </x:c>
    </x:row>
    <x:row r="1033" ht="48" customHeight="1">
      <x:c r="A1033" s="24" t="str">
        <x:v>W03-R025</x:v>
      </x:c>
      <x:c r="B1033" s="24" t="str">
        <x:v>W03</x:v>
      </x:c>
      <x:c r="C1033" s="26" t="n">
        <x:v>25</x:v>
      </x:c>
      <x:c r="D1033" s="26" t="n">
        <x:v>35</x:v>
      </x:c>
      <x:c r="E1033" s="26" t="n">
        <x:v>35</x:v>
      </x:c>
      <x:c r="F1033" s="26" t="str">
        <x:v>Engel</x:v>
      </x:c>
      <x:c r="G1033" s="26" t="n">
        <x:v>1996</x:v>
      </x:c>
      <x:c r="H1033" s="25" t="str">
        <x:v>Theforwarddiscountanomalyandtheriskpremium: Asurveyofrecent evidence</x:v>
      </x:c>
      <x:c r="I1033" s="25" t="str"/>
      <x:c r="J1033" s="25" t="str"/>
      <x:c r="K1033" s="25" t="str">
        <x:v>automatic_screen_pass</x:v>
      </x:c>
      <x:c r="L1033" s="25" t="str">
        <x:v>accepted</x:v>
      </x:c>
      <x:c r="M1033" s="25" t="str">
        <x:v>no</x:v>
      </x:c>
      <x:c r="N1033" s="25" t="str">
        <x:v>saki_research/working_papers/bianchi_bigio_engel_scrambling_dollars_international_liquidity_banks_exchange_rate.pdf</x:v>
      </x:c>
      <x:c r="O1033" s="25" t="str">
        <x:v>Engel,Charles,“Theforwarddiscountanomalyandtheriskpremium: Asurveyofrecent evidence,”JournalofEmpiricalFinance,June1996,3(2),123–192.</x:v>
      </x:c>
    </x:row>
    <x:row r="1034" ht="48" customHeight="1">
      <x:c r="A1034" s="24" t="str">
        <x:v>W03-R026</x:v>
      </x:c>
      <x:c r="B1034" s="24" t="str">
        <x:v>W03</x:v>
      </x:c>
      <x:c r="C1034" s="26" t="n">
        <x:v>26</x:v>
      </x:c>
      <x:c r="D1034" s="26" t="n">
        <x:v>35</x:v>
      </x:c>
      <x:c r="E1034" s="26" t="n">
        <x:v>35</x:v>
      </x:c>
      <x:c r="F1034" s="26" t="str">
        <x:v>Engel</x:v>
      </x:c>
      <x:c r="G1034" s="26" t="n">
        <x:v>2014</x:v>
      </x:c>
      <x:c r="H1034" s="25" t="str">
        <x:v>Exchangeratesandinterestparity</x:v>
      </x:c>
      <x:c r="I1034" s="25" t="str">
        <x:v>inherited_author_notation</x:v>
      </x:c>
      <x:c r="J1034" s="25" t="str">
        <x:v>exhaustive_ai_audit_2026-09-17</x:v>
      </x:c>
      <x:c r="K1034" s="25" t="str">
        <x:v>exhaustive_visual_correction</x:v>
      </x:c>
      <x:c r="L1034" s="25" t="str">
        <x:v>corrected</x:v>
      </x:c>
      <x:c r="M1034" s="25" t="str">
        <x:v>sí</x:v>
      </x:c>
      <x:c r="N1034" s="25" t="str">
        <x:v>saki_research/working_papers/bianchi_bigio_engel_scrambling_dollars_international_liquidity_banks_exchange_rate.pdf</x:v>
      </x:c>
      <x:c r="O1034" s="25" t="str">
        <x:v>,“Exchangeratesandinterestparity,”in“HandbookofInternationalEconomics,”Vol.4, Elsevier,2014,pp.453–522.</x:v>
      </x:c>
    </x:row>
    <x:row r="1035" ht="48" customHeight="1">
      <x:c r="A1035" s="24" t="str">
        <x:v>W03-R027</x:v>
      </x:c>
      <x:c r="B1035" s="24" t="str">
        <x:v>W03</x:v>
      </x:c>
      <x:c r="C1035" s="26" t="n">
        <x:v>27</x:v>
      </x:c>
      <x:c r="D1035" s="26" t="n">
        <x:v>35</x:v>
      </x:c>
      <x:c r="E1035" s="26" t="n">
        <x:v>35</x:v>
      </x:c>
      <x:c r="F1035" s="26" t="str">
        <x:v>Engel</x:v>
      </x:c>
      <x:c r="G1035" s="26" t="n">
        <x:v>2016</x:v>
      </x:c>
      <x:c r="H1035" s="25" t="str">
        <x:v>Exchangerates,interestrates,andtheriskpremium</x:v>
      </x:c>
      <x:c r="I1035" s="25" t="str">
        <x:v>inherited_author_notation</x:v>
      </x:c>
      <x:c r="J1035" s="25" t="str">
        <x:v>exhaustive_ai_audit_2026-09-17</x:v>
      </x:c>
      <x:c r="K1035" s="25" t="str">
        <x:v>exhaustive_visual_correction</x:v>
      </x:c>
      <x:c r="L1035" s="25" t="str">
        <x:v>corrected</x:v>
      </x:c>
      <x:c r="M1035" s="25" t="str">
        <x:v>no</x:v>
      </x:c>
      <x:c r="N1035" s="25" t="str">
        <x:v>saki_research/working_papers/bianchi_bigio_engel_scrambling_dollars_international_liquidity_banks_exchange_rate.pdf</x:v>
      </x:c>
      <x:c r="O1035" s="25" t="str">
        <x:v>,“Exchangerates,interestrates,andtheriskpremium,”AmericanEconomicReview,2016, 106(2),436–74.</x:v>
      </x:c>
    </x:row>
    <x:row r="1036" ht="48" customHeight="1">
      <x:c r="A1036" s="24" t="str">
        <x:v>W03-R028</x:v>
      </x:c>
      <x:c r="B1036" s="24" t="str">
        <x:v>W03</x:v>
      </x:c>
      <x:c r="C1036" s="26" t="n">
        <x:v>28</x:v>
      </x:c>
      <x:c r="D1036" s="26" t="n">
        <x:v>35</x:v>
      </x:c>
      <x:c r="E1036" s="26" t="n">
        <x:v>35</x:v>
      </x:c>
      <x:c r="F1036" s="26" t="str">
        <x:v>Engel</x:v>
      </x:c>
      <x:c r="G1036" s="26" t="n">
        <x:v>2023</x:v>
      </x:c>
      <x:c r="H1036" s="25" t="str">
        <x:v>Liquidityandexchangerates: Anempiricalinvestigation</x:v>
      </x:c>
      <x:c r="I1036" s="25" t="str">
        <x:v>inherited_author_notation</x:v>
      </x:c>
      <x:c r="J1036" s="25" t="str">
        <x:v>exhaustive_ai_audit_2026-09-17</x:v>
      </x:c>
      <x:c r="K1036" s="25" t="str">
        <x:v>exhaustive_visual_correction</x:v>
      </x:c>
      <x:c r="L1036" s="25" t="str">
        <x:v>corrected</x:v>
      </x:c>
      <x:c r="M1036" s="25" t="str">
        <x:v>no</x:v>
      </x:c>
      <x:c r="N1036" s="25" t="str">
        <x:v>saki_research/working_papers/bianchi_bigio_engel_scrambling_dollars_international_liquidity_banks_exchange_rate.pdf</x:v>
      </x:c>
      <x:c r="O1036" s="25" t="str">
        <x:v>andStevePakYeungWu,“Liquidityandexchangerates: Anempiricalinvestigation,” TheReviewofEconomicStudies,2023,90(5),2395–2438.</x:v>
      </x:c>
    </x:row>
    <x:row r="1037" ht="48" customHeight="1">
      <x:c r="A1037" s="24" t="str">
        <x:v>W03-R029</x:v>
      </x:c>
      <x:c r="B1037" s="24" t="str">
        <x:v>W03</x:v>
      </x:c>
      <x:c r="C1037" s="26" t="n">
        <x:v>29</x:v>
      </x:c>
      <x:c r="D1037" s="26" t="n">
        <x:v>35</x:v>
      </x:c>
      <x:c r="E1037" s="26" t="n">
        <x:v>35</x:v>
      </x:c>
      <x:c r="F1037" s="26" t="str">
        <x:v>Fama</x:v>
      </x:c>
      <x:c r="G1037" s="26" t="n">
        <x:v>1984</x:v>
      </x:c>
      <x:c r="H1037" s="25" t="str">
        <x:v>Forwardandspotexchangerates</x:v>
      </x:c>
      <x:c r="I1037" s="25" t="str"/>
      <x:c r="J1037" s="25" t="str"/>
      <x:c r="K1037" s="25" t="str">
        <x:v>automatic_screen_pass</x:v>
      </x:c>
      <x:c r="L1037" s="25" t="str">
        <x:v>accepted</x:v>
      </x:c>
      <x:c r="M1037" s="25" t="str">
        <x:v>no</x:v>
      </x:c>
      <x:c r="N1037" s="25" t="str">
        <x:v>saki_research/working_papers/bianchi_bigio_engel_scrambling_dollars_international_liquidity_banks_exchange_rate.pdf</x:v>
      </x:c>
      <x:c r="O1037" s="25" t="str">
        <x:v>Fama,EugeneF,“Forwardandspotexchangerates,”JournalofMonetaryEconomics,1984, 14(3),319–338.</x:v>
      </x:c>
    </x:row>
    <x:row r="1038" ht="48" customHeight="1">
      <x:c r="A1038" s="24" t="str">
        <x:v>W03-R030</x:v>
      </x:c>
      <x:c r="B1038" s="24" t="str">
        <x:v>W03</x:v>
      </x:c>
      <x:c r="C1038" s="26" t="n">
        <x:v>30</x:v>
      </x:c>
      <x:c r="D1038" s="26" t="n">
        <x:v>35</x:v>
      </x:c>
      <x:c r="E1038" s="26" t="n">
        <x:v>35</x:v>
      </x:c>
      <x:c r="F1038" s="26" t="str">
        <x:v>Fanelli</x:v>
      </x:c>
      <x:c r="G1038" s="26" t="n">
        <x:v>2021</x:v>
      </x:c>
      <x:c r="H1038" s="25" t="str">
        <x:v>Atheoryofforeignexchangeinterventions</x:v>
      </x:c>
      <x:c r="I1038" s="25" t="str"/>
      <x:c r="J1038" s="25" t="str"/>
      <x:c r="K1038" s="25" t="str">
        <x:v>automatic_screen_pass</x:v>
      </x:c>
      <x:c r="L1038" s="25" t="str">
        <x:v>accepted</x:v>
      </x:c>
      <x:c r="M1038" s="25" t="str">
        <x:v>no</x:v>
      </x:c>
      <x:c r="N1038" s="25" t="str">
        <x:v>saki_research/working_papers/bianchi_bigio_engel_scrambling_dollars_international_liquidity_banks_exchange_rate.pdf</x:v>
      </x:c>
      <x:c r="O1038" s="25" t="str">
        <x:v>Fanelli,Sebasti ́anandLudwigStraub,“Atheoryofforeignexchangeinterventions,”The ReviewofEconomicStudies,2021,88(6),2857–2885.</x:v>
      </x:c>
    </x:row>
    <x:row r="1039" ht="48" customHeight="1">
      <x:c r="A1039" s="24" t="str">
        <x:v>W03-R031</x:v>
      </x:c>
      <x:c r="B1039" s="24" t="str">
        <x:v>W03</x:v>
      </x:c>
      <x:c r="C1039" s="26" t="n">
        <x:v>31</x:v>
      </x:c>
      <x:c r="D1039" s="26" t="n">
        <x:v>35</x:v>
      </x:c>
      <x:c r="E1039" s="26" t="n">
        <x:v>35</x:v>
      </x:c>
      <x:c r="F1039" s="26" t="str">
        <x:v>Farhi</x:v>
      </x:c>
      <x:c r="G1039" s="26" t="n">
        <x:v>2016</x:v>
      </x:c>
      <x:c r="H1039" s="25" t="str">
        <x:v>Raredisastersandexchangerates</x:v>
      </x:c>
      <x:c r="I1039" s="25" t="str"/>
      <x:c r="J1039" s="25" t="str"/>
      <x:c r="K1039" s="25" t="str">
        <x:v>automatic_screen_pass</x:v>
      </x:c>
      <x:c r="L1039" s="25" t="str">
        <x:v>accepted</x:v>
      </x:c>
      <x:c r="M1039" s="25" t="str">
        <x:v>no</x:v>
      </x:c>
      <x:c r="N1039" s="25" t="str">
        <x:v>saki_research/working_papers/bianchi_bigio_engel_scrambling_dollars_international_liquidity_banks_exchange_rate.pdf</x:v>
      </x:c>
      <x:c r="O1039" s="25" t="str">
        <x:v>Farhi,EmmanuelandXavierGabaix,“Raredisastersandexchangerates,”TheQuarterly JournalofEconomics,2016,131(1),1–52.</x:v>
      </x:c>
    </x:row>
    <x:row r="1040" ht="48" customHeight="1">
      <x:c r="A1040" s="24" t="str">
        <x:v>W03-R032</x:v>
      </x:c>
      <x:c r="B1040" s="24" t="str">
        <x:v>W03</x:v>
      </x:c>
      <x:c r="C1040" s="26" t="n">
        <x:v>32</x:v>
      </x:c>
      <x:c r="D1040" s="26" t="n">
        <x:v>35</x:v>
      </x:c>
      <x:c r="E1040" s="26" t="n">
        <x:v>35</x:v>
      </x:c>
      <x:c r="F1040" s="26" t="str">
        <x:v>Fiore</x:v>
      </x:c>
      <x:c r="G1040" s="26" t="n">
        <x:v>2018</x:v>
      </x:c>
      <x:c r="H1040" s="25" t="str">
        <x:v>Moneymarkets,collateraland monetarypolicy</x:v>
      </x:c>
      <x:c r="I1040" s="25" t="str"/>
      <x:c r="J1040" s="25" t="str"/>
      <x:c r="K1040" s="25" t="str">
        <x:v>automatic_screen_pass</x:v>
      </x:c>
      <x:c r="L1040" s="25" t="str">
        <x:v>accepted</x:v>
      </x:c>
      <x:c r="M1040" s="25" t="str">
        <x:v>no</x:v>
      </x:c>
      <x:c r="N1040" s="25" t="str">
        <x:v>saki_research/working_papers/bianchi_bigio_engel_scrambling_dollars_international_liquidity_banks_exchange_rate.pdf</x:v>
      </x:c>
      <x:c r="O1040" s="25" t="str">
        <x:v>Fiore,FiorellaDe,MarieHoerova,andHaraldUhlig,“Moneymarkets,collateraland monetarypolicy,”2018. NBERWorkingPaperNo.25319.</x:v>
      </x:c>
    </x:row>
    <x:row r="1041" ht="48" customHeight="1">
      <x:c r="A1041" s="24" t="str">
        <x:v>W03-R033</x:v>
      </x:c>
      <x:c r="B1041" s="24" t="str">
        <x:v>W03</x:v>
      </x:c>
      <x:c r="C1041" s="26" t="n">
        <x:v>33</x:v>
      </x:c>
      <x:c r="D1041" s="26" t="n">
        <x:v>35</x:v>
      </x:c>
      <x:c r="E1041" s="26" t="n">
        <x:v>35</x:v>
      </x:c>
      <x:c r="F1041" s="26" t="str">
        <x:v>Friedman</x:v>
      </x:c>
      <x:c r="G1041" s="26" t="n">
        <x:v>1993</x:v>
      </x:c>
      <x:c r="H1041" s="25" t="str">
        <x:v>WhyDoesthePaper-BillSpreadPredict RealEconomicActivity?</x:v>
      </x:c>
      <x:c r="I1041" s="25" t="str"/>
      <x:c r="J1041" s="25" t="str"/>
      <x:c r="K1041" s="25" t="str">
        <x:v>prior_manual_sample</x:v>
      </x:c>
      <x:c r="L1041" s="25" t="str">
        <x:v>accepted</x:v>
      </x:c>
      <x:c r="M1041" s="25" t="str">
        <x:v>no</x:v>
      </x:c>
      <x:c r="N1041" s="25" t="str">
        <x:v>saki_research/working_papers/bianchi_bigio_engel_scrambling_dollars_international_liquidity_banks_exchange_rate.pdf</x:v>
      </x:c>
      <x:c r="O1041" s="25" t="str">
        <x:v>Friedman,BenjaminM.andKennethN.Kuttner,“WhyDoesthePaper-BillSpreadPredict RealEconomicActivity?,”inJamesH.StockandMarkW.Watson,eds.,BusinessCycles, IndicatorsandForecasting,UniversityofChicagoPress,1993,pp.213–254.</x:v>
      </x:c>
    </x:row>
    <x:row r="1042" ht="48" customHeight="1">
      <x:c r="A1042" s="24" t="str">
        <x:v>W03-R034</x:v>
      </x:c>
      <x:c r="B1042" s="24" t="str">
        <x:v>W03</x:v>
      </x:c>
      <x:c r="C1042" s="26" t="n">
        <x:v>34</x:v>
      </x:c>
      <x:c r="D1042" s="26" t="n">
        <x:v>35</x:v>
      </x:c>
      <x:c r="E1042" s="26" t="n">
        <x:v>35</x:v>
      </x:c>
      <x:c r="F1042" s="26" t="str">
        <x:v>Gabaix</x:v>
      </x:c>
      <x:c r="G1042" s="26" t="n">
        <x:v>2015</x:v>
      </x:c>
      <x:c r="H1042" s="25" t="str">
        <x:v>Internationalliquidityandexchangeratedynamics</x:v>
      </x:c>
      <x:c r="I1042" s="25" t="str"/>
      <x:c r="J1042" s="25" t="str"/>
      <x:c r="K1042" s="25" t="str">
        <x:v>automatic_screen_pass</x:v>
      </x:c>
      <x:c r="L1042" s="25" t="str">
        <x:v>accepted</x:v>
      </x:c>
      <x:c r="M1042" s="25" t="str">
        <x:v>no</x:v>
      </x:c>
      <x:c r="N1042" s="25" t="str">
        <x:v>saki_research/working_papers/bianchi_bigio_engel_scrambling_dollars_international_liquidity_banks_exchange_rate.pdf</x:v>
      </x:c>
      <x:c r="O1042" s="25" t="str">
        <x:v>Gabaix,XavierandMatteoMaggiori,“Internationalliquidityandexchangeratedynamics,” TheQuarterlyJournalofEconomics,2015,130(3),1369–1420.</x:v>
      </x:c>
    </x:row>
    <x:row r="1043" ht="48" customHeight="1">
      <x:c r="A1043" s="24" t="str">
        <x:v>W03-R035</x:v>
      </x:c>
      <x:c r="B1043" s="24" t="str">
        <x:v>W03</x:v>
      </x:c>
      <x:c r="C1043" s="26" t="n">
        <x:v>35</x:v>
      </x:c>
      <x:c r="D1043" s="26" t="n">
        <x:v>36</x:v>
      </x:c>
      <x:c r="E1043" s="26" t="n">
        <x:v>36</x:v>
      </x:c>
      <x:c r="F1043" s="26" t="str">
        <x:v>Gourinchas</x:v>
      </x:c>
      <x:c r="G1043" s="26" t="n">
        <x:v>2007</x:v>
      </x:c>
      <x:c r="H1043" s="25" t="str">
        <x:v>From World Banker to World Venture Capitalist: USExternalAdjustmentandtheExorbitantPrivilege</x:v>
      </x:c>
      <x:c r="I1043" s="25" t="str"/>
      <x:c r="J1043" s="25" t="str"/>
      <x:c r="K1043" s="25" t="str">
        <x:v>exhaustive_visual_multiwork_pattern_accepted</x:v>
      </x:c>
      <x:c r="L1043" s="25" t="str">
        <x:v>accepted</x:v>
      </x:c>
      <x:c r="M1043" s="25" t="str">
        <x:v>sí</x:v>
      </x:c>
      <x:c r="N1043" s="25" t="str">
        <x:v>saki_research/working_papers/bianchi_bigio_engel_scrambling_dollars_international_liquidity_banks_exchange_rate.pdf</x:v>
      </x:c>
      <x:c r="O1043" s="25" t="str">
        <x:v>Gourinchas, Pierre-Olivier and H ́elene Rey, “From World Banker to World Venture Capitalist: USExternalAdjustmentandtheExorbitantPrivilege,”in“G7CurrentAccount Imbalances: SustainabilityandAdjustment,”UniversityofChicagoPress,2007,pp.11– 66.</x:v>
      </x:c>
    </x:row>
    <x:row r="1044" ht="48" customHeight="1">
      <x:c r="A1044" s="24" t="str">
        <x:v>W03-R036</x:v>
      </x:c>
      <x:c r="B1044" s="24" t="str">
        <x:v>W03</x:v>
      </x:c>
      <x:c r="C1044" s="26" t="n">
        <x:v>36</x:v>
      </x:c>
      <x:c r="D1044" s="26" t="n">
        <x:v>36</x:v>
      </x:c>
      <x:c r="E1044" s="26" t="n">
        <x:v>36</x:v>
      </x:c>
      <x:c r="F1044" s="26" t="str">
        <x:v>Gourinchas</x:v>
      </x:c>
      <x:c r="G1044" s="26" t="n">
        <x:v>2022</x:v>
      </x:c>
      <x:c r="H1044" s="25" t="str">
        <x:v>Apreferred-habitatmodeloftermpremia,exchange rates,andmonetarypolicyspillovers</x:v>
      </x:c>
      <x:c r="I1044" s="25" t="str">
        <x:v>inherited_author_notation</x:v>
      </x:c>
      <x:c r="J1044" s="25" t="str"/>
      <x:c r="K1044" s="25" t="str">
        <x:v>automatic_screen_pass</x:v>
      </x:c>
      <x:c r="L1044" s="25" t="str">
        <x:v>accepted</x:v>
      </x:c>
      <x:c r="M1044" s="25" t="str">
        <x:v>no</x:v>
      </x:c>
      <x:c r="N1044" s="25" t="str">
        <x:v>saki_research/working_papers/bianchi_bigio_engel_scrambling_dollars_international_liquidity_banks_exchange_rate.pdf</x:v>
      </x:c>
      <x:c r="O1044" s="25" t="str">
        <x:v>WalkerRay,andDimitriVayanos,“Apreferred-habitatmodeloftermpremia,exchange rates,andmonetarypolicyspillovers,”TechnicalReport,NationalBureauofEconomic Research2022.</x:v>
      </x:c>
    </x:row>
    <x:row r="1045" ht="48" customHeight="1">
      <x:c r="A1045" s="24" t="str">
        <x:v>W03-R037</x:v>
      </x:c>
      <x:c r="B1045" s="24" t="str">
        <x:v>W03</x:v>
      </x:c>
      <x:c r="C1045" s="26" t="n">
        <x:v>37</x:v>
      </x:c>
      <x:c r="D1045" s="26" t="n">
        <x:v>36</x:v>
      </x:c>
      <x:c r="E1045" s="26" t="n">
        <x:v>36</x:v>
      </x:c>
      <x:c r="F1045" s="26" t="str">
        <x:v>Greenwood</x:v>
      </x:c>
      <x:c r="G1045" s="26" t="n">
        <x:v>2023</x:v>
      </x:c>
      <x:c r="H1045" s="25" t="str">
        <x:v>Aquantitydriventheoryoftermpremiaandexchangerates</x:v>
      </x:c>
      <x:c r="I1045" s="25" t="str"/>
      <x:c r="J1045" s="25" t="str"/>
      <x:c r="K1045" s="25" t="str">
        <x:v>automatic_screen_pass</x:v>
      </x:c>
      <x:c r="L1045" s="25" t="str">
        <x:v>accepted</x:v>
      </x:c>
      <x:c r="M1045" s="25" t="str">
        <x:v>no</x:v>
      </x:c>
      <x:c r="N1045" s="25" t="str">
        <x:v>saki_research/working_papers/bianchi_bigio_engel_scrambling_dollars_international_liquidity_banks_exchange_rate.pdf</x:v>
      </x:c>
      <x:c r="O1045" s="25" t="str">
        <x:v>Greenwood,Robin,SamuelHanson,JeremyCStein,andAdiSunderam,“Aquantitydriventheoryoftermpremiaandexchangerates,”TheQuarterlyJournalofEconomics, 2023,138(4),2327–2389.</x:v>
      </x:c>
    </x:row>
    <x:row r="1046" ht="48" customHeight="1">
      <x:c r="A1046" s="24" t="str">
        <x:v>W03-R038</x:v>
      </x:c>
      <x:c r="B1046" s="24" t="str">
        <x:v>W03</x:v>
      </x:c>
      <x:c r="C1046" s="26" t="n">
        <x:v>38</x:v>
      </x:c>
      <x:c r="D1046" s="26" t="n">
        <x:v>36</x:v>
      </x:c>
      <x:c r="E1046" s="26" t="n">
        <x:v>36</x:v>
      </x:c>
      <x:c r="F1046" s="26" t="str">
        <x:v>Hamilton</x:v>
      </x:c>
      <x:c r="G1046" s="26" t="n">
        <x:v>1989</x:v>
      </x:c>
      <x:c r="H1046" s="25" t="str">
        <x:v>ANewApproachtotheEconomicAnalysisofNonstationaryTime SeriesandtheBusinessCycle</x:v>
      </x:c>
      <x:c r="I1046" s="25" t="str"/>
      <x:c r="J1046" s="25" t="str"/>
      <x:c r="K1046" s="25" t="str">
        <x:v>automatic_screen_pass</x:v>
      </x:c>
      <x:c r="L1046" s="25" t="str">
        <x:v>accepted</x:v>
      </x:c>
      <x:c r="M1046" s="25" t="str">
        <x:v>no</x:v>
      </x:c>
      <x:c r="N1046" s="25" t="str">
        <x:v>saki_research/working_papers/bianchi_bigio_engel_scrambling_dollars_international_liquidity_banks_exchange_rate.pdf</x:v>
      </x:c>
      <x:c r="O1046" s="25" t="str">
        <x:v>Hamilton,JamesD.,“ANewApproachtotheEconomicAnalysisofNonstationaryTime SeriesandtheBusinessCycle,”Econometrica,1989,57(2),357–384.</x:v>
      </x:c>
    </x:row>
    <x:row r="1047" ht="48" customHeight="1">
      <x:c r="A1047" s="24" t="str">
        <x:v>W03-R039</x:v>
      </x:c>
      <x:c r="B1047" s="24" t="str">
        <x:v>W03</x:v>
      </x:c>
      <x:c r="C1047" s="26" t="n">
        <x:v>39</x:v>
      </x:c>
      <x:c r="D1047" s="26" t="n">
        <x:v>36</x:v>
      </x:c>
      <x:c r="E1047" s="26" t="n">
        <x:v>36</x:v>
      </x:c>
      <x:c r="F1047" s="26" t="str">
        <x:v>Hassan</x:v>
      </x:c>
      <x:c r="G1047" s="26" t="n">
        <x:v>2013</x:v>
      </x:c>
      <x:c r="H1047" s="25" t="str">
        <x:v>Countrysize,currencyunions,andinternationalassetreturns</x:v>
      </x:c>
      <x:c r="I1047" s="25" t="str"/>
      <x:c r="J1047" s="25" t="str"/>
      <x:c r="K1047" s="25" t="str">
        <x:v>automatic_screen_pass</x:v>
      </x:c>
      <x:c r="L1047" s="25" t="str">
        <x:v>accepted</x:v>
      </x:c>
      <x:c r="M1047" s="25" t="str">
        <x:v>no</x:v>
      </x:c>
      <x:c r="N1047" s="25" t="str">
        <x:v>saki_research/working_papers/bianchi_bigio_engel_scrambling_dollars_international_liquidity_banks_exchange_rate.pdf</x:v>
      </x:c>
      <x:c r="O1047" s="25" t="str">
        <x:v>Hassan,TarekA,“Countrysize,currencyunions,andinternationalassetreturns,”The JournalofFinance,2013,68(6),2269–2308.</x:v>
      </x:c>
    </x:row>
    <x:row r="1048" ht="48" customHeight="1">
      <x:c r="A1048" s="24" t="str">
        <x:v>W03-R040</x:v>
      </x:c>
      <x:c r="B1048" s="24" t="str">
        <x:v>W03</x:v>
      </x:c>
      <x:c r="C1048" s="26" t="n">
        <x:v>40</x:v>
      </x:c>
      <x:c r="D1048" s="26" t="n">
        <x:v>36</x:v>
      </x:c>
      <x:c r="E1048" s="26" t="n">
        <x:v>36</x:v>
      </x:c>
      <x:c r="F1048" s="26" t="str">
        <x:v>Hassan</x:v>
      </x:c>
      <x:c r="G1048" s="26" t="n">
        <x:v>2019</x:v>
      </x:c>
      <x:c r="H1048" s="25" t="str">
        <x:v>Forwardandspotexchangeratesinamulti-currencyworld</x:v>
      </x:c>
      <x:c r="I1048" s="25" t="str"/>
      <x:c r="J1048" s="25" t="str"/>
      <x:c r="K1048" s="25" t="str">
        <x:v>prior_manual_sample</x:v>
      </x:c>
      <x:c r="L1048" s="25" t="str">
        <x:v>accepted</x:v>
      </x:c>
      <x:c r="M1048" s="25" t="str">
        <x:v>no</x:v>
      </x:c>
      <x:c r="N1048" s="25" t="str">
        <x:v>saki_research/working_papers/bianchi_bigio_engel_scrambling_dollars_international_liquidity_banks_exchange_rate.pdf</x:v>
      </x:c>
      <x:c r="O1048" s="25" t="str">
        <x:v>andRuiCMano,“Forwardandspotexchangeratesinamulti-currencyworld,”The QuarterlyJournalofEconomics,2019,134(1),397–450.</x:v>
      </x:c>
    </x:row>
    <x:row r="1049" ht="48" customHeight="1">
      <x:c r="A1049" s="24" t="str">
        <x:v>W03-R041</x:v>
      </x:c>
      <x:c r="B1049" s="24" t="str">
        <x:v>W03</x:v>
      </x:c>
      <x:c r="C1049" s="26" t="n">
        <x:v>41</x:v>
      </x:c>
      <x:c r="D1049" s="26" t="n">
        <x:v>36</x:v>
      </x:c>
      <x:c r="E1049" s="26" t="n">
        <x:v>36</x:v>
      </x:c>
      <x:c r="F1049" s="26" t="str">
        <x:v>IMF</x:v>
      </x:c>
      <x:c r="G1049" s="26" t="n">
        <x:v>2019</x:v>
      </x:c>
      <x:c r="H1049" s="25" t="str">
        <x:v>World Economic Outlook</x:v>
      </x:c>
      <x:c r="I1049" s="25" t="str"/>
      <x:c r="J1049" s="25" t="str">
        <x:v>literal_citation_review_2026-09-16</x:v>
      </x:c>
      <x:c r="K1049" s="25" t="str">
        <x:v>automatic_screen_pass</x:v>
      </x:c>
      <x:c r="L1049" s="25" t="str">
        <x:v>accepted</x:v>
      </x:c>
      <x:c r="M1049" s="25" t="str">
        <x:v>no</x:v>
      </x:c>
      <x:c r="N1049" s="25" t="str">
        <x:v>saki_research/working_papers/bianchi_bigio_engel_scrambling_dollars_international_liquidity_banks_exchange_rate.pdf</x:v>
      </x:c>
      <x:c r="O1049" s="25" t="str">
        <x:v>IMF,2019. nternationalMonetaryFund,WorldEconomicOutlook.</x:v>
      </x:c>
    </x:row>
    <x:row r="1050" ht="48" customHeight="1">
      <x:c r="A1050" s="24" t="str">
        <x:v>W03-R042</x:v>
      </x:c>
      <x:c r="B1050" s="24" t="str">
        <x:v>W03</x:v>
      </x:c>
      <x:c r="C1050" s="26" t="n">
        <x:v>42</x:v>
      </x:c>
      <x:c r="D1050" s="26" t="n">
        <x:v>36</x:v>
      </x:c>
      <x:c r="E1050" s="26" t="n">
        <x:v>36</x:v>
      </x:c>
      <x:c r="F1050" s="26" t="str">
        <x:v>Itskhoki</x:v>
      </x:c>
      <x:c r="G1050" s="26" t="n">
        <x:v>2021</x:v>
      </x:c>
      <x:c r="H1050" s="25" t="str">
        <x:v>Exchangeratedisconnectingeneralequilibrium</x:v>
      </x:c>
      <x:c r="I1050" s="25" t="str"/>
      <x:c r="J1050" s="25" t="str"/>
      <x:c r="K1050" s="25" t="str">
        <x:v>automatic_screen_pass</x:v>
      </x:c>
      <x:c r="L1050" s="25" t="str">
        <x:v>accepted</x:v>
      </x:c>
      <x:c r="M1050" s="25" t="str">
        <x:v>no</x:v>
      </x:c>
      <x:c r="N1050" s="25" t="str">
        <x:v>saki_research/working_papers/bianchi_bigio_engel_scrambling_dollars_international_liquidity_banks_exchange_rate.pdf</x:v>
      </x:c>
      <x:c r="O1050" s="25" t="str">
        <x:v>Itskhoki,OlegandDmitryMukhin,“Exchangeratedisconnectingeneralequilibrium,” JournalofPoliticalEconomy,2021,129(8),2183–2232.</x:v>
      </x:c>
    </x:row>
    <x:row r="1051" ht="48" customHeight="1">
      <x:c r="A1051" s="24" t="str">
        <x:v>W03-R043</x:v>
      </x:c>
      <x:c r="B1051" s="24" t="str">
        <x:v>W03</x:v>
      </x:c>
      <x:c r="C1051" s="26" t="n">
        <x:v>43</x:v>
      </x:c>
      <x:c r="D1051" s="26" t="n">
        <x:v>36</x:v>
      </x:c>
      <x:c r="E1051" s="26" t="n">
        <x:v>36</x:v>
      </x:c>
      <x:c r="F1051" s="26" t="str">
        <x:v>Ivashina</x:v>
      </x:c>
      <x:c r="G1051" s="26" t="n">
        <x:v>2015</x:v>
      </x:c>
      <x:c r="H1051" s="25" t="str">
        <x:v>Dollarfundingandthe lendingbehaviorofglobalbanks</x:v>
      </x:c>
      <x:c r="I1051" s="25" t="str"/>
      <x:c r="J1051" s="25" t="str"/>
      <x:c r="K1051" s="25" t="str">
        <x:v>automatic_screen_pass</x:v>
      </x:c>
      <x:c r="L1051" s="25" t="str">
        <x:v>accepted</x:v>
      </x:c>
      <x:c r="M1051" s="25" t="str">
        <x:v>no</x:v>
      </x:c>
      <x:c r="N1051" s="25" t="str">
        <x:v>saki_research/working_papers/bianchi_bigio_engel_scrambling_dollars_international_liquidity_banks_exchange_rate.pdf</x:v>
      </x:c>
      <x:c r="O1051" s="25" t="str">
        <x:v>Ivashina,Victoria,DavidSScharfstein,andJeremyCStein,“Dollarfundingandthe lendingbehaviorofglobalbanks,”QuarterlyJournalofEconomics,2015,130(3),1241–1281.</x:v>
      </x:c>
    </x:row>
    <x:row r="1052" ht="48" customHeight="1">
      <x:c r="A1052" s="24" t="str">
        <x:v>W03-R044</x:v>
      </x:c>
      <x:c r="B1052" s="24" t="str">
        <x:v>W03</x:v>
      </x:c>
      <x:c r="C1052" s="26" t="n">
        <x:v>44</x:v>
      </x:c>
      <x:c r="D1052" s="26" t="n">
        <x:v>36</x:v>
      </x:c>
      <x:c r="E1052" s="26" t="n">
        <x:v>36</x:v>
      </x:c>
      <x:c r="F1052" s="26" t="str">
        <x:v>Jiang</x:v>
      </x:c>
      <x:c r="G1052" s="26" t="n">
        <x:v>2021</x:v>
      </x:c>
      <x:c r="H1052" s="25" t="str">
        <x:v>Foreignsafeassetdemand andthedollarexchangerate</x:v>
      </x:c>
      <x:c r="I1052" s="25" t="str"/>
      <x:c r="J1052" s="25" t="str"/>
      <x:c r="K1052" s="25" t="str">
        <x:v>automatic_screen_pass</x:v>
      </x:c>
      <x:c r="L1052" s="25" t="str">
        <x:v>accepted</x:v>
      </x:c>
      <x:c r="M1052" s="25" t="str">
        <x:v>no</x:v>
      </x:c>
      <x:c r="N1052" s="25" t="str">
        <x:v>saki_research/working_papers/bianchi_bigio_engel_scrambling_dollars_international_liquidity_banks_exchange_rate.pdf</x:v>
      </x:c>
      <x:c r="O1052" s="25" t="str">
        <x:v>Jiang,Zhengyang,ArvindKrishnamurthy,andHannoLustig,“Foreignsafeassetdemand andthedollarexchangerate,”TheJournalofFinance,2021,76(3),1049–1089.</x:v>
      </x:c>
    </x:row>
    <x:row r="1053" ht="48" customHeight="1">
      <x:c r="A1053" s="24" t="str">
        <x:v>W03-R045</x:v>
      </x:c>
      <x:c r="B1053" s="24" t="str">
        <x:v>W03</x:v>
      </x:c>
      <x:c r="C1053" s="26" t="n">
        <x:v>45</x:v>
      </x:c>
      <x:c r="D1053" s="26" t="n">
        <x:v>36</x:v>
      </x:c>
      <x:c r="E1053" s="26" t="n">
        <x:v>36</x:v>
      </x:c>
      <x:c r="F1053" s="26" t="str">
        <x:v>Jiang</x:v>
      </x:c>
      <x:c r="G1053" s="26" t="n">
        <x:v>2023</x:v>
      </x:c>
      <x:c r="H1053" s="25" t="str">
        <x:v>Dollarsafetyandtheglobalfinancialcycle</x:v>
      </x:c>
      <x:c r="I1053" s="25" t="str">
        <x:v>inherited_author_notation</x:v>
      </x:c>
      <x:c r="J1053" s="25" t="str">
        <x:v>exhaustive_ai_audit_2026-09-17</x:v>
      </x:c>
      <x:c r="K1053" s="25" t="str">
        <x:v>exhaustive_visual_correction</x:v>
      </x:c>
      <x:c r="L1053" s="25" t="str">
        <x:v>corrected</x:v>
      </x:c>
      <x:c r="M1053" s="25" t="str">
        <x:v>no</x:v>
      </x:c>
      <x:c r="N1053" s="25" t="str">
        <x:v>saki_research/working_papers/bianchi_bigio_engel_scrambling_dollars_international_liquidity_banks_exchange_rate.pdf</x:v>
      </x:c>
      <x:c r="O1053" s="25" t="str">
        <x:v>, ,and , “Dollarsafetyandtheglobalfinancialcycle,”Review of Economic Studies, 2023,p.rdad108.</x:v>
      </x:c>
    </x:row>
    <x:row r="1054" ht="48" customHeight="1">
      <x:c r="A1054" s="24" t="str">
        <x:v>W03-R046</x:v>
      </x:c>
      <x:c r="B1054" s="24" t="str">
        <x:v>W03</x:v>
      </x:c>
      <x:c r="C1054" s="26" t="n">
        <x:v>46</x:v>
      </x:c>
      <x:c r="D1054" s="26" t="n">
        <x:v>36</x:v>
      </x:c>
      <x:c r="E1054" s="26" t="n">
        <x:v>36</x:v>
      </x:c>
      <x:c r="F1054" s="26" t="str">
        <x:v>Kalemli-Özcan</x:v>
      </x:c>
      <x:c r="G1054" s="26" t="n">
        <x:v>2019</x:v>
      </x:c>
      <x:c r="H1054" s="25" t="str">
        <x:v>US monetary policy and international risk spillovers</x:v>
      </x:c>
      <x:c r="I1054" s="25" t="str"/>
      <x:c r="J1054" s="25" t="str">
        <x:v>exhaustive_ai_audit_2026-09-17</x:v>
      </x:c>
      <x:c r="K1054" s="25" t="str">
        <x:v>exhaustive_visual_correction</x:v>
      </x:c>
      <x:c r="L1054" s="25" t="str">
        <x:v>corrected</x:v>
      </x:c>
      <x:c r="M1054" s="25" t="str">
        <x:v>no</x:v>
      </x:c>
      <x:c r="N1054" s="25" t="str">
        <x:v>saki_research/working_papers/bianchi_bigio_engel_scrambling_dollars_international_liquidity_banks_exchange_rate.pdf</x:v>
      </x:c>
      <x:c r="O1054" s="25" t="str">
        <x:v>Kalemli- ̈Ozcan,Sebnem,“USmonetarypolicyandinternationalriskspillovers,”Jackson HoleEconomicPolicySymposiumProceedings,2019.</x:v>
      </x:c>
    </x:row>
    <x:row r="1055" ht="48" customHeight="1">
      <x:c r="A1055" s="24" t="str">
        <x:v>W03-R047</x:v>
      </x:c>
      <x:c r="B1055" s="24" t="str">
        <x:v>W03</x:v>
      </x:c>
      <x:c r="C1055" s="26" t="n">
        <x:v>47</x:v>
      </x:c>
      <x:c r="D1055" s="26" t="n">
        <x:v>36</x:v>
      </x:c>
      <x:c r="E1055" s="26" t="n">
        <x:v>36</x:v>
      </x:c>
      <x:c r="F1055" s="26" t="str">
        <x:v>Kalemli-Özcan</x:v>
      </x:c>
      <x:c r="G1055" s="26" t="n">
        <x:v>2021</x:v>
      </x:c>
      <x:c r="H1055" s="25" t="str">
        <x:v>FiveFactsabouttheUIPPremium</x:v>
      </x:c>
      <x:c r="I1055" s="25" t="str">
        <x:v>inherited_author_notation</x:v>
      </x:c>
      <x:c r="J1055" s="25" t="str">
        <x:v>exhaustive_ai_audit_2026-09-17; exhaustive_ai_audit_2026-09-17</x:v>
      </x:c>
      <x:c r="K1055" s="25" t="str">
        <x:v>exhaustive_visual_correction</x:v>
      </x:c>
      <x:c r="L1055" s="25" t="str">
        <x:v>corrected</x:v>
      </x:c>
      <x:c r="M1055" s="25" t="str">
        <x:v>no</x:v>
      </x:c>
      <x:c r="N1055" s="25" t="str">
        <x:v>saki_research/working_papers/bianchi_bigio_engel_scrambling_dollars_international_liquidity_banks_exchange_rate.pdf</x:v>
      </x:c>
      <x:c r="O1055" s="25" t="str">
        <x:v>andLilianaVarela,“FiveFactsabouttheUIPPremium,”2021. NBERWorkingPaper No.28923.</x:v>
      </x:c>
    </x:row>
    <x:row r="1056" ht="48" customHeight="1">
      <x:c r="A1056" s="24" t="str">
        <x:v>W03-R048</x:v>
      </x:c>
      <x:c r="B1056" s="24" t="str">
        <x:v>W03</x:v>
      </x:c>
      <x:c r="C1056" s="26" t="n">
        <x:v>48</x:v>
      </x:c>
      <x:c r="D1056" s="26" t="n">
        <x:v>37</x:v>
      </x:c>
      <x:c r="E1056" s="26" t="n">
        <x:v>37</x:v>
      </x:c>
      <x:c r="F1056" s="26" t="str">
        <x:v>Kareken</x:v>
      </x:c>
      <x:c r="G1056" s="26" t="n">
        <x:v>1981</x:v>
      </x:c>
      <x:c r="H1056" s="25" t="str">
        <x:v>Ontheindeterminacyofequilibriumexchangerates</x:v>
      </x:c>
      <x:c r="I1056" s="25" t="str"/>
      <x:c r="J1056" s="25" t="str"/>
      <x:c r="K1056" s="25" t="str">
        <x:v>automatic_screen_pass</x:v>
      </x:c>
      <x:c r="L1056" s="25" t="str">
        <x:v>accepted</x:v>
      </x:c>
      <x:c r="M1056" s="25" t="str">
        <x:v>no</x:v>
      </x:c>
      <x:c r="N1056" s="25" t="str">
        <x:v>saki_research/working_papers/bianchi_bigio_engel_scrambling_dollars_international_liquidity_banks_exchange_rate.pdf</x:v>
      </x:c>
      <x:c r="O1056" s="25" t="str">
        <x:v>Kareken,JohnandNeilWallace,“Ontheindeterminacyofequilibriumexchangerates,” TheQuarterlyJournalofEconomics,1981,96(2),207–222.</x:v>
      </x:c>
    </x:row>
    <x:row r="1057" ht="48" customHeight="1">
      <x:c r="A1057" s="24" t="str">
        <x:v>W03-R049</x:v>
      </x:c>
      <x:c r="B1057" s="24" t="str">
        <x:v>W03</x:v>
      </x:c>
      <x:c r="C1057" s="26" t="n">
        <x:v>49</x:v>
      </x:c>
      <x:c r="D1057" s="26" t="n">
        <x:v>37</x:v>
      </x:c>
      <x:c r="E1057" s="26" t="n">
        <x:v>37</x:v>
      </x:c>
      <x:c r="F1057" s="26" t="str">
        <x:v>Kekre</x:v>
      </x:c>
      <x:c r="G1057" s="26" t="n">
        <x:v>2024</x:v>
      </x:c>
      <x:c r="H1057" s="25" t="str">
        <x:v>The flight to safety and international risk sharing</x:v>
      </x:c>
      <x:c r="I1057" s="25" t="str"/>
      <x:c r="J1057" s="25" t="str"/>
      <x:c r="K1057" s="25" t="str">
        <x:v>prior_manual_sample</x:v>
      </x:c>
      <x:c r="L1057" s="25" t="str">
        <x:v>accepted</x:v>
      </x:c>
      <x:c r="M1057" s="25" t="str">
        <x:v>no</x:v>
      </x:c>
      <x:c r="N1057" s="25" t="str">
        <x:v>saki_research/working_papers/bianchi_bigio_engel_scrambling_dollars_international_liquidity_banks_exchange_rate.pdf</x:v>
      </x:c>
      <x:c r="O1057" s="25" t="str">
        <x:v>Kekre, RohanandMoritzLenel, “The flight to safety and international risk sharing,” AmericanEconomicReview,2024,114(6),1650–1691.</x:v>
      </x:c>
    </x:row>
    <x:row r="1058" ht="48" customHeight="1">
      <x:c r="A1058" s="24" t="str">
        <x:v>W03-R050</x:v>
      </x:c>
      <x:c r="B1058" s="24" t="str">
        <x:v>W03</x:v>
      </x:c>
      <x:c r="C1058" s="26" t="n">
        <x:v>50</x:v>
      </x:c>
      <x:c r="D1058" s="26" t="n">
        <x:v>37</x:v>
      </x:c>
      <x:c r="E1058" s="26" t="n">
        <x:v>37</x:v>
      </x:c>
      <x:c r="F1058" s="26" t="str">
        <x:v>Kim</x:v>
      </x:c>
      <x:c r="G1058" s="26" t="n">
        <x:v>1994</x:v>
      </x:c>
      <x:c r="H1058" s="25" t="str">
        <x:v>DynamicLinearModelswithMarkov-Switching</x:v>
      </x:c>
      <x:c r="I1058" s="25" t="str"/>
      <x:c r="J1058" s="25" t="str"/>
      <x:c r="K1058" s="25" t="str">
        <x:v>automatic_screen_pass</x:v>
      </x:c>
      <x:c r="L1058" s="25" t="str">
        <x:v>accepted</x:v>
      </x:c>
      <x:c r="M1058" s="25" t="str">
        <x:v>no</x:v>
      </x:c>
      <x:c r="N1058" s="25" t="str">
        <x:v>saki_research/working_papers/bianchi_bigio_engel_scrambling_dollars_international_liquidity_banks_exchange_rate.pdf</x:v>
      </x:c>
      <x:c r="O1058" s="25" t="str">
        <x:v>Kim,Chang-Jin,“DynamicLinearModelswithMarkov-Switching,”JournalofEconometrics, 1994,60(1-2),1–22.</x:v>
      </x:c>
    </x:row>
    <x:row r="1059" ht="48" customHeight="1">
      <x:c r="A1059" s="24" t="str">
        <x:v>W03-R051</x:v>
      </x:c>
      <x:c r="B1059" s="24" t="str">
        <x:v>W03</x:v>
      </x:c>
      <x:c r="C1059" s="26" t="n">
        <x:v>51</x:v>
      </x:c>
      <x:c r="D1059" s="26" t="n">
        <x:v>37</x:v>
      </x:c>
      <x:c r="E1059" s="26" t="n">
        <x:v>37</x:v>
      </x:c>
      <x:c r="F1059" s="26" t="str">
        <x:v>Koijen</x:v>
      </x:c>
      <x:c r="G1059" s="26" t="n">
        <x:v>2020</x:v>
      </x:c>
      <x:c r="H1059" s="25" t="str">
        <x:v>ExchangeRatesandAssetPricesinaGlobal DemandSystem</x:v>
      </x:c>
      <x:c r="I1059" s="25" t="str"/>
      <x:c r="J1059" s="25" t="str"/>
      <x:c r="K1059" s="25" t="str">
        <x:v>automatic_screen_pass</x:v>
      </x:c>
      <x:c r="L1059" s="25" t="str">
        <x:v>accepted</x:v>
      </x:c>
      <x:c r="M1059" s="25" t="str">
        <x:v>no</x:v>
      </x:c>
      <x:c r="N1059" s="25" t="str">
        <x:v>saki_research/working_papers/bianchi_bigio_engel_scrambling_dollars_international_liquidity_banks_exchange_rate.pdf</x:v>
      </x:c>
      <x:c r="O1059" s="25" t="str">
        <x:v>Koijen,RalphS.J.andMotohiroYogo, “ExchangeRatesandAssetPricesinaGlobal DemandSystem,”2020. workingpaper,BoothSchoolofBusiness,UniversityofChicago.</x:v>
      </x:c>
    </x:row>
    <x:row r="1060" ht="48" customHeight="1">
      <x:c r="A1060" s="24" t="str">
        <x:v>W03-R052</x:v>
      </x:c>
      <x:c r="B1060" s="24" t="str">
        <x:v>W03</x:v>
      </x:c>
      <x:c r="C1060" s="26" t="n">
        <x:v>52</x:v>
      </x:c>
      <x:c r="D1060" s="26" t="n">
        <x:v>37</x:v>
      </x:c>
      <x:c r="E1060" s="26" t="n">
        <x:v>37</x:v>
      </x:c>
      <x:c r="F1060" s="26" t="str">
        <x:v>Liao</x:v>
      </x:c>
      <x:c r="G1060" s="26" t="n">
        <x:v>2020</x:v>
      </x:c>
      <x:c r="H1060" s="25" t="str">
        <x:v>Creditmigrationandcoveredinterestrateparity</x:v>
      </x:c>
      <x:c r="I1060" s="25" t="str"/>
      <x:c r="J1060" s="25" t="str"/>
      <x:c r="K1060" s="25" t="str">
        <x:v>automatic_screen_pass</x:v>
      </x:c>
      <x:c r="L1060" s="25" t="str">
        <x:v>accepted</x:v>
      </x:c>
      <x:c r="M1060" s="25" t="str">
        <x:v>no</x:v>
      </x:c>
      <x:c r="N1060" s="25" t="str">
        <x:v>saki_research/working_papers/bianchi_bigio_engel_scrambling_dollars_international_liquidity_banks_exchange_rate.pdf</x:v>
      </x:c>
      <x:c r="O1060" s="25" t="str">
        <x:v>Liao,GordonY,“Creditmigrationandcoveredinterestrateparity,”JournalofFinancial Economics,2020,138(2),504–525.</x:v>
      </x:c>
    </x:row>
    <x:row r="1061" ht="48" customHeight="1">
      <x:c r="A1061" s="24" t="str">
        <x:v>W03-R053</x:v>
      </x:c>
      <x:c r="B1061" s="24" t="str">
        <x:v>W03</x:v>
      </x:c>
      <x:c r="C1061" s="26" t="n">
        <x:v>53</x:v>
      </x:c>
      <x:c r="D1061" s="26" t="n">
        <x:v>37</x:v>
      </x:c>
      <x:c r="E1061" s="26" t="n">
        <x:v>37</x:v>
      </x:c>
      <x:c r="F1061" s="26" t="str">
        <x:v>Lilley</x:v>
      </x:c>
      <x:c r="G1061" s="26" t="n">
        <x:v>2019</x:v>
      </x:c>
      <x:c r="H1061" s="25" t="str">
        <x:v>Exchangerate reconnect</x:v>
      </x:c>
      <x:c r="I1061" s="25" t="str"/>
      <x:c r="J1061" s="25" t="str"/>
      <x:c r="K1061" s="25" t="str">
        <x:v>automatic_screen_pass</x:v>
      </x:c>
      <x:c r="L1061" s="25" t="str">
        <x:v>accepted</x:v>
      </x:c>
      <x:c r="M1061" s="25" t="str">
        <x:v>no</x:v>
      </x:c>
      <x:c r="N1061" s="25" t="str">
        <x:v>saki_research/working_papers/bianchi_bigio_engel_scrambling_dollars_international_liquidity_banks_exchange_rate.pdf</x:v>
      </x:c>
      <x:c r="O1061" s="25" t="str">
        <x:v>Lilley,Andrew,MatteoMaggiori,BrentNeiman,andJesseSchreger, “Exchangerate reconnect,”TheReviewofEconomicsandStatistics,2019,pp.1–28.</x:v>
      </x:c>
    </x:row>
    <x:row r="1062" ht="48" customHeight="1">
      <x:c r="A1062" s="24" t="str">
        <x:v>W03-R054</x:v>
      </x:c>
      <x:c r="B1062" s="24" t="str">
        <x:v>W03</x:v>
      </x:c>
      <x:c r="C1062" s="26" t="n">
        <x:v>54</x:v>
      </x:c>
      <x:c r="D1062" s="26" t="n">
        <x:v>37</x:v>
      </x:c>
      <x:c r="E1062" s="26" t="n">
        <x:v>37</x:v>
      </x:c>
      <x:c r="F1062" s="26" t="str">
        <x:v>Lucas</x:v>
      </x:c>
      <x:c r="G1062" s="26" t="n">
        <x:v>1982</x:v>
      </x:c>
      <x:c r="H1062" s="25" t="str">
        <x:v>Interestratesandcurrencypricesinatwo-countryworld</x:v>
      </x:c>
      <x:c r="I1062" s="25" t="str"/>
      <x:c r="J1062" s="25" t="str"/>
      <x:c r="K1062" s="25" t="str">
        <x:v>prior_manual_sample</x:v>
      </x:c>
      <x:c r="L1062" s="25" t="str">
        <x:v>accepted</x:v>
      </x:c>
      <x:c r="M1062" s="25" t="str">
        <x:v>no</x:v>
      </x:c>
      <x:c r="N1062" s="25" t="str">
        <x:v>saki_research/working_papers/bianchi_bigio_engel_scrambling_dollars_international_liquidity_banks_exchange_rate.pdf</x:v>
      </x:c>
      <x:c r="O1062" s="25" t="str">
        <x:v>Lucas,RobertE,“Interestratesandcurrencypricesinatwo-countryworld,”Journalof MonetaryEconomics,1982,10(3),335–359.</x:v>
      </x:c>
    </x:row>
    <x:row r="1063" ht="48" customHeight="1">
      <x:c r="A1063" s="24" t="str">
        <x:v>W03-R055</x:v>
      </x:c>
      <x:c r="B1063" s="24" t="str">
        <x:v>W03</x:v>
      </x:c>
      <x:c r="C1063" s="26" t="n">
        <x:v>55</x:v>
      </x:c>
      <x:c r="D1063" s="26" t="n">
        <x:v>37</x:v>
      </x:c>
      <x:c r="E1063" s="26" t="n">
        <x:v>37</x:v>
      </x:c>
      <x:c r="F1063" s="26" t="str">
        <x:v>Maggiori</x:v>
      </x:c>
      <x:c r="G1063" s="26" t="n">
        <x:v>2017</x:v>
      </x:c>
      <x:c r="H1063" s="25" t="str">
        <x:v>Financialintermediation,internationalrisksharing,andreservecurrencies</x:v>
      </x:c>
      <x:c r="I1063" s="25" t="str"/>
      <x:c r="J1063" s="25" t="str"/>
      <x:c r="K1063" s="25" t="str">
        <x:v>automatic_screen_pass</x:v>
      </x:c>
      <x:c r="L1063" s="25" t="str">
        <x:v>accepted</x:v>
      </x:c>
      <x:c r="M1063" s="25" t="str">
        <x:v>no</x:v>
      </x:c>
      <x:c r="N1063" s="25" t="str">
        <x:v>saki_research/working_papers/bianchi_bigio_engel_scrambling_dollars_international_liquidity_banks_exchange_rate.pdf</x:v>
      </x:c>
      <x:c r="O1063" s="25" t="str">
        <x:v>Maggiori,Matteo,“Financialintermediation,internationalrisksharing,andreservecurrencies,”AmericanEconomicReview,2017,107(10),3038–71.</x:v>
      </x:c>
    </x:row>
    <x:row r="1064" ht="48" customHeight="1">
      <x:c r="A1064" s="24" t="str">
        <x:v>W03-R056</x:v>
      </x:c>
      <x:c r="B1064" s="24" t="str">
        <x:v>W03</x:v>
      </x:c>
      <x:c r="C1064" s="26" t="n">
        <x:v>56</x:v>
      </x:c>
      <x:c r="D1064" s="26" t="n">
        <x:v>37</x:v>
      </x:c>
      <x:c r="E1064" s="26" t="n">
        <x:v>37</x:v>
      </x:c>
      <x:c r="F1064" s="26" t="str">
        <x:v>Maggiori</x:v>
      </x:c>
      <x:c r="G1064" s="26" t="n">
        <x:v>2022</x:v>
      </x:c>
      <x:c r="H1064" s="25" t="str">
        <x:v>Internationalmacroeconomicswithimperfectfinancialmarkets</x:v>
      </x:c>
      <x:c r="I1064" s="25" t="str">
        <x:v>inherited_author_notation</x:v>
      </x:c>
      <x:c r="J1064" s="25" t="str">
        <x:v>exhaustive_ai_audit_2026-09-17</x:v>
      </x:c>
      <x:c r="K1064" s="25" t="str">
        <x:v>exhaustive_visual_correction</x:v>
      </x:c>
      <x:c r="L1064" s="25" t="str">
        <x:v>corrected</x:v>
      </x:c>
      <x:c r="M1064" s="25" t="str">
        <x:v>sí</x:v>
      </x:c>
      <x:c r="N1064" s="25" t="str">
        <x:v>saki_research/working_papers/bianchi_bigio_engel_scrambling_dollars_international_liquidity_banks_exchange_rate.pdf</x:v>
      </x:c>
      <x:c r="O1064" s="25" t="str">
        <x:v>,“Internationalmacroeconomicswithimperfectfinancialmarkets,”in“Handbookof internationaleconomics,”Vol.6,Elsevier,2022,pp.199–236.</x:v>
      </x:c>
    </x:row>
    <x:row r="1065" ht="48" customHeight="1">
      <x:c r="A1065" s="24" t="str">
        <x:v>W03-R057</x:v>
      </x:c>
      <x:c r="B1065" s="24" t="str">
        <x:v>W03</x:v>
      </x:c>
      <x:c r="C1065" s="26" t="n">
        <x:v>57</x:v>
      </x:c>
      <x:c r="D1065" s="26" t="n">
        <x:v>37</x:v>
      </x:c>
      <x:c r="E1065" s="26" t="n">
        <x:v>37</x:v>
      </x:c>
      <x:c r="F1065" s="26" t="str">
        <x:v>McGuire</x:v>
      </x:c>
      <x:c r="G1065" s="26" t="n">
        <x:v>2009</x:v>
      </x:c>
      <x:c r="H1065" s="25" t="str">
        <x:v>TheUSdollarshortageinglobalbankingand theinternationalpolicyresponse</x:v>
      </x:c>
      <x:c r="I1065" s="25" t="str"/>
      <x:c r="J1065" s="25" t="str"/>
      <x:c r="K1065" s="25" t="str">
        <x:v>automatic_screen_pass</x:v>
      </x:c>
      <x:c r="L1065" s="25" t="str">
        <x:v>accepted</x:v>
      </x:c>
      <x:c r="M1065" s="25" t="str">
        <x:v>no</x:v>
      </x:c>
      <x:c r="N1065" s="25" t="str">
        <x:v>saki_research/working_papers/bianchi_bigio_engel_scrambling_dollars_international_liquidity_banks_exchange_rate.pdf</x:v>
      </x:c>
      <x:c r="O1065" s="25" t="str">
        <x:v>McGuire,PatrickandGoetzVonPeter,“TheUSdollarshortageinglobalbankingand theinternationalpolicyresponse,”2009. BISworkingpaper.</x:v>
      </x:c>
    </x:row>
    <x:row r="1066" ht="48" customHeight="1">
      <x:c r="A1066" s="24" t="str">
        <x:v>W03-R058</x:v>
      </x:c>
      <x:c r="B1066" s="24" t="str">
        <x:v>W03</x:v>
      </x:c>
      <x:c r="C1066" s="26" t="n">
        <x:v>58</x:v>
      </x:c>
      <x:c r="D1066" s="26" t="n">
        <x:v>37</x:v>
      </x:c>
      <x:c r="E1066" s="26" t="n">
        <x:v>37</x:v>
      </x:c>
      <x:c r="F1066" s="26" t="str">
        <x:v>Meese</x:v>
      </x:c>
      <x:c r="G1066" s="26" t="n">
        <x:v>1983</x:v>
      </x:c>
      <x:c r="H1066" s="25" t="str">
        <x:v>Empiricalexchangeratemodelsoftheseventies: Areanyfittosurvive</x:v>
      </x:c>
      <x:c r="I1066" s="25" t="str"/>
      <x:c r="J1066" s="25" t="str"/>
      <x:c r="K1066" s="25" t="str">
        <x:v>automatic_screen_pass</x:v>
      </x:c>
      <x:c r="L1066" s="25" t="str">
        <x:v>accepted</x:v>
      </x:c>
      <x:c r="M1066" s="25" t="str">
        <x:v>no</x:v>
      </x:c>
      <x:c r="N1066" s="25" t="str">
        <x:v>saki_research/working_papers/bianchi_bigio_engel_scrambling_dollars_international_liquidity_banks_exchange_rate.pdf</x:v>
      </x:c>
      <x:c r="O1066" s="25" t="str">
        <x:v>Meese,RichardAandKennethSRogoff,“Empiricalexchangeratemodelsoftheseventies: Areanyfittosurvive,”JournalofInternationalEconomics,1983,14(1-2),3–24.</x:v>
      </x:c>
    </x:row>
    <x:row r="1067" ht="48" customHeight="1">
      <x:c r="A1067" s="24" t="str">
        <x:v>W03-R059</x:v>
      </x:c>
      <x:c r="B1067" s="24" t="str">
        <x:v>W03</x:v>
      </x:c>
      <x:c r="C1067" s="26" t="n">
        <x:v>59</x:v>
      </x:c>
      <x:c r="D1067" s="26" t="n">
        <x:v>37</x:v>
      </x:c>
      <x:c r="E1067" s="26" t="n">
        <x:v>37</x:v>
      </x:c>
      <x:c r="F1067" s="26" t="str">
        <x:v>Nagel</x:v>
      </x:c>
      <x:c r="G1067" s="26" t="n">
        <x:v>2016</x:v>
      </x:c>
      <x:c r="H1067" s="25" t="str">
        <x:v>The liquidity premium of near-money assets</x:v>
      </x:c>
      <x:c r="I1067" s="25" t="str"/>
      <x:c r="J1067" s="25" t="str"/>
      <x:c r="K1067" s="25" t="str">
        <x:v>exhaustive_visual_multiwork_pattern_accepted</x:v>
      </x:c>
      <x:c r="L1067" s="25" t="str">
        <x:v>accepted</x:v>
      </x:c>
      <x:c r="M1067" s="25" t="str">
        <x:v>sí</x:v>
      </x:c>
      <x:c r="N1067" s="25" t="str">
        <x:v>saki_research/working_papers/bianchi_bigio_engel_scrambling_dollars_international_liquidity_banks_exchange_rate.pdf</x:v>
      </x:c>
      <x:c r="O1067" s="25" t="str">
        <x:v>Nagel, Stefan, “The liquidity premium of near-money assets,”The Quarterly Journal of Economics,2016,131(4),1927–1971.</x:v>
      </x:c>
    </x:row>
    <x:row r="1068" ht="48" customHeight="1">
      <x:c r="A1068" s="24" t="str">
        <x:v>W03-R060</x:v>
      </x:c>
      <x:c r="B1068" s="24" t="str">
        <x:v>W03</x:v>
      </x:c>
      <x:c r="C1068" s="26" t="n">
        <x:v>60</x:v>
      </x:c>
      <x:c r="D1068" s="26" t="n">
        <x:v>37</x:v>
      </x:c>
      <x:c r="E1068" s="26" t="n">
        <x:v>37</x:v>
      </x:c>
      <x:c r="F1068" s="26" t="str">
        <x:v>Obstfeld</x:v>
      </x:c>
      <x:c r="G1068" s="26" t="n">
        <x:v>2000</x:v>
      </x:c>
      <x:c r="H1068" s="25" t="str">
        <x:v>Thesixmajorpuzzlesininternationalmacroeconomics: isthereacommoncause?</x:v>
      </x:c>
      <x:c r="I1068" s="25" t="str"/>
      <x:c r="J1068" s="25" t="str"/>
      <x:c r="K1068" s="25" t="str">
        <x:v>automatic_screen_pass</x:v>
      </x:c>
      <x:c r="L1068" s="25" t="str">
        <x:v>accepted</x:v>
      </x:c>
      <x:c r="M1068" s="25" t="str">
        <x:v>no</x:v>
      </x:c>
      <x:c r="N1068" s="25" t="str">
        <x:v>saki_research/working_papers/bianchi_bigio_engel_scrambling_dollars_international_liquidity_banks_exchange_rate.pdf</x:v>
      </x:c>
      <x:c r="O1068" s="25" t="str">
        <x:v>Obstfeld,MauriceandKennethRogoff,“Thesixmajorpuzzlesininternationalmacroeconomics: isthereacommoncause?,”NBERMacroeconomicsAnnual,2000,15,339–390.</x:v>
      </x:c>
    </x:row>
    <x:row r="1069" ht="48" customHeight="1">
      <x:c r="A1069" s="24" t="str">
        <x:v>W03-R061</x:v>
      </x:c>
      <x:c r="B1069" s="24" t="str">
        <x:v>W03</x:v>
      </x:c>
      <x:c r="C1069" s="26" t="n">
        <x:v>61</x:v>
      </x:c>
      <x:c r="D1069" s="26" t="n">
        <x:v>37</x:v>
      </x:c>
      <x:c r="E1069" s="26" t="n">
        <x:v>37</x:v>
      </x:c>
      <x:c r="F1069" s="26" t="str">
        <x:v>Obstfeld</x:v>
      </x:c>
      <x:c r="G1069" s="26" t="n">
        <x:v>2003</x:v>
      </x:c>
      <x:c r="H1069" s="25" t="str">
        <x:v>Riskandexchangerates</x:v>
      </x:c>
      <x:c r="I1069" s="25" t="str">
        <x:v>inherited_author_notation</x:v>
      </x:c>
      <x:c r="J1069" s="25" t="str"/>
      <x:c r="K1069" s="25" t="str">
        <x:v>automatic_screen_pass</x:v>
      </x:c>
      <x:c r="L1069" s="25" t="str">
        <x:v>accepted</x:v>
      </x:c>
      <x:c r="M1069" s="25" t="str">
        <x:v>no</x:v>
      </x:c>
      <x:c r="N1069" s="25" t="str">
        <x:v>saki_research/working_papers/bianchi_bigio_engel_scrambling_dollars_international_liquidity_banks_exchange_rate.pdf</x:v>
      </x:c>
      <x:c r="O1069" s="25" t="str">
        <x:v>and ,“Riskandexchangerates,”EconomicPolicyintheInternationalEconomy: Essaysin HonorofAssafRazin,2003,pp.74–120.</x:v>
      </x:c>
    </x:row>
    <x:row r="1070" ht="48" customHeight="1">
      <x:c r="A1070" s="24" t="str">
        <x:v>W03-R062</x:v>
      </x:c>
      <x:c r="B1070" s="24" t="str">
        <x:v>W03</x:v>
      </x:c>
      <x:c r="C1070" s="26" t="n">
        <x:v>62</x:v>
      </x:c>
      <x:c r="D1070" s="26" t="n">
        <x:v>38</x:v>
      </x:c>
      <x:c r="E1070" s="26" t="n">
        <x:v>38</x:v>
      </x:c>
      <x:c r="F1070" s="26" t="str">
        <x:v>Piazzesi</x:v>
      </x:c>
      <x:c r="G1070" s="26" t="n">
        <x:v>2021</x:v>
      </x:c>
      <x:c r="H1070" s="25" t="str">
        <x:v>Payments,creditandassetprices</x:v>
      </x:c>
      <x:c r="I1070" s="25" t="str"/>
      <x:c r="J1070" s="25" t="str"/>
      <x:c r="K1070" s="25" t="str">
        <x:v>automatic_screen_pass</x:v>
      </x:c>
      <x:c r="L1070" s="25" t="str">
        <x:v>accepted</x:v>
      </x:c>
      <x:c r="M1070" s="25" t="str">
        <x:v>no</x:v>
      </x:c>
      <x:c r="N1070" s="25" t="str">
        <x:v>saki_research/working_papers/bianchi_bigio_engel_scrambling_dollars_international_liquidity_banks_exchange_rate.pdf</x:v>
      </x:c>
      <x:c r="O1070" s="25" t="str">
        <x:v>Piazzesi,MonikaandMartinSchneider,“Payments,creditandassetprices,”2021.Mimeo, Stanford.</x:v>
      </x:c>
    </x:row>
    <x:row r="1071" ht="48" customHeight="1">
      <x:c r="A1071" s="24" t="str">
        <x:v>W03-R063</x:v>
      </x:c>
      <x:c r="B1071" s="24" t="str">
        <x:v>W03</x:v>
      </x:c>
      <x:c r="C1071" s="26" t="n">
        <x:v>63</x:v>
      </x:c>
      <x:c r="D1071" s="26" t="n">
        <x:v>38</x:v>
      </x:c>
      <x:c r="E1071" s="26" t="n">
        <x:v>38</x:v>
      </x:c>
      <x:c r="F1071" s="26" t="str">
        <x:v>Richmond</x:v>
      </x:c>
      <x:c r="G1071" s="26" t="n">
        <x:v>2019</x:v>
      </x:c>
      <x:c r="H1071" s="25" t="str">
        <x:v>Tradenetworkcentralityandcurrencyriskpremia</x:v>
      </x:c>
      <x:c r="I1071" s="25" t="str"/>
      <x:c r="J1071" s="25" t="str"/>
      <x:c r="K1071" s="25" t="str">
        <x:v>automatic_screen_pass</x:v>
      </x:c>
      <x:c r="L1071" s="25" t="str">
        <x:v>accepted</x:v>
      </x:c>
      <x:c r="M1071" s="25" t="str">
        <x:v>no</x:v>
      </x:c>
      <x:c r="N1071" s="25" t="str">
        <x:v>saki_research/working_papers/bianchi_bigio_engel_scrambling_dollars_international_liquidity_banks_exchange_rate.pdf</x:v>
      </x:c>
      <x:c r="O1071" s="25" t="str">
        <x:v>Richmond,RobertJ,“Tradenetworkcentralityandcurrencyriskpremia,”TheJournalof Finance,2019,74(3),1315–1361.</x:v>
      </x:c>
    </x:row>
    <x:row r="1072" ht="48" customHeight="1">
      <x:c r="A1072" s="24" t="str">
        <x:v>W03-R064</x:v>
      </x:c>
      <x:c r="B1072" s="24" t="str">
        <x:v>W03</x:v>
      </x:c>
      <x:c r="C1072" s="26" t="n">
        <x:v>64</x:v>
      </x:c>
      <x:c r="D1072" s="26" t="n">
        <x:v>38</x:v>
      </x:c>
      <x:c r="E1072" s="26" t="n">
        <x:v>38</x:v>
      </x:c>
      <x:c r="F1072" s="26" t="str">
        <x:v>Stock</x:v>
      </x:c>
      <x:c r="G1072" s="26" t="n">
        <x:v>1989</x:v>
      </x:c>
      <x:c r="H1072" s="25" t="str">
        <x:v>NewIndicesofCoincidentandLeadingEconomic Indicators</x:v>
      </x:c>
      <x:c r="I1072" s="25" t="str"/>
      <x:c r="J1072" s="25" t="str"/>
      <x:c r="K1072" s="25" t="str">
        <x:v>automatic_screen_pass</x:v>
      </x:c>
      <x:c r="L1072" s="25" t="str">
        <x:v>accepted</x:v>
      </x:c>
      <x:c r="M1072" s="25" t="str">
        <x:v>no</x:v>
      </x:c>
      <x:c r="N1072" s="25" t="str">
        <x:v>saki_research/working_papers/bianchi_bigio_engel_scrambling_dollars_international_liquidity_banks_exchange_rate.pdf</x:v>
      </x:c>
      <x:c r="O1072" s="25" t="str">
        <x:v>Stock,JamesH.andMarkW.Watson,“NewIndicesofCoincidentandLeadingEconomic Indicators,”NBERMacroeconomicsAnnual,1989,4,351–394.</x:v>
      </x:c>
    </x:row>
    <x:row r="1073" ht="48" customHeight="1">
      <x:c r="A1073" s="24" t="str">
        <x:v>W03-R065</x:v>
      </x:c>
      <x:c r="B1073" s="24" t="str">
        <x:v>W03</x:v>
      </x:c>
      <x:c r="C1073" s="26" t="n">
        <x:v>65</x:v>
      </x:c>
      <x:c r="D1073" s="26" t="n">
        <x:v>38</x:v>
      </x:c>
      <x:c r="E1073" s="26" t="n">
        <x:v>38</x:v>
      </x:c>
      <x:c r="F1073" s="26" t="str">
        <x:v>Valchev</x:v>
      </x:c>
      <x:c r="G1073" s="26" t="n">
        <x:v>2020</x:v>
      </x:c>
      <x:c r="H1073" s="25" t="str">
        <x:v>Bondconvenienceyieldsandexchangeratedynamics</x:v>
      </x:c>
      <x:c r="I1073" s="25" t="str"/>
      <x:c r="J1073" s="25" t="str"/>
      <x:c r="K1073" s="25" t="str">
        <x:v>automatic_screen_pass</x:v>
      </x:c>
      <x:c r="L1073" s="25" t="str">
        <x:v>accepted</x:v>
      </x:c>
      <x:c r="M1073" s="25" t="str">
        <x:v>no</x:v>
      </x:c>
      <x:c r="N1073" s="25" t="str">
        <x:v>saki_research/working_papers/bianchi_bigio_engel_scrambling_dollars_international_liquidity_banks_exchange_rate.pdf</x:v>
      </x:c>
      <x:c r="O1073" s="25" t="str">
        <x:v>Valchev,Rosen,“Bondconvenienceyieldsandexchangeratedynamics,”AmericanEconomic Journal: Macroeconomics,2020,12(2),124–66.</x:v>
      </x:c>
    </x:row>
    <x:row r="1074" ht="48" customHeight="1">
      <x:c r="A1074" s="24" t="str">
        <x:v>W03-R066</x:v>
      </x:c>
      <x:c r="B1074" s="24" t="str">
        <x:v>W03</x:v>
      </x:c>
      <x:c r="C1074" s="26" t="n">
        <x:v>66</x:v>
      </x:c>
      <x:c r="D1074" s="26" t="n">
        <x:v>38</x:v>
      </x:c>
      <x:c r="E1074" s="26" t="n">
        <x:v>38</x:v>
      </x:c>
      <x:c r="F1074" s="26" t="str">
        <x:v>Verdelhan</x:v>
      </x:c>
      <x:c r="G1074" s="26" t="n">
        <x:v>2010</x:v>
      </x:c>
      <x:c r="H1074" s="25" t="str">
        <x:v>Ahabit-basedexplanationoftheexchangerateriskpremium</x:v>
      </x:c>
      <x:c r="I1074" s="25" t="str"/>
      <x:c r="J1074" s="25" t="str"/>
      <x:c r="K1074" s="25" t="str">
        <x:v>automatic_screen_pass</x:v>
      </x:c>
      <x:c r="L1074" s="25" t="str">
        <x:v>accepted</x:v>
      </x:c>
      <x:c r="M1074" s="25" t="str">
        <x:v>no</x:v>
      </x:c>
      <x:c r="N1074" s="25" t="str">
        <x:v>saki_research/working_papers/bianchi_bigio_engel_scrambling_dollars_international_liquidity_banks_exchange_rate.pdf</x:v>
      </x:c>
      <x:c r="O1074" s="25" t="str">
        <x:v>Verdelhan,Adrien,“Ahabit-basedexplanationoftheexchangerateriskpremium,”The JournalofFinance,2010,65(1),123–146.</x:v>
      </x:c>
    </x:row>
    <x:row r="1075" ht="48" customHeight="1">
      <x:c r="A1075" s="24" t="str">
        <x:v>W03-R067</x:v>
      </x:c>
      <x:c r="B1075" s="24" t="str">
        <x:v>W03</x:v>
      </x:c>
      <x:c r="C1075" s="26" t="n">
        <x:v>67</x:v>
      </x:c>
      <x:c r="D1075" s="26" t="n">
        <x:v>38</x:v>
      </x:c>
      <x:c r="E1075" s="26" t="n">
        <x:v>38</x:v>
      </x:c>
      <x:c r="F1075" s="26" t="str">
        <x:v>Weill</x:v>
      </x:c>
      <x:c r="G1075" s="26" t="n">
        <x:v>2020</x:v>
      </x:c>
      <x:c r="H1075" s="25" t="str">
        <x:v>TheSearchTheoryofOver-the-CounterMarkets</x:v>
      </x:c>
      <x:c r="I1075" s="25" t="str"/>
      <x:c r="J1075" s="25" t="str"/>
      <x:c r="K1075" s="25" t="str">
        <x:v>automatic_screen_pass</x:v>
      </x:c>
      <x:c r="L1075" s="25" t="str">
        <x:v>accepted</x:v>
      </x:c>
      <x:c r="M1075" s="25" t="str">
        <x:v>no</x:v>
      </x:c>
      <x:c r="N1075" s="25" t="str">
        <x:v>saki_research/working_papers/bianchi_bigio_engel_scrambling_dollars_international_liquidity_banks_exchange_rate.pdf</x:v>
      </x:c>
      <x:c r="O1075" s="25" t="str">
        <x:v>Weill,Pierre-Olivier,“TheSearchTheoryofOver-the-CounterMarkets,”AnnualReviewof Economics,2020,12,747–773. A Expressionsfor{Ψ+,Ψ−,χ+,χ−,,Rf}</x:v>
      </x:c>
    </x:row>
    <x:row r="1076" ht="48" customHeight="1">
      <x:c r="A1076" s="24" t="str">
        <x:v>W04-R001</x:v>
      </x:c>
      <x:c r="B1076" s="24" t="str">
        <x:v>W04</x:v>
      </x:c>
      <x:c r="C1076" s="26" t="n">
        <x:v>1</x:v>
      </x:c>
      <x:c r="D1076" s="26" t="n">
        <x:v>43</x:v>
      </x:c>
      <x:c r="E1076" s="26" t="n">
        <x:v>43</x:v>
      </x:c>
      <x:c r="F1076" s="26" t="str">
        <x:v>Aiyagari</x:v>
      </x:c>
      <x:c r="G1076" s="26" t="n">
        <x:v>2002</x:v>
      </x:c>
      <x:c r="H1076" s="25" t="str">
        <x:v>Optimal taxation without state-contingent debt</x:v>
      </x:c>
      <x:c r="I1076" s="25" t="str"/>
      <x:c r="J1076" s="25" t="str"/>
      <x:c r="K1076" s="25" t="str">
        <x:v>prior_manual_sample</x:v>
      </x:c>
      <x:c r="L1076" s="25" t="str">
        <x:v>accepted</x:v>
      </x:c>
      <x:c r="M1076" s="25" t="str">
        <x:v>no</x:v>
      </x:c>
      <x:c r="N1076" s="25" t="str">
        <x:v>saki_research/working_papers/bigio_caramp_silva_sticky_inflation_monetary_policy_debt_drags_inflation_expectations.pdf</x:v>
      </x:c>
      <x:c r="O1076" s="25" t="str">
        <x:v>Aiyagari, S Rao, Albert Marcet, Thomas J Sargent, and Juha Sepp ̈al ̈a, “Optimal taxation without state-contingent debt,”Journal of Political Economy, 2002, 110(6), 1220–1254.4.1</x:v>
      </x:c>
    </x:row>
    <x:row r="1077" ht="48" customHeight="1">
      <x:c r="A1077" s="24" t="str">
        <x:v>W04-R002</x:v>
      </x:c>
      <x:c r="B1077" s="24" t="str">
        <x:v>W04</x:v>
      </x:c>
      <x:c r="C1077" s="26" t="n">
        <x:v>2</x:v>
      </x:c>
      <x:c r="D1077" s="26" t="n">
        <x:v>43</x:v>
      </x:c>
      <x:c r="E1077" s="26" t="n">
        <x:v>43</x:v>
      </x:c>
      <x:c r="F1077" s="26" t="str">
        <x:v>Angeletos</x:v>
      </x:c>
      <x:c r="G1077" s="26" t="n">
        <x:v>2024</x:v>
      </x:c>
      <x:c r="H1077" s="25" t="str">
        <x:v>Deficits and Inflation: HANK meets FTPL</x:v>
      </x:c>
      <x:c r="I1077" s="25" t="str"/>
      <x:c r="J1077" s="25" t="str"/>
      <x:c r="K1077" s="25" t="str">
        <x:v>automatic_screen_pass</x:v>
      </x:c>
      <x:c r="L1077" s="25" t="str">
        <x:v>accepted</x:v>
      </x:c>
      <x:c r="M1077" s="25" t="str">
        <x:v>no</x:v>
      </x:c>
      <x:c r="N1077" s="25" t="str">
        <x:v>saki_research/working_papers/bigio_caramp_silva_sticky_inflation_monetary_policy_debt_drags_inflation_expectations.pdf</x:v>
      </x:c>
      <x:c r="O1077" s="25" t="str">
        <x:v>Angeletos, George-Marios, Chen Lian, and Christian K Wolf, “Deficits and Inflation: HANK meets FTPL,” 2024.1</x:v>
      </x:c>
    </x:row>
    <x:row r="1078" ht="48" customHeight="1">
      <x:c r="A1078" s="24" t="str">
        <x:v>W04-R003</x:v>
      </x:c>
      <x:c r="B1078" s="24" t="str">
        <x:v>W04</x:v>
      </x:c>
      <x:c r="C1078" s="26" t="n">
        <x:v>3</x:v>
      </x:c>
      <x:c r="D1078" s="26" t="n">
        <x:v>43</x:v>
      </x:c>
      <x:c r="E1078" s="26" t="n">
        <x:v>43</x:v>
      </x:c>
      <x:c r="F1078" s="26" t="str">
        <x:v>Arutyunov</x:v>
      </x:c>
      <x:c r="G1078" s="26" t="n">
        <x:v>2019</x:v>
      </x:c>
      <x:c r="H1078" s="25" t="str">
        <x:v>Optimal impulsive control</x:v>
      </x:c>
      <x:c r="I1078" s="25" t="str"/>
      <x:c r="J1078" s="25" t="str"/>
      <x:c r="K1078" s="25" t="str">
        <x:v>prior_manual_sample</x:v>
      </x:c>
      <x:c r="L1078" s="25" t="str">
        <x:v>accepted</x:v>
      </x:c>
      <x:c r="M1078" s="25" t="str">
        <x:v>no</x:v>
      </x:c>
      <x:c r="N1078" s="25" t="str">
        <x:v>saki_research/working_papers/bigio_caramp_silva_sticky_inflation_monetary_policy_debt_drags_inflation_expectations.pdf</x:v>
      </x:c>
      <x:c r="O1078" s="25" t="str">
        <x:v>Arutyunov, Aram, Dmitry Karamzin, and Fernando Lobo Pereira, “Optimal impulsive control,”Lecture Notes in Control and Information Sciences. Springer, Cham, 2019,477. 17,36</x:v>
      </x:c>
    </x:row>
    <x:row r="1079" ht="48" customHeight="1">
      <x:c r="A1079" s="24" t="str">
        <x:v>W04-R004</x:v>
      </x:c>
      <x:c r="B1079" s="24" t="str">
        <x:v>W04</x:v>
      </x:c>
      <x:c r="C1079" s="26" t="n">
        <x:v>4</x:v>
      </x:c>
      <x:c r="D1079" s="26" t="n">
        <x:v>43</x:v>
      </x:c>
      <x:c r="E1079" s="26" t="n">
        <x:v>43</x:v>
      </x:c>
      <x:c r="F1079" s="26" t="str">
        <x:v>Attanasio</x:v>
      </x:c>
      <x:c r="G1079" s="26" t="n">
        <x:v>1995</x:v>
      </x:c>
      <x:c r="H1079" s="25" t="str">
        <x:v>Is consumption growth consistent with intertemporal optimization? Evidence from the consumer expenditure survey</x:v>
      </x:c>
      <x:c r="I1079" s="25" t="str"/>
      <x:c r="J1079" s="25" t="str"/>
      <x:c r="K1079" s="25" t="str">
        <x:v>automatic_screen_pass</x:v>
      </x:c>
      <x:c r="L1079" s="25" t="str">
        <x:v>accepted</x:v>
      </x:c>
      <x:c r="M1079" s="25" t="str">
        <x:v>no</x:v>
      </x:c>
      <x:c r="N1079" s="25" t="str">
        <x:v>saki_research/working_papers/bigio_caramp_silva_sticky_inflation_monetary_policy_debt_drags_inflation_expectations.pdf</x:v>
      </x:c>
      <x:c r="O1079" s="25" t="str">
        <x:v>Attanasio, Orazio P and Guglielmo Weber, “Is consumption growth consistent with intertemporal optimization? Evidence from the consumer expenditure survey,” Journal of political Economy, 1995,103 (6), 1121–1157.1,5.2</x:v>
      </x:c>
    </x:row>
    <x:row r="1080" ht="48" customHeight="1">
      <x:c r="A1080" s="24" t="str">
        <x:v>W04-R005</x:v>
      </x:c>
      <x:c r="B1080" s="24" t="str">
        <x:v>W04</x:v>
      </x:c>
      <x:c r="C1080" s="26" t="n">
        <x:v>5</x:v>
      </x:c>
      <x:c r="D1080" s="26" t="n">
        <x:v>43</x:v>
      </x:c>
      <x:c r="E1080" s="26" t="n">
        <x:v>43</x:v>
      </x:c>
      <x:c r="F1080" s="26" t="str">
        <x:v>Barro</x:v>
      </x:c>
      <x:c r="G1080" s="26" t="n">
        <x:v>2024</x:v>
      </x:c>
      <x:c r="H1080" s="25" t="str">
        <x:v>Fiscal Influences on Inflation in OECD Countries, 2020-2023</x:v>
      </x:c>
      <x:c r="I1080" s="25" t="str"/>
      <x:c r="J1080" s="25" t="str"/>
      <x:c r="K1080" s="25" t="str">
        <x:v>exhaustive_visual_multiwork_pattern_accepted</x:v>
      </x:c>
      <x:c r="L1080" s="25" t="str">
        <x:v>accepted</x:v>
      </x:c>
      <x:c r="M1080" s="25" t="str">
        <x:v>sí</x:v>
      </x:c>
      <x:c r="N1080" s="25" t="str">
        <x:v>saki_research/working_papers/bigio_caramp_silva_sticky_inflation_monetary_policy_debt_drags_inflation_expectations.pdf</x:v>
      </x:c>
      <x:c r="O1080" s="25" t="str">
        <x:v>Barro, Robert and Francesco Bianchi, “Fiscal Influences on Inflation in OECD Countries, 2020-2023,” July 2024. Unpublished.1</x:v>
      </x:c>
    </x:row>
    <x:row r="1081" ht="48" customHeight="1">
      <x:c r="A1081" s="24" t="str">
        <x:v>W04-R006</x:v>
      </x:c>
      <x:c r="B1081" s="24" t="str">
        <x:v>W04</x:v>
      </x:c>
      <x:c r="C1081" s="26" t="n">
        <x:v>6</x:v>
      </x:c>
      <x:c r="D1081" s="26" t="n">
        <x:v>43</x:v>
      </x:c>
      <x:c r="E1081" s="26" t="n">
        <x:v>43</x:v>
      </x:c>
      <x:c r="F1081" s="26" t="str">
        <x:v>Barro</x:v>
      </x:c>
      <x:c r="G1081" s="26" t="n">
        <x:v>1979</x:v>
      </x:c>
      <x:c r="H1081" s="25" t="str">
        <x:v>Onthedeterminationofthepublicdebt</x:v>
      </x:c>
      <x:c r="I1081" s="25" t="str"/>
      <x:c r="J1081" s="25" t="str"/>
      <x:c r="K1081" s="25" t="str">
        <x:v>automatic_screen_pass</x:v>
      </x:c>
      <x:c r="L1081" s="25" t="str">
        <x:v>accepted</x:v>
      </x:c>
      <x:c r="M1081" s="25" t="str">
        <x:v>no</x:v>
      </x:c>
      <x:c r="N1081" s="25" t="str">
        <x:v>saki_research/working_papers/bigio_caramp_silva_sticky_inflation_monetary_policy_debt_drags_inflation_expectations.pdf</x:v>
      </x:c>
      <x:c r="O1081" s="25" t="str">
        <x:v>Barro,RobertJ,“Onthedeterminationofthepublicdebt,”JournalofpoliticalEconomy,1979, 87 (5, Part 1), 940–971.4.1</x:v>
      </x:c>
    </x:row>
    <x:row r="1082" ht="48" customHeight="1">
      <x:c r="A1082" s="24" t="str">
        <x:v>W04-R007</x:v>
      </x:c>
      <x:c r="B1082" s="24" t="str">
        <x:v>W04</x:v>
      </x:c>
      <x:c r="C1082" s="26" t="n">
        <x:v>7</x:v>
      </x:c>
      <x:c r="D1082" s="26" t="n">
        <x:v>43</x:v>
      </x:c>
      <x:c r="E1082" s="26" t="n">
        <x:v>43</x:v>
      </x:c>
      <x:c r="F1082" s="26" t="str">
        <x:v>Bassetto</x:v>
      </x:c>
      <x:c r="G1082" s="26" t="n">
        <x:v>2022</x:v>
      </x:c>
      <x:c r="H1082" s="25" t="str">
        <x:v>Amonetary-fiscaltheoryofsuddeninflations</x:v>
      </x:c>
      <x:c r="I1082" s="25" t="str"/>
      <x:c r="J1082" s="25" t="str"/>
      <x:c r="K1082" s="25" t="str">
        <x:v>automatic_screen_pass</x:v>
      </x:c>
      <x:c r="L1082" s="25" t="str">
        <x:v>accepted</x:v>
      </x:c>
      <x:c r="M1082" s="25" t="str">
        <x:v>no</x:v>
      </x:c>
      <x:c r="N1082" s="25" t="str">
        <x:v>saki_research/working_papers/bigio_caramp_silva_sticky_inflation_monetary_policy_debt_drags_inflation_expectations.pdf</x:v>
      </x:c>
      <x:c r="O1082" s="25" t="str">
        <x:v>Bassetto,MarcoandDavidSMiller,“Amonetary-fiscaltheoryofsuddeninflations,”2022.</x:v>
      </x:c>
    </x:row>
    <x:row r="1083" ht="48" customHeight="1">
      <x:c r="A1083" s="24" t="str">
        <x:v>W04-R008</x:v>
      </x:c>
      <x:c r="B1083" s="24" t="str">
        <x:v>W04</x:v>
      </x:c>
      <x:c r="C1083" s="26" t="n">
        <x:v>8</x:v>
      </x:c>
      <x:c r="D1083" s="26" t="n">
        <x:v>43</x:v>
      </x:c>
      <x:c r="E1083" s="26" t="n">
        <x:v>43</x:v>
      </x:c>
      <x:c r="F1083" s="26" t="str">
        <x:v>Benigno</x:v>
      </x:c>
      <x:c r="G1083" s="26" t="n">
        <x:v>2023</x:v>
      </x:c>
      <x:c r="H1083" s="25" t="str">
        <x:v>It’s baaack: The surge in inflation in the 2020s and the return of the non-linear phillips curve</x:v>
      </x:c>
      <x:c r="I1083" s="25" t="str"/>
      <x:c r="J1083" s="25" t="str"/>
      <x:c r="K1083" s="25" t="str">
        <x:v>automatic_screen_pass</x:v>
      </x:c>
      <x:c r="L1083" s="25" t="str">
        <x:v>accepted</x:v>
      </x:c>
      <x:c r="M1083" s="25" t="str">
        <x:v>no</x:v>
      </x:c>
      <x:c r="N1083" s="25" t="str">
        <x:v>saki_research/working_papers/bigio_caramp_silva_sticky_inflation_monetary_policy_debt_drags_inflation_expectations.pdf</x:v>
      </x:c>
      <x:c r="O1083" s="25" t="str">
        <x:v>Benigno, Pierpaolo and Gauti B Eggertsson, “It’s baaack: The surge in inflation in the 2020s and the return of the non-linear phillips curve,” Technical Report, National Bureau of Economic Research 2023.1</x:v>
      </x:c>
    </x:row>
    <x:row r="1084" ht="48" customHeight="1">
      <x:c r="A1084" s="24" t="str">
        <x:v>W04-R009</x:v>
      </x:c>
      <x:c r="B1084" s="24" t="str">
        <x:v>W04</x:v>
      </x:c>
      <x:c r="C1084" s="26" t="n">
        <x:v>9</x:v>
      </x:c>
      <x:c r="D1084" s="26" t="n">
        <x:v>43</x:v>
      </x:c>
      <x:c r="E1084" s="26" t="n">
        <x:v>43</x:v>
      </x:c>
      <x:c r="F1084" s="26" t="str">
        <x:v>Bianchi</x:v>
      </x:c>
      <x:c r="G1084" s="26" t="n">
        <x:v>2017</x:v>
      </x:c>
      <x:c r="H1084" s="25" t="str">
        <x:v>Monetary/fiscal policy mix and agents’ beliefs</x:v>
      </x:c>
      <x:c r="I1084" s="25" t="str"/>
      <x:c r="J1084" s="25" t="str"/>
      <x:c r="K1084" s="25" t="str">
        <x:v>automatic_screen_pass</x:v>
      </x:c>
      <x:c r="L1084" s="25" t="str">
        <x:v>accepted</x:v>
      </x:c>
      <x:c r="M1084" s="25" t="str">
        <x:v>no</x:v>
      </x:c>
      <x:c r="N1084" s="25" t="str">
        <x:v>saki_research/working_papers/bigio_caramp_silva_sticky_inflation_monetary_policy_debt_drags_inflation_expectations.pdf</x:v>
      </x:c>
      <x:c r="O1084" s="25" t="str">
        <x:v>Bianchi, Francesco and Cosmin Ilut, “Monetary/fiscal policy mix and agents’ beliefs,”Review of Economic Dynamics, 2017, 26, 113–139.1</x:v>
      </x:c>
    </x:row>
    <x:row r="1085" ht="48" customHeight="1">
      <x:c r="A1085" s="24" t="str">
        <x:v>W04-R010</x:v>
      </x:c>
      <x:c r="B1085" s="24" t="str">
        <x:v>W04</x:v>
      </x:c>
      <x:c r="C1085" s="26" t="n">
        <x:v>10</x:v>
      </x:c>
      <x:c r="D1085" s="26" t="n">
        <x:v>43</x:v>
      </x:c>
      <x:c r="E1085" s="26" t="n">
        <x:v>43</x:v>
      </x:c>
      <x:c r="F1085" s="26" t="str">
        <x:v>Bianchi</x:v>
      </x:c>
      <x:c r="G1085" s="26" t="n">
        <x:v>2017</x:v>
      </x:c>
      <x:c r="H1085" s="25" t="str">
        <x:v>Escaping the great recession</x:v>
      </x:c>
      <x:c r="I1085" s="25" t="str">
        <x:v>inherited_author_notation</x:v>
      </x:c>
      <x:c r="J1085" s="25" t="str"/>
      <x:c r="K1085" s="25" t="str">
        <x:v>prior_manual_sample</x:v>
      </x:c>
      <x:c r="L1085" s="25" t="str">
        <x:v>accepted</x:v>
      </x:c>
      <x:c r="M1085" s="25" t="str">
        <x:v>no</x:v>
      </x:c>
      <x:c r="N1085" s="25" t="str">
        <x:v>saki_research/working_papers/bigio_caramp_silva_sticky_inflation_monetary_policy_debt_drags_inflation_expectations.pdf</x:v>
      </x:c>
      <x:c r="O1085" s="25" t="str">
        <x:v>and Leonardo Melosi, “Escaping the great recession,” American Economic Review, 2017, 107 (4), 1030–58.5.2</x:v>
      </x:c>
    </x:row>
    <x:row r="1086" ht="48" customHeight="1">
      <x:c r="A1086" s="24" t="str">
        <x:v>W04-R011</x:v>
      </x:c>
      <x:c r="B1086" s="24" t="str">
        <x:v>W04</x:v>
      </x:c>
      <x:c r="C1086" s="26" t="n">
        <x:v>11</x:v>
      </x:c>
      <x:c r="D1086" s="26" t="n">
        <x:v>43</x:v>
      </x:c>
      <x:c r="E1086" s="26" t="n">
        <x:v>43</x:v>
      </x:c>
      <x:c r="F1086" s="26" t="str">
        <x:v>Bianchi</x:v>
      </x:c>
      <x:c r="G1086" s="26" t="n">
        <x:v>2019</x:v>
      </x:c>
      <x:c r="H1086" s="25" t="str">
        <x:v>Thedireeffectsofthelackofmonetaryandfiscalcoordination</x:v>
      </x:c>
      <x:c r="I1086" s="25" t="str">
        <x:v>inherited_author_notation</x:v>
      </x:c>
      <x:c r="J1086" s="25" t="str"/>
      <x:c r="K1086" s="25" t="str">
        <x:v>automatic_screen_pass</x:v>
      </x:c>
      <x:c r="L1086" s="25" t="str">
        <x:v>accepted</x:v>
      </x:c>
      <x:c r="M1086" s="25" t="str">
        <x:v>no</x:v>
      </x:c>
      <x:c r="N1086" s="25" t="str">
        <x:v>saki_research/working_papers/bigio_caramp_silva_sticky_inflation_monetary_policy_debt_drags_inflation_expectations.pdf</x:v>
      </x:c>
      <x:c r="O1086" s="25" t="str">
        <x:v>and ,“Thedireeffectsofthelackofmonetaryandfiscalcoordination,”JournalofMonetary Economics, 2019, 104, 1–22.1</x:v>
      </x:c>
    </x:row>
    <x:row r="1087" ht="48" customHeight="1">
      <x:c r="A1087" s="24" t="str">
        <x:v>W04-R012</x:v>
      </x:c>
      <x:c r="B1087" s="24" t="str">
        <x:v>W04</x:v>
      </x:c>
      <x:c r="C1087" s="26" t="n">
        <x:v>12</x:v>
      </x:c>
      <x:c r="D1087" s="26" t="n">
        <x:v>43</x:v>
      </x:c>
      <x:c r="E1087" s="26" t="n">
        <x:v>43</x:v>
      </x:c>
      <x:c r="F1087" s="26" t="str">
        <x:v>Bianchi</x:v>
      </x:c>
      <x:c r="G1087" s="26" t="n">
        <x:v>2023</x:v>
      </x:c>
      <x:c r="H1087" s="25" t="str">
        <x:v>A Fiscal Theory of Persistent Inflation</x:v>
      </x:c>
      <x:c r="I1087" s="25" t="str">
        <x:v>inherited_author_notation</x:v>
      </x:c>
      <x:c r="J1087" s="25" t="str"/>
      <x:c r="K1087" s="25" t="str">
        <x:v>automatic_screen_pass</x:v>
      </x:c>
      <x:c r="L1087" s="25" t="str">
        <x:v>accepted</x:v>
      </x:c>
      <x:c r="M1087" s="25" t="str">
        <x:v>no</x:v>
      </x:c>
      <x:c r="N1087" s="25" t="str">
        <x:v>saki_research/working_papers/bigio_caramp_silva_sticky_inflation_monetary_policy_debt_drags_inflation_expectations.pdf</x:v>
      </x:c>
      <x:c r="O1087" s="25" t="str">
        <x:v>Renato Faccini, and Leonardo Melosi, “A Fiscal Theory of Persistent Inflation,” The Quarterly Journal of Economics, 05 2023, p. qjad027.1,1,5.2</x:v>
      </x:c>
    </x:row>
    <x:row r="1088" ht="48" customHeight="1">
      <x:c r="A1088" s="24" t="str">
        <x:v>W04-R013</x:v>
      </x:c>
      <x:c r="B1088" s="24" t="str">
        <x:v>W04</x:v>
      </x:c>
      <x:c r="C1088" s="26" t="n">
        <x:v>13</x:v>
      </x:c>
      <x:c r="D1088" s="26" t="n">
        <x:v>44</x:v>
      </x:c>
      <x:c r="E1088" s="26" t="n">
        <x:v>44</x:v>
      </x:c>
      <x:c r="F1088" s="26" t="str">
        <x:v>Blanchard</x:v>
      </x:c>
      <x:c r="G1088" s="26" t="n">
        <x:v>2023</x:v>
      </x:c>
      <x:c r="H1088" s="25" t="str">
        <x:v>What Caused the US Pandemic-Era Inflation?</x:v>
      </x:c>
      <x:c r="I1088" s="25" t="str"/>
      <x:c r="J1088" s="25" t="str"/>
      <x:c r="K1088" s="25" t="str">
        <x:v>prior_manual_sample</x:v>
      </x:c>
      <x:c r="L1088" s="25" t="str">
        <x:v>accepted</x:v>
      </x:c>
      <x:c r="M1088" s="25" t="str">
        <x:v>no</x:v>
      </x:c>
      <x:c r="N1088" s="25" t="str">
        <x:v>saki_research/working_papers/bigio_caramp_silva_sticky_inflation_monetary_policy_debt_drags_inflation_expectations.pdf</x:v>
      </x:c>
      <x:c r="O1088" s="25" t="str">
        <x:v>Blanchard, Olivier J. and Ben S. Bernanke, “What Caused the US Pandemic-Era Inflation?,” 2023. NBER Working Paper 31417.1</x:v>
      </x:c>
    </x:row>
    <x:row r="1089" ht="48" customHeight="1">
      <x:c r="A1089" s="24" t="str">
        <x:v>W04-R014</x:v>
      </x:c>
      <x:c r="B1089" s="24" t="str">
        <x:v>W04</x:v>
      </x:c>
      <x:c r="C1089" s="26" t="n">
        <x:v>14</x:v>
      </x:c>
      <x:c r="D1089" s="26" t="n">
        <x:v>44</x:v>
      </x:c>
      <x:c r="E1089" s="26" t="n">
        <x:v>44</x:v>
      </x:c>
      <x:c r="F1089" s="26" t="str">
        <x:v>Bocola</x:v>
      </x:c>
      <x:c r="G1089" s="26" t="n">
        <x:v>2024</x:v>
      </x:c>
      <x:c r="H1089" s="25" t="str">
        <x:v>Bond market views of the fed</x:v>
      </x:c>
      <x:c r="I1089" s="25" t="str"/>
      <x:c r="J1089" s="25" t="str"/>
      <x:c r="K1089" s="25" t="str">
        <x:v>prior_manual_sample</x:v>
      </x:c>
      <x:c r="L1089" s="25" t="str">
        <x:v>accepted</x:v>
      </x:c>
      <x:c r="M1089" s="25" t="str">
        <x:v>no</x:v>
      </x:c>
      <x:c r="N1089" s="25" t="str">
        <x:v>saki_research/working_papers/bigio_caramp_silva_sticky_inflation_monetary_policy_debt_drags_inflation_expectations.pdf</x:v>
      </x:c>
      <x:c r="O1089" s="25" t="str">
        <x:v>Bocola, Luigi, Alessandro Dovis, Kasper Jørgensen, and Rishabh Kirpalani, “Bond market views of the fed,” Technical Report, National Bureau of Economic Research 2024.28</x:v>
      </x:c>
    </x:row>
    <x:row r="1090" ht="48" customHeight="1">
      <x:c r="A1090" s="24" t="str">
        <x:v>W04-R015</x:v>
      </x:c>
      <x:c r="B1090" s="24" t="str">
        <x:v>W04</x:v>
      </x:c>
      <x:c r="C1090" s="26" t="n">
        <x:v>15</x:v>
      </x:c>
      <x:c r="D1090" s="26" t="n">
        <x:v>44</x:v>
      </x:c>
      <x:c r="E1090" s="26" t="n">
        <x:v>44</x:v>
      </x:c>
      <x:c r="F1090" s="26" t="str">
        <x:v>Bordo</x:v>
      </x:c>
      <x:c r="G1090" s="26" t="n">
        <x:v>2023</x:v>
      </x:c>
      <x:c r="H1090" s="25" t="str">
        <x:v>How Monetary Policy Got Behind the Curve-and how to get back</x:v>
      </x:c>
      <x:c r="I1090" s="25" t="str"/>
      <x:c r="J1090" s="25" t="str">
        <x:v>local_citation_grammar_v3</x:v>
      </x:c>
      <x:c r="K1090" s="25" t="str">
        <x:v>automatic_screen_pass</x:v>
      </x:c>
      <x:c r="L1090" s="25" t="str">
        <x:v>accepted</x:v>
      </x:c>
      <x:c r="M1090" s="25" t="str">
        <x:v>no</x:v>
      </x:c>
      <x:c r="N1090" s="25" t="str">
        <x:v>saki_research/working_papers/bigio_caramp_silva_sticky_inflation_monetary_policy_debt_drags_inflation_expectations.pdf</x:v>
      </x:c>
      <x:c r="O1090" s="25" t="str">
        <x:v>Bordo, Michael D, John B Taylor, and John H Cochrane, How Monetary Policy Got Behind the Curve-and how to get back, Hoover Press, 2023.5.1</x:v>
      </x:c>
    </x:row>
    <x:row r="1091" ht="48" customHeight="1">
      <x:c r="A1091" s="24" t="str">
        <x:v>W04-R016</x:v>
      </x:c>
      <x:c r="B1091" s="24" t="str">
        <x:v>W04</x:v>
      </x:c>
      <x:c r="C1091" s="26" t="n">
        <x:v>16</x:v>
      </x:c>
      <x:c r="D1091" s="26" t="n">
        <x:v>44</x:v>
      </x:c>
      <x:c r="E1091" s="26" t="n">
        <x:v>44</x:v>
      </x:c>
      <x:c r="F1091" s="26" t="str">
        <x:v>Caballero</x:v>
      </x:c>
      <x:c r="G1091" s="26" t="n">
        <x:v>2022</x:v>
      </x:c>
      <x:c r="H1091" s="25" t="str">
        <x:v>Monetarypolicywithopinionatedmarkets</x:v>
      </x:c>
      <x:c r="I1091" s="25" t="str"/>
      <x:c r="J1091" s="25" t="str"/>
      <x:c r="K1091" s="25" t="str">
        <x:v>automatic_screen_pass</x:v>
      </x:c>
      <x:c r="L1091" s="25" t="str">
        <x:v>accepted</x:v>
      </x:c>
      <x:c r="M1091" s="25" t="str">
        <x:v>no</x:v>
      </x:c>
      <x:c r="N1091" s="25" t="str">
        <x:v>saki_research/working_papers/bigio_caramp_silva_sticky_inflation_monetary_policy_debt_drags_inflation_expectations.pdf</x:v>
      </x:c>
      <x:c r="O1091" s="25" t="str">
        <x:v>Caballero,RicardoJandAlpSimsek,“Monetarypolicywithopinionatedmarkets,”American Economic Review, 2022,112 (7), 2353–2392.1,2.2</x:v>
      </x:c>
    </x:row>
    <x:row r="1092" ht="48" customHeight="1">
      <x:c r="A1092" s="24" t="str">
        <x:v>W04-R017</x:v>
      </x:c>
      <x:c r="B1092" s="24" t="str">
        <x:v>W04</x:v>
      </x:c>
      <x:c r="C1092" s="26" t="n">
        <x:v>17</x:v>
      </x:c>
      <x:c r="D1092" s="26" t="n">
        <x:v>44</x:v>
      </x:c>
      <x:c r="E1092" s="26" t="n">
        <x:v>44</x:v>
      </x:c>
      <x:c r="F1092" s="26" t="str">
        <x:v>Caramp</x:v>
      </x:c>
      <x:c r="G1092" s="26" t="n">
        <x:v>2021</x:v>
      </x:c>
      <x:c r="H1092" s="25" t="str">
        <x:v>Monetary policy and wealth effects: The role of risk and heterogeneity</x:v>
      </x:c>
      <x:c r="I1092" s="25" t="str"/>
      <x:c r="J1092" s="25" t="str"/>
      <x:c r="K1092" s="25" t="str">
        <x:v>automatic_screen_pass</x:v>
      </x:c>
      <x:c r="L1092" s="25" t="str">
        <x:v>accepted</x:v>
      </x:c>
      <x:c r="M1092" s="25" t="str">
        <x:v>no</x:v>
      </x:c>
      <x:c r="N1092" s="25" t="str">
        <x:v>saki_research/working_papers/bigio_caramp_silva_sticky_inflation_monetary_policy_debt_drags_inflation_expectations.pdf</x:v>
      </x:c>
      <x:c r="O1092" s="25" t="str">
        <x:v>Caramp, Nicolas and Dejanir H Silva, “Monetary policy and wealth effects: The role of risk and heterogeneity,” Technical Report, Working paper 2021.5</x:v>
      </x:c>
    </x:row>
    <x:row r="1093" ht="48" customHeight="1">
      <x:c r="A1093" s="24" t="str">
        <x:v>W04-R018</x:v>
      </x:c>
      <x:c r="B1093" s="24" t="str">
        <x:v>W04</x:v>
      </x:c>
      <x:c r="C1093" s="26" t="n">
        <x:v>18</x:v>
      </x:c>
      <x:c r="D1093" s="26" t="n">
        <x:v>44</x:v>
      </x:c>
      <x:c r="E1093" s="26" t="n">
        <x:v>44</x:v>
      </x:c>
      <x:c r="F1093" s="26" t="str">
        <x:v>Caramp</x:v>
      </x:c>
      <x:c r="G1093" s="26" t="n">
        <x:v>2023</x:v>
      </x:c>
      <x:c r="H1093" s="25" t="str">
        <x:v>Fiscal policy and the monetary transmission mechanism</x:v>
      </x:c>
      <x:c r="I1093" s="25" t="str">
        <x:v>inherited_author_notation</x:v>
      </x:c>
      <x:c r="J1093" s="25" t="str"/>
      <x:c r="K1093" s="25" t="str">
        <x:v>automatic_screen_pass</x:v>
      </x:c>
      <x:c r="L1093" s="25" t="str">
        <x:v>accepted</x:v>
      </x:c>
      <x:c r="M1093" s="25" t="str">
        <x:v>no</x:v>
      </x:c>
      <x:c r="N1093" s="25" t="str">
        <x:v>saki_research/working_papers/bigio_caramp_silva_sticky_inflation_monetary_policy_debt_drags_inflation_expectations.pdf</x:v>
      </x:c>
      <x:c r="O1093" s="25" t="str">
        <x:v>and , “Fiscal policy and the monetary transmission mechanism,” Review of Economic Dynamics, 2023, 51, 716–746.1</x:v>
      </x:c>
    </x:row>
    <x:row r="1094" ht="48" customHeight="1">
      <x:c r="A1094" s="24" t="str">
        <x:v>W04-R019</x:v>
      </x:c>
      <x:c r="B1094" s="24" t="str">
        <x:v>W04</x:v>
      </x:c>
      <x:c r="C1094" s="26" t="n">
        <x:v>19</x:v>
      </x:c>
      <x:c r="D1094" s="26" t="n">
        <x:v>44</x:v>
      </x:c>
      <x:c r="E1094" s="26" t="n">
        <x:v>44</x:v>
      </x:c>
      <x:c r="F1094" s="26" t="str">
        <x:v>Chung</x:v>
      </x:c>
      <x:c r="G1094" s="26" t="n">
        <x:v>2007</x:v>
      </x:c>
      <x:c r="H1094" s="25" t="str">
        <x:v>Monetary and fiscal policy switching</x:v>
      </x:c>
      <x:c r="I1094" s="25" t="str"/>
      <x:c r="J1094" s="25" t="str"/>
      <x:c r="K1094" s="25" t="str">
        <x:v>prior_manual_sample</x:v>
      </x:c>
      <x:c r="L1094" s="25" t="str">
        <x:v>accepted</x:v>
      </x:c>
      <x:c r="M1094" s="25" t="str">
        <x:v>no</x:v>
      </x:c>
      <x:c r="N1094" s="25" t="str">
        <x:v>saki_research/working_papers/bigio_caramp_silva_sticky_inflation_monetary_policy_debt_drags_inflation_expectations.pdf</x:v>
      </x:c>
      <x:c r="O1094" s="25" t="str">
        <x:v>Chung, Hess, Troy Davig, and Eric M Leeper, “Monetary and fiscal policy switching,” Journal of Money, Credit and Banking, 2007, 39 (4), 809–842.1</x:v>
      </x:c>
    </x:row>
    <x:row r="1095" ht="48" customHeight="1">
      <x:c r="A1095" s="24" t="str">
        <x:v>W04-R020</x:v>
      </x:c>
      <x:c r="B1095" s="24" t="str">
        <x:v>W04</x:v>
      </x:c>
      <x:c r="C1095" s="26" t="n">
        <x:v>20</x:v>
      </x:c>
      <x:c r="D1095" s="26" t="n">
        <x:v>44</x:v>
      </x:c>
      <x:c r="E1095" s="26" t="n">
        <x:v>44</x:v>
      </x:c>
      <x:c r="F1095" s="26" t="str">
        <x:v>Cochrane</x:v>
      </x:c>
      <x:c r="G1095" s="26" t="n">
        <x:v>1998</x:v>
      </x:c>
      <x:c r="H1095" s="25" t="str">
        <x:v>A frictionless view of US inflation</x:v>
      </x:c>
      <x:c r="I1095" s="25" t="str"/>
      <x:c r="J1095" s="25" t="str">
        <x:v>exhaustive_ai_audit_2026-09-17</x:v>
      </x:c>
      <x:c r="K1095" s="25" t="str">
        <x:v>exhaustive_visual_correction</x:v>
      </x:c>
      <x:c r="L1095" s="25" t="str">
        <x:v>corrected</x:v>
      </x:c>
      <x:c r="M1095" s="25" t="str">
        <x:v>no</x:v>
      </x:c>
      <x:c r="N1095" s="25" t="str">
        <x:v>saki_research/working_papers/bigio_caramp_silva_sticky_inflation_monetary_policy_debt_drags_inflation_expectations.pdf</x:v>
      </x:c>
      <x:c r="O1095" s="25" t="str">
        <x:v>Cochrane,JohnH,“AfrictionlessviewofUSinflation,”NBERmacroeconomicsannual,1998, 13, 323–384.1</x:v>
      </x:c>
    </x:row>
    <x:row r="1096" ht="48" customHeight="1">
      <x:c r="A1096" s="24" t="str">
        <x:v>W04-R021</x:v>
      </x:c>
      <x:c r="B1096" s="24" t="str">
        <x:v>W04</x:v>
      </x:c>
      <x:c r="C1096" s="26" t="n">
        <x:v>21</x:v>
      </x:c>
      <x:c r="D1096" s="26" t="n">
        <x:v>44</x:v>
      </x:c>
      <x:c r="E1096" s="26" t="n">
        <x:v>44</x:v>
      </x:c>
      <x:c r="F1096" s="26" t="str">
        <x:v>Cochrane</x:v>
      </x:c>
      <x:c r="G1096" s="26" t="n">
        <x:v>2018</x:v>
      </x:c>
      <x:c r="H1096" s="25" t="str">
        <x:v>Michelson-Morley, Fisher, and Occam: The radical implications of stable quiet inflation at the zero bound</x:v>
      </x:c>
      <x:c r="I1096" s="25" t="str">
        <x:v>inherited_author_notation</x:v>
      </x:c>
      <x:c r="J1096" s="25" t="str">
        <x:v>exhaustive_ai_audit_2026-09-17</x:v>
      </x:c>
      <x:c r="K1096" s="25" t="str">
        <x:v>exhaustive_visual_correction</x:v>
      </x:c>
      <x:c r="L1096" s="25" t="str">
        <x:v>corrected</x:v>
      </x:c>
      <x:c r="M1096" s="25" t="str">
        <x:v>no</x:v>
      </x:c>
      <x:c r="N1096" s="25" t="str">
        <x:v>saki_research/working_papers/bigio_caramp_silva_sticky_inflation_monetary_policy_debt_drags_inflation_expectations.pdf</x:v>
      </x:c>
      <x:c r="O1096" s="25" t="str">
        <x:v>,“Michelson-Morley,Fisher,andOccam: Theradicalimplicationsofstablequietinflation at the zero bound,”NBER Macroeconomics Annual, 2018, 32 (1), 113–226.1</x:v>
      </x:c>
    </x:row>
    <x:row r="1097" ht="48" customHeight="1">
      <x:c r="A1097" s="24" t="str">
        <x:v>W04-R022</x:v>
      </x:c>
      <x:c r="B1097" s="24" t="str">
        <x:v>W04</x:v>
      </x:c>
      <x:c r="C1097" s="26" t="n">
        <x:v>22</x:v>
      </x:c>
      <x:c r="D1097" s="26" t="n">
        <x:v>44</x:v>
      </x:c>
      <x:c r="E1097" s="26" t="n">
        <x:v>44</x:v>
      </x:c>
      <x:c r="F1097" s="26" t="str">
        <x:v>Cochrane</x:v>
      </x:c>
      <x:c r="G1097" s="26" t="n">
        <x:v>2018</x:v>
      </x:c>
      <x:c r="H1097" s="25" t="str">
        <x:v>Stepping on a rake: The fiscal theory of monetary policy</x:v>
      </x:c>
      <x:c r="I1097" s="25" t="str">
        <x:v>inherited_author_notation</x:v>
      </x:c>
      <x:c r="J1097" s="25" t="str">
        <x:v>exhaustive_ai_audit_2026-09-17</x:v>
      </x:c>
      <x:c r="K1097" s="25" t="str">
        <x:v>exhaustive_visual_correction</x:v>
      </x:c>
      <x:c r="L1097" s="25" t="str">
        <x:v>corrected</x:v>
      </x:c>
      <x:c r="M1097" s="25" t="str">
        <x:v>no</x:v>
      </x:c>
      <x:c r="N1097" s="25" t="str">
        <x:v>saki_research/working_papers/bigio_caramp_silva_sticky_inflation_monetary_policy_debt_drags_inflation_expectations.pdf</x:v>
      </x:c>
      <x:c r="O1097" s="25" t="str">
        <x:v>, “Stepping on a rake: The fiscal theory of monetary policy,” European Economic Review, 2018, 101, 354–375.13</x:v>
      </x:c>
    </x:row>
    <x:row r="1098" ht="48" customHeight="1">
      <x:c r="A1098" s="24" t="str">
        <x:v>W04-R023</x:v>
      </x:c>
      <x:c r="B1098" s="24" t="str">
        <x:v>W04</x:v>
      </x:c>
      <x:c r="C1098" s="26" t="n">
        <x:v>23</x:v>
      </x:c>
      <x:c r="D1098" s="26" t="n">
        <x:v>44</x:v>
      </x:c>
      <x:c r="E1098" s="26" t="n">
        <x:v>44</x:v>
      </x:c>
      <x:c r="F1098" s="26" t="str">
        <x:v>Cochrane</x:v>
      </x:c>
      <x:c r="G1098" s="26" t="n">
        <x:v>2023</x:v>
      </x:c>
      <x:c r="H1098" s="25" t="str">
        <x:v>The fiscal theory of the price level</x:v>
      </x:c>
      <x:c r="I1098" s="25" t="str">
        <x:v>inherited_author_notation</x:v>
      </x:c>
      <x:c r="J1098" s="25" t="str">
        <x:v>exhaustive_ai_audit_2026-09-17</x:v>
      </x:c>
      <x:c r="K1098" s="25" t="str">
        <x:v>exhaustive_visual_correction</x:v>
      </x:c>
      <x:c r="L1098" s="25" t="str">
        <x:v>corrected</x:v>
      </x:c>
      <x:c r="M1098" s="25" t="str">
        <x:v>no</x:v>
      </x:c>
      <x:c r="N1098" s="25" t="str">
        <x:v>saki_research/working_papers/bigio_caramp_silva_sticky_inflation_monetary_policy_debt_drags_inflation_expectations.pdf</x:v>
      </x:c>
      <x:c r="O1098" s="25" t="str">
        <x:v>, “The fiscal theory of the price level,” 2023.2</x:v>
      </x:c>
    </x:row>
    <x:row r="1099" ht="48" customHeight="1">
      <x:c r="A1099" s="24" t="str">
        <x:v>W04-R024</x:v>
      </x:c>
      <x:c r="B1099" s="24" t="str">
        <x:v>W04</x:v>
      </x:c>
      <x:c r="C1099" s="26" t="n">
        <x:v>24</x:v>
      </x:c>
      <x:c r="D1099" s="26" t="n">
        <x:v>44</x:v>
      </x:c>
      <x:c r="E1099" s="26" t="n">
        <x:v>44</x:v>
      </x:c>
      <x:c r="F1099" s="26" t="str">
        <x:v>Coibion</x:v>
      </x:c>
      <x:c r="G1099" s="26" t="n">
        <x:v>2022</x:v>
      </x:c>
      <x:c r="H1099" s="25" t="str">
        <x:v>Fiscal Policy and Households’ Inflation Expectations: Evidence from a Randomized Control Trial</x:v>
      </x:c>
      <x:c r="I1099" s="25" t="str"/>
      <x:c r="J1099" s="25" t="str"/>
      <x:c r="K1099" s="25" t="str">
        <x:v>automatic_screen_pass</x:v>
      </x:c>
      <x:c r="L1099" s="25" t="str">
        <x:v>accepted</x:v>
      </x:c>
      <x:c r="M1099" s="25" t="str">
        <x:v>no</x:v>
      </x:c>
      <x:c r="N1099" s="25" t="str">
        <x:v>saki_research/working_papers/bigio_caramp_silva_sticky_inflation_monetary_policy_debt_drags_inflation_expectations.pdf</x:v>
      </x:c>
      <x:c r="O1099" s="25" t="str">
        <x:v>Coibion, Olivier, Yuriy Gorodnichenko, and Michael Weber, “Fiscal Policy and Households’ Inflation Expectations: Evidence from a Randomized Control Trial,” 2022. NBER Working Paper 28485.2.2</x:v>
      </x:c>
    </x:row>
    <x:row r="1100" ht="48" customHeight="1">
      <x:c r="A1100" s="24" t="str">
        <x:v>W04-R025</x:v>
      </x:c>
      <x:c r="B1100" s="24" t="str">
        <x:v>W04</x:v>
      </x:c>
      <x:c r="C1100" s="26" t="n">
        <x:v>25</x:v>
      </x:c>
      <x:c r="D1100" s="26" t="n">
        <x:v>44</x:v>
      </x:c>
      <x:c r="E1100" s="26" t="n">
        <x:v>44</x:v>
      </x:c>
      <x:c r="F1100" s="26" t="str">
        <x:v>Comin</x:v>
      </x:c>
      <x:c r="G1100" s="26" t="n">
        <x:v>2023</x:v>
      </x:c>
      <x:c r="H1100" s="25" t="str">
        <x:v>Supply chain constraints and inflation</x:v>
      </x:c>
      <x:c r="I1100" s="25" t="str"/>
      <x:c r="J1100" s="25" t="str"/>
      <x:c r="K1100" s="25" t="str">
        <x:v>automatic_screen_pass</x:v>
      </x:c>
      <x:c r="L1100" s="25" t="str">
        <x:v>accepted</x:v>
      </x:c>
      <x:c r="M1100" s="25" t="str">
        <x:v>no</x:v>
      </x:c>
      <x:c r="N1100" s="25" t="str">
        <x:v>saki_research/working_papers/bigio_caramp_silva_sticky_inflation_monetary_policy_debt_drags_inflation_expectations.pdf</x:v>
      </x:c>
      <x:c r="O1100" s="25" t="str">
        <x:v>Comin, Diego A, Robert C Johnson, and Callum J Jones, “Supply chain constraints and inflation,” Technical Report, National Bureau of Economic Research 2023.3</x:v>
      </x:c>
    </x:row>
    <x:row r="1101" ht="48" customHeight="1">
      <x:c r="A1101" s="24" t="str">
        <x:v>W04-R026</x:v>
      </x:c>
      <x:c r="B1101" s="24" t="str">
        <x:v>W04</x:v>
      </x:c>
      <x:c r="C1101" s="26" t="n">
        <x:v>26</x:v>
      </x:c>
      <x:c r="D1101" s="26" t="n">
        <x:v>45</x:v>
      </x:c>
      <x:c r="E1101" s="26" t="n">
        <x:v>45</x:v>
      </x:c>
      <x:c r="F1101" s="26" t="str">
        <x:v>Cox</x:v>
      </x:c>
      <x:c r="G1101" s="26" t="n">
        <x:v>1977</x:v>
      </x:c>
      <x:c r="H1101" s="25" t="str">
        <x:v>The Theory of Stochastic Processes</x:v>
      </x:c>
      <x:c r="I1101" s="25" t="str"/>
      <x:c r="J1101" s="25" t="str">
        <x:v>literal_citation_review_2026-09-16</x:v>
      </x:c>
      <x:c r="K1101" s="25" t="str">
        <x:v>automatic_screen_pass</x:v>
      </x:c>
      <x:c r="L1101" s="25" t="str">
        <x:v>accepted</x:v>
      </x:c>
      <x:c r="M1101" s="25" t="str">
        <x:v>no</x:v>
      </x:c>
      <x:c r="N1101" s="25" t="str">
        <x:v>saki_research/working_papers/bigio_caramp_silva_sticky_inflation_monetary_policy_debt_drags_inflation_expectations.pdf</x:v>
      </x:c>
      <x:c r="O1101" s="25" t="str">
        <x:v>Cox,DavidRoxbeeandHiltonDavidMiller,Thetheoryofstochasticprocesses,Vol.134,CRC press, 1977.D.2</x:v>
      </x:c>
    </x:row>
    <x:row r="1102" ht="48" customHeight="1">
      <x:c r="A1102" s="24" t="str">
        <x:v>W04-R027</x:v>
      </x:c>
      <x:c r="B1102" s="24" t="str">
        <x:v>W04</x:v>
      </x:c>
      <x:c r="C1102" s="26" t="n">
        <x:v>27</x:v>
      </x:c>
      <x:c r="D1102" s="26" t="n">
        <x:v>45</x:v>
      </x:c>
      <x:c r="E1102" s="26" t="n">
        <x:v>45</x:v>
      </x:c>
      <x:c r="F1102" s="26" t="str">
        <x:v>Cram</x:v>
      </x:c>
      <x:c r="G1102" s="26" t="n">
        <x:v>2023</x:v>
      </x:c>
      <x:c r="H1102" s="25" t="str">
        <x:v>Can US Treasury Markets Add and Subtract?</x:v>
      </x:c>
      <x:c r="I1102" s="25" t="str"/>
      <x:c r="J1102" s="25" t="str"/>
      <x:c r="K1102" s="25" t="str">
        <x:v>automatic_screen_pass</x:v>
      </x:c>
      <x:c r="L1102" s="25" t="str">
        <x:v>accepted</x:v>
      </x:c>
      <x:c r="M1102" s="25" t="str">
        <x:v>no</x:v>
      </x:c>
      <x:c r="N1102" s="25" t="str">
        <x:v>saki_research/working_papers/bigio_caramp_silva_sticky_inflation_monetary_policy_debt_drags_inflation_expectations.pdf</x:v>
      </x:c>
      <x:c r="O1102" s="25" t="str">
        <x:v>Cram, Roberto Gomez, Howard Kung, and Hanno N Lustig, “Can US Treasury Markets Add and Subtract?,”Available at SSRN, 2023.1</x:v>
      </x:c>
    </x:row>
    <x:row r="1103" ht="48" customHeight="1">
      <x:c r="A1103" s="24" t="str">
        <x:v>W04-R028</x:v>
      </x:c>
      <x:c r="B1103" s="24" t="str">
        <x:v>W04</x:v>
      </x:c>
      <x:c r="C1103" s="26" t="n">
        <x:v>28</x:v>
      </x:c>
      <x:c r="D1103" s="26" t="n">
        <x:v>45</x:v>
      </x:c>
      <x:c r="E1103" s="26" t="n">
        <x:v>45</x:v>
      </x:c>
      <x:c r="F1103" s="26" t="str">
        <x:v>Davig</x:v>
      </x:c>
      <x:c r="G1103" s="26" t="n">
        <x:v>2007</x:v>
      </x:c>
      <x:c r="H1103" s="25" t="str">
        <x:v>Generalizing the Taylor principle</x:v>
      </x:c>
      <x:c r="I1103" s="25" t="str"/>
      <x:c r="J1103" s="25" t="str"/>
      <x:c r="K1103" s="25" t="str">
        <x:v>automatic_screen_pass</x:v>
      </x:c>
      <x:c r="L1103" s="25" t="str">
        <x:v>accepted</x:v>
      </x:c>
      <x:c r="M1103" s="25" t="str">
        <x:v>no</x:v>
      </x:c>
      <x:c r="N1103" s="25" t="str">
        <x:v>saki_research/working_papers/bigio_caramp_silva_sticky_inflation_monetary_policy_debt_drags_inflation_expectations.pdf</x:v>
      </x:c>
      <x:c r="O1103" s="25" t="str">
        <x:v>Davig, Troy and Eric M Leeper, “Generalizing the Taylor principle,” American Economic Review, 2007, 97 (3), 607–635.7</x:v>
      </x:c>
    </x:row>
    <x:row r="1104" ht="48" customHeight="1">
      <x:c r="A1104" s="24" t="str">
        <x:v>W04-R029</x:v>
      </x:c>
      <x:c r="B1104" s="24" t="str">
        <x:v>W04</x:v>
      </x:c>
      <x:c r="C1104" s="26" t="n">
        <x:v>29</x:v>
      </x:c>
      <x:c r="D1104" s="26" t="n">
        <x:v>45</x:v>
      </x:c>
      <x:c r="E1104" s="26" t="n">
        <x:v>45</x:v>
      </x:c>
      <x:c r="F1104" s="26" t="str">
        <x:v>Dávila</x:v>
      </x:c>
      <x:c r="G1104" s="26" t="n">
        <x:v>2023</x:v>
      </x:c>
      <x:c r="H1104" s="25" t="str">
        <x:v>Optimal monetary policy with heterogeneous agents: Discretion, commitment, and timeless policy</x:v>
      </x:c>
      <x:c r="I1104" s="25" t="str"/>
      <x:c r="J1104" s="25" t="str">
        <x:v>exhaustive_ai_audit_2026-09-17</x:v>
      </x:c>
      <x:c r="K1104" s="25" t="str">
        <x:v>exhaustive_visual_correction</x:v>
      </x:c>
      <x:c r="L1104" s="25" t="str">
        <x:v>corrected</x:v>
      </x:c>
      <x:c r="M1104" s="25" t="str">
        <x:v>no</x:v>
      </x:c>
      <x:c r="N1104" s="25" t="str">
        <x:v>saki_research/working_papers/bigio_caramp_silva_sticky_inflation_monetary_policy_debt_drags_inflation_expectations.pdf</x:v>
      </x:c>
      <x:c r="O1104" s="25" t="str">
        <x:v>D ́avila, Eduardo and Andreas Schaab, “Optimal monetary policy with heterogeneous agents: Discretion, commitment, and timeless policy,” Technical Report, National Bureau of Economic Research 2023.4.1,4.1,22</x:v>
      </x:c>
    </x:row>
    <x:row r="1105" ht="48" customHeight="1">
      <x:c r="A1105" s="24" t="str">
        <x:v>W04-R030</x:v>
      </x:c>
      <x:c r="B1105" s="24" t="str">
        <x:v>W04</x:v>
      </x:c>
      <x:c r="C1105" s="26" t="n">
        <x:v>30</x:v>
      </x:c>
      <x:c r="D1105" s="26" t="n">
        <x:v>45</x:v>
      </x:c>
      <x:c r="E1105" s="26" t="n">
        <x:v>45</x:v>
      </x:c>
      <x:c r="F1105" s="26" t="str">
        <x:v>Farmer</x:v>
      </x:c>
      <x:c r="G1105" s="26" t="n">
        <x:v>2009</x:v>
      </x:c>
      <x:c r="H1105" s="25" t="str">
        <x:v>Understanding Markov-switching rational expectations models</x:v>
      </x:c>
      <x:c r="I1105" s="25" t="str"/>
      <x:c r="J1105" s="25" t="str"/>
      <x:c r="K1105" s="25" t="str">
        <x:v>exhaustive_visual_multiwork_pattern_accepted</x:v>
      </x:c>
      <x:c r="L1105" s="25" t="str">
        <x:v>accepted</x:v>
      </x:c>
      <x:c r="M1105" s="25" t="str">
        <x:v>sí</x:v>
      </x:c>
      <x:c r="N1105" s="25" t="str">
        <x:v>saki_research/working_papers/bigio_caramp_silva_sticky_inflation_monetary_policy_debt_drags_inflation_expectations.pdf</x:v>
      </x:c>
      <x:c r="O1105" s="25" t="str">
        <x:v>Farmer, Roger EA, Daniel F Waggoner, and Tao Zha, “Understanding Markov-switching rational expectations models,”Journal of Economic theory, 2009, 144(5), 1849–1867.7</x:v>
      </x:c>
    </x:row>
    <x:row r="1106" ht="48" customHeight="1">
      <x:c r="A1106" s="24" t="str">
        <x:v>W04-R031</x:v>
      </x:c>
      <x:c r="B1106" s="24" t="str">
        <x:v>W04</x:v>
      </x:c>
      <x:c r="C1106" s="26" t="n">
        <x:v>31</x:v>
      </x:c>
      <x:c r="D1106" s="26" t="n">
        <x:v>45</x:v>
      </x:c>
      <x:c r="E1106" s="26" t="n">
        <x:v>45</x:v>
      </x:c>
      <x:c r="F1106" s="26" t="str">
        <x:v>Gagliardone</x:v>
      </x:c>
      <x:c r="G1106" s="26" t="n">
        <x:v>2023</x:v>
      </x:c>
      <x:c r="H1106" s="25" t="str">
        <x:v>Oil Prices, Monetary Policy and Inflation Surges</x:v>
      </x:c>
      <x:c r="I1106" s="25" t="str"/>
      <x:c r="J1106" s="25" t="str"/>
      <x:c r="K1106" s="25" t="str">
        <x:v>prior_manual_sample</x:v>
      </x:c>
      <x:c r="L1106" s="25" t="str">
        <x:v>accepted</x:v>
      </x:c>
      <x:c r="M1106" s="25" t="str">
        <x:v>no</x:v>
      </x:c>
      <x:c r="N1106" s="25" t="str">
        <x:v>saki_research/working_papers/bigio_caramp_silva_sticky_inflation_monetary_policy_debt_drags_inflation_expectations.pdf</x:v>
      </x:c>
      <x:c r="O1106" s="25" t="str">
        <x:v>Gagliardone, Luca and Mark Gertler, “Oil Prices, Monetary Policy and Inflation Surges,” 2023.1</x:v>
      </x:c>
    </x:row>
    <x:row r="1107" ht="48" customHeight="1">
      <x:c r="A1107" s="24" t="str">
        <x:v>W04-R032</x:v>
      </x:c>
      <x:c r="B1107" s="24" t="str">
        <x:v>W04</x:v>
      </x:c>
      <x:c r="C1107" s="26" t="n">
        <x:v>32</x:v>
      </x:c>
      <x:c r="D1107" s="26" t="n">
        <x:v>45</x:v>
      </x:c>
      <x:c r="E1107" s="26" t="n">
        <x:v>45</x:v>
      </x:c>
      <x:c r="F1107" s="26" t="str">
        <x:v>Giannone</x:v>
      </x:c>
      <x:c r="G1107" s="26" t="n">
        <x:v>2024</x:v>
      </x:c>
      <x:c r="H1107" s="25" t="str">
        <x:v>The drivers of post-pandemic inflation</x:v>
      </x:c>
      <x:c r="I1107" s="25" t="str"/>
      <x:c r="J1107" s="25" t="str"/>
      <x:c r="K1107" s="25" t="str">
        <x:v>automatic_screen_pass</x:v>
      </x:c>
      <x:c r="L1107" s="25" t="str">
        <x:v>accepted</x:v>
      </x:c>
      <x:c r="M1107" s="25" t="str">
        <x:v>no</x:v>
      </x:c>
      <x:c r="N1107" s="25" t="str">
        <x:v>saki_research/working_papers/bigio_caramp_silva_sticky_inflation_monetary_policy_debt_drags_inflation_expectations.pdf</x:v>
      </x:c>
      <x:c r="O1107" s="25" t="str">
        <x:v>Giannone, Domenico and Giorgio Primiceri, “The drivers of post-pandemic inflation,” 2024.1</x:v>
      </x:c>
    </x:row>
    <x:row r="1108" ht="48" customHeight="1">
      <x:c r="A1108" s="24" t="str">
        <x:v>W04-R033</x:v>
      </x:c>
      <x:c r="B1108" s="24" t="str">
        <x:v>W04</x:v>
      </x:c>
      <x:c r="C1108" s="26" t="n">
        <x:v>33</x:v>
      </x:c>
      <x:c r="D1108" s="26" t="n">
        <x:v>45</x:v>
      </x:c>
      <x:c r="E1108" s="26" t="n">
        <x:v>45</x:v>
      </x:c>
      <x:c r="F1108" s="26" t="str">
        <x:v>Giannoni</x:v>
      </x:c>
      <x:c r="G1108" s="26" t="n">
        <x:v>2017</x:v>
      </x:c>
      <x:c r="H1108" s="25" t="str">
        <x:v>Optimaltargetcriteriaforstabilizationpolicy</x:v>
      </x:c>
      <x:c r="I1108" s="25" t="str"/>
      <x:c r="J1108" s="25" t="str"/>
      <x:c r="K1108" s="25" t="str">
        <x:v>automatic_screen_pass</x:v>
      </x:c>
      <x:c r="L1108" s="25" t="str">
        <x:v>accepted</x:v>
      </x:c>
      <x:c r="M1108" s="25" t="str">
        <x:v>no</x:v>
      </x:c>
      <x:c r="N1108" s="25" t="str">
        <x:v>saki_research/working_papers/bigio_caramp_silva_sticky_inflation_monetary_policy_debt_drags_inflation_expectations.pdf</x:v>
      </x:c>
      <x:c r="O1108" s="25" t="str">
        <x:v>Giannoni,MarcPandMichaelWoodford,“Optimaltargetcriteriaforstabilizationpolicy,” Journal of Economic Theory, 2017,168, 55–106.25,B,D.3</x:v>
      </x:c>
    </x:row>
    <x:row r="1109" ht="48" customHeight="1">
      <x:c r="A1109" s="24" t="str">
        <x:v>W04-R034</x:v>
      </x:c>
      <x:c r="B1109" s="24" t="str">
        <x:v>W04</x:v>
      </x:c>
      <x:c r="C1109" s="26" t="n">
        <x:v>34</x:v>
      </x:c>
      <x:c r="D1109" s="26" t="n">
        <x:v>45</x:v>
      </x:c>
      <x:c r="E1109" s="26" t="n">
        <x:v>45</x:v>
      </x:c>
      <x:c r="F1109" s="26" t="str">
        <x:v>Guerreiro</x:v>
      </x:c>
      <x:c r="G1109" s="26" t="n">
        <x:v>2024</x:v>
      </x:c>
      <x:c r="H1109" s="25" t="str">
        <x:v>Why Do Workers Dislike Inflation? Wage Erosion and Conflict Costs</x:v>
      </x:c>
      <x:c r="I1109" s="25" t="str"/>
      <x:c r="J1109" s="25" t="str"/>
      <x:c r="K1109" s="25" t="str">
        <x:v>automatic_screen_pass</x:v>
      </x:c>
      <x:c r="L1109" s="25" t="str">
        <x:v>accepted</x:v>
      </x:c>
      <x:c r="M1109" s="25" t="str">
        <x:v>no</x:v>
      </x:c>
      <x:c r="N1109" s="25" t="str">
        <x:v>saki_research/working_papers/bigio_caramp_silva_sticky_inflation_monetary_policy_debt_drags_inflation_expectations.pdf</x:v>
      </x:c>
      <x:c r="O1109" s="25" t="str">
        <x:v>Guerreiro, Joao, Jonathon Hazell, Chen Lian, and Christina Patterson, “Why Do Workers Dislike Inflation? Wage Erosion and Conflict Costs,” 2024.3</x:v>
      </x:c>
    </x:row>
    <x:row r="1110" ht="48" customHeight="1">
      <x:c r="A1110" s="24" t="str">
        <x:v>W04-R035</x:v>
      </x:c>
      <x:c r="B1110" s="24" t="str">
        <x:v>W04</x:v>
      </x:c>
      <x:c r="C1110" s="26" t="n">
        <x:v>35</x:v>
      </x:c>
      <x:c r="D1110" s="26" t="n">
        <x:v>45</x:v>
      </x:c>
      <x:c r="E1110" s="26" t="n">
        <x:v>45</x:v>
      </x:c>
      <x:c r="F1110" s="26" t="str">
        <x:v>Guerrieri</x:v>
      </x:c>
      <x:c r="G1110" s="26" t="n">
        <x:v>2021</x:v>
      </x:c>
      <x:c r="H1110" s="25" t="str">
        <x:v>Monetarypolicy in times of structural reallocation</x:v>
      </x:c>
      <x:c r="I1110" s="25" t="str"/>
      <x:c r="J1110" s="25" t="str">
        <x:v>exhaustive_ai_audit_2026-09-17</x:v>
      </x:c>
      <x:c r="K1110" s="25" t="str">
        <x:v>exhaustive_visual_correction</x:v>
      </x:c>
      <x:c r="L1110" s="25" t="str">
        <x:v>corrected</x:v>
      </x:c>
      <x:c r="M1110" s="25" t="str">
        <x:v>no</x:v>
      </x:c>
      <x:c r="N1110" s="25" t="str">
        <x:v>saki_research/working_papers/bigio_caramp_silva_sticky_inflation_monetary_policy_debt_drags_inflation_expectations.pdf</x:v>
      </x:c>
      <x:c r="O1110" s="25" t="str">
        <x:v>Guerrieri,Veronica,GuidoLorenzoni,LudwigStraub,andIv ́anWerning,“Monetarypolicy in times of structural reallocation,” University of Chicago, Becker Friedman Institute for Economics Working Paper, 2021, (2021-111).15</x:v>
      </x:c>
    </x:row>
    <x:row r="1111" ht="48" customHeight="1">
      <x:c r="A1111" s="24" t="str">
        <x:v>W04-R036</x:v>
      </x:c>
      <x:c r="B1111" s="24" t="str">
        <x:v>W04</x:v>
      </x:c>
      <x:c r="C1111" s="26" t="n">
        <x:v>36</x:v>
      </x:c>
      <x:c r="D1111" s="26" t="n">
        <x:v>45</x:v>
      </x:c>
      <x:c r="E1111" s="26" t="n">
        <x:v>45</x:v>
      </x:c>
      <x:c r="F1111" s="26" t="str">
        <x:v>Guerrieri</x:v>
      </x:c>
      <x:c r="G1111" s="26" t="n">
        <x:v>2022</x:v>
      </x:c>
      <x:c r="H1111" s="25" t="str">
        <x:v>Macroeconomic implications of COVID-19: Can negative supply shocks cause demand shortages?</x:v>
      </x:c>
      <x:c r="I1111" s="25" t="str">
        <x:v>inherited_author_notation</x:v>
      </x:c>
      <x:c r="J1111" s="25" t="str">
        <x:v>exhaustive_ai_audit_2026-09-17</x:v>
      </x:c>
      <x:c r="K1111" s="25" t="str">
        <x:v>exhaustive_visual_correction</x:v>
      </x:c>
      <x:c r="L1111" s="25" t="str">
        <x:v>corrected</x:v>
      </x:c>
      <x:c r="M1111" s="25" t="str">
        <x:v>no</x:v>
      </x:c>
      <x:c r="N1111" s="25" t="str">
        <x:v>saki_research/working_papers/bigio_caramp_silva_sticky_inflation_monetary_policy_debt_drags_inflation_expectations.pdf</x:v>
      </x:c>
      <x:c r="O1111" s="25" t="str">
        <x:v>, , , and , “Macroeconomic implications of COVID-19: Can negative supply shocks cause demand shortages?,”American Economic Review, 2022,112 (5), 1437–1474.34</x:v>
      </x:c>
    </x:row>
    <x:row r="1112" ht="48" customHeight="1">
      <x:c r="A1112" s="24" t="str">
        <x:v>W04-R037</x:v>
      </x:c>
      <x:c r="B1112" s="24" t="str">
        <x:v>W04</x:v>
      </x:c>
      <x:c r="C1112" s="26" t="n">
        <x:v>37</x:v>
      </x:c>
      <x:c r="D1112" s="26" t="n">
        <x:v>45</x:v>
      </x:c>
      <x:c r="E1112" s="26" t="n">
        <x:v>45</x:v>
      </x:c>
      <x:c r="F1112" s="26" t="str">
        <x:v>Hall</x:v>
      </x:c>
      <x:c r="G1112" s="26" t="n">
        <x:v>2021</x:v>
      </x:c>
      <x:c r="H1112" s="25" t="str">
        <x:v>Debt and taxes in eight US wars and two insurrections</x:v>
      </x:c>
      <x:c r="I1112" s="25" t="str"/>
      <x:c r="J1112" s="25" t="str"/>
      <x:c r="K1112" s="25" t="str">
        <x:v>exhaustive_visual_multiwork_pattern_accepted</x:v>
      </x:c>
      <x:c r="L1112" s="25" t="str">
        <x:v>accepted</x:v>
      </x:c>
      <x:c r="M1112" s="25" t="str">
        <x:v>sí</x:v>
      </x:c>
      <x:c r="N1112" s="25" t="str">
        <x:v>saki_research/working_papers/bigio_caramp_silva_sticky_inflation_monetary_policy_debt_drags_inflation_expectations.pdf</x:v>
      </x:c>
      <x:c r="O1112" s="25" t="str">
        <x:v>Hall, George J and Thomas J Sargent, “Debt and taxes in eight US wars and two insurrections,” in “The Handbook of Historical Economics,” Elsevier, 2021, pp. 825–880.1</x:v>
      </x:c>
    </x:row>
    <x:row r="1113" ht="48" customHeight="1">
      <x:c r="A1113" s="24" t="str">
        <x:v>W04-R038</x:v>
      </x:c>
      <x:c r="B1113" s="24" t="str">
        <x:v>W04</x:v>
      </x:c>
      <x:c r="C1113" s="26" t="n">
        <x:v>38</x:v>
      </x:c>
      <x:c r="D1113" s="26" t="n">
        <x:v>45</x:v>
      </x:c>
      <x:c r="E1113" s="26" t="n">
        <x:v>45</x:v>
      </x:c>
      <x:c r="F1113" s="26" t="str">
        <x:v>Hall</x:v>
      </x:c>
      <x:c r="G1113" s="26" t="n">
        <x:v>2022</x:v>
      </x:c>
      <x:c r="H1113" s="25" t="str">
        <x:v>Three world wars: Fiscal–monetary consequences</x:v>
      </x:c>
      <x:c r="I1113" s="25" t="str">
        <x:v>inherited_author_notation</x:v>
      </x:c>
      <x:c r="J1113" s="25" t="str"/>
      <x:c r="K1113" s="25" t="str">
        <x:v>automatic_screen_pass</x:v>
      </x:c>
      <x:c r="L1113" s="25" t="str">
        <x:v>accepted</x:v>
      </x:c>
      <x:c r="M1113" s="25" t="str">
        <x:v>no</x:v>
      </x:c>
      <x:c r="N1113" s="25" t="str">
        <x:v>saki_research/working_papers/bigio_caramp_silva_sticky_inflation_monetary_policy_debt_drags_inflation_expectations.pdf</x:v>
      </x:c>
      <x:c r="O1113" s="25" t="str">
        <x:v>and , “Three world wars: Fiscal–monetary consequences,” Proceedings of the National Academy of Sciences, 2022,119 (18), e2200349119.1</x:v>
      </x:c>
    </x:row>
    <x:row r="1114" ht="48" customHeight="1">
      <x:c r="A1114" s="24" t="str">
        <x:v>W04-R039</x:v>
      </x:c>
      <x:c r="B1114" s="24" t="str">
        <x:v>W04</x:v>
      </x:c>
      <x:c r="C1114" s="26" t="n">
        <x:v>39</x:v>
      </x:c>
      <x:c r="D1114" s="26" t="n">
        <x:v>46</x:v>
      </x:c>
      <x:c r="E1114" s="26" t="n">
        <x:v>46</x:v>
      </x:c>
      <x:c r="F1114" s="26" t="str">
        <x:v>Hall</x:v>
      </x:c>
      <x:c r="G1114" s="26" t="n">
        <x:v>2024</x:v>
      </x:c>
      <x:c r="H1114" s="25" t="str">
        <x:v>Fiscal Consequences of the US War on COVID</x:v>
      </x:c>
      <x:c r="I1114" s="25" t="str">
        <x:v>inherited_author_notation</x:v>
      </x:c>
      <x:c r="J1114" s="25" t="str"/>
      <x:c r="K1114" s="25" t="str">
        <x:v>prior_manual_sample</x:v>
      </x:c>
      <x:c r="L1114" s="25" t="str">
        <x:v>accepted</x:v>
      </x:c>
      <x:c r="M1114" s="25" t="str">
        <x:v>no</x:v>
      </x:c>
      <x:c r="N1114" s="25" t="str">
        <x:v>saki_research/working_papers/bigio_caramp_silva_sticky_inflation_monetary_policy_debt_drags_inflation_expectations.pdf</x:v>
      </x:c>
      <x:c r="O1114" s="25" t="str">
        <x:v>and , “Fiscal Consequences of the US War on COVID,”mimeo, 2024.5.2</x:v>
      </x:c>
    </x:row>
    <x:row r="1115" ht="48" customHeight="1">
      <x:c r="A1115" s="24" t="str">
        <x:v>W04-R040</x:v>
      </x:c>
      <x:c r="B1115" s="24" t="str">
        <x:v>W04</x:v>
      </x:c>
      <x:c r="C1115" s="26" t="n">
        <x:v>40</x:v>
      </x:c>
      <x:c r="D1115" s="26" t="n">
        <x:v>46</x:v>
      </x:c>
      <x:c r="E1115" s="26" t="n">
        <x:v>46</x:v>
      </x:c>
      <x:c r="F1115" s="26" t="str">
        <x:v>Hall</x:v>
      </x:c>
      <x:c r="G1115" s="26" t="n">
        <x:v>2018</x:v>
      </x:c>
      <x:c r="H1115" s="25" t="str">
        <x:v>US Federal Debt 1776-1960: Quantities and Prices</x:v>
      </x:c>
      <x:c r="I1115" s="25" t="str"/>
      <x:c r="J1115" s="25" t="str"/>
      <x:c r="K1115" s="25" t="str">
        <x:v>automatic_screen_pass</x:v>
      </x:c>
      <x:c r="L1115" s="25" t="str">
        <x:v>accepted</x:v>
      </x:c>
      <x:c r="M1115" s="25" t="str">
        <x:v>no</x:v>
      </x:c>
      <x:c r="N1115" s="25" t="str">
        <x:v>saki_research/working_papers/bigio_caramp_silva_sticky_inflation_monetary_policy_debt_drags_inflation_expectations.pdf</x:v>
      </x:c>
      <x:c r="O1115" s="25" t="str">
        <x:v>Hall, George, Jonathan Payne, and Thomas Sargent, “US Federal Debt 1776-1960: Quantities and Prices,”Mimeo, 2018.E.2</x:v>
      </x:c>
    </x:row>
    <x:row r="1116" ht="48" customHeight="1">
      <x:c r="A1116" s="24" t="str">
        <x:v>W04-R041</x:v>
      </x:c>
      <x:c r="B1116" s="24" t="str">
        <x:v>W04</x:v>
      </x:c>
      <x:c r="C1116" s="26" t="n">
        <x:v>41</x:v>
      </x:c>
      <x:c r="D1116" s="26" t="n">
        <x:v>46</x:v>
      </x:c>
      <x:c r="E1116" s="26" t="n">
        <x:v>46</x:v>
      </x:c>
      <x:c r="F1116" s="26" t="str">
        <x:v>Harris</x:v>
      </x:c>
      <x:c r="G1116" s="26" t="n">
        <x:v>2013</x:v>
      </x:c>
      <x:c r="H1116" s="25" t="str">
        <x:v>Instantaneous gratification</x:v>
      </x:c>
      <x:c r="I1116" s="25" t="str"/>
      <x:c r="J1116" s="25" t="str"/>
      <x:c r="K1116" s="25" t="str">
        <x:v>automatic_screen_pass</x:v>
      </x:c>
      <x:c r="L1116" s="25" t="str">
        <x:v>accepted</x:v>
      </x:c>
      <x:c r="M1116" s="25" t="str">
        <x:v>no</x:v>
      </x:c>
      <x:c r="N1116" s="25" t="str">
        <x:v>saki_research/working_papers/bigio_caramp_silva_sticky_inflation_monetary_policy_debt_drags_inflation_expectations.pdf</x:v>
      </x:c>
      <x:c r="O1116" s="25" t="str">
        <x:v>Harris, Christopher and David Laibson, “Instantaneous gratification,” The Quarterly Journal of Economics, 2013, 128(1), 205–248.22</x:v>
      </x:c>
    </x:row>
    <x:row r="1117" ht="48" customHeight="1">
      <x:c r="A1117" s="24" t="str">
        <x:v>W04-R042</x:v>
      </x:c>
      <x:c r="B1117" s="24" t="str">
        <x:v>W04</x:v>
      </x:c>
      <x:c r="C1117" s="26" t="n">
        <x:v>42</x:v>
      </x:c>
      <x:c r="D1117" s="26" t="n">
        <x:v>46</x:v>
      </x:c>
      <x:c r="E1117" s="26" t="n">
        <x:v>46</x:v>
      </x:c>
      <x:c r="F1117" s="26" t="str">
        <x:v>Hazell</x:v>
      </x:c>
      <x:c r="G1117" s="26" t="n">
        <x:v>2024</x:v>
      </x:c>
      <x:c r="H1117" s="25" t="str">
        <x:v>Do Deficits Cause Inflation?, A High Frequency Narrative Approach</x:v>
      </x:c>
      <x:c r="I1117" s="25" t="str"/>
      <x:c r="J1117" s="25" t="str"/>
      <x:c r="K1117" s="25" t="str">
        <x:v>prior_manual_sample</x:v>
      </x:c>
      <x:c r="L1117" s="25" t="str">
        <x:v>accepted</x:v>
      </x:c>
      <x:c r="M1117" s="25" t="str">
        <x:v>no</x:v>
      </x:c>
      <x:c r="N1117" s="25" t="str">
        <x:v>saki_research/working_papers/bigio_caramp_silva_sticky_inflation_monetary_policy_debt_drags_inflation_expectations.pdf</x:v>
      </x:c>
      <x:c r="O1117" s="25" t="str">
        <x:v>Hazell, Jonathon and Stephan Hobler, “Do Deficits Cause Inflation?, A High Frequency Narrative Approach,” 2024. LSE Working Paper, 2024.1,1,5.2</x:v>
      </x:c>
    </x:row>
    <x:row r="1118" ht="48" customHeight="1">
      <x:c r="A1118" s="24" t="str">
        <x:v>W04-R043</x:v>
      </x:c>
      <x:c r="B1118" s="24" t="str">
        <x:v>W04</x:v>
      </x:c>
      <x:c r="C1118" s="26" t="n">
        <x:v>43</x:v>
      </x:c>
      <x:c r="D1118" s="26" t="n">
        <x:v>46</x:v>
      </x:c>
      <x:c r="E1118" s="26" t="n">
        <x:v>46</x:v>
      </x:c>
      <x:c r="F1118" s="26" t="str">
        <x:v>Hazell</x:v>
      </x:c>
      <x:c r="G1118" s="26" t="n">
        <x:v>2022</x:v>
      </x:c>
      <x:c r="H1118" s="25" t="str">
        <x:v>The slope of the Phillips Curve: evidencefrom USstates</x:v>
      </x:c>
      <x:c r="I1118" s="25" t="str">
        <x:v>inherited_author_notation</x:v>
      </x:c>
      <x:c r="J1118" s="25" t="str"/>
      <x:c r="K1118" s="25" t="str">
        <x:v>prior_manual_sample</x:v>
      </x:c>
      <x:c r="L1118" s="25" t="str">
        <x:v>accepted</x:v>
      </x:c>
      <x:c r="M1118" s="25" t="str">
        <x:v>no</x:v>
      </x:c>
      <x:c r="N1118" s="25" t="str">
        <x:v>saki_research/working_papers/bigio_caramp_silva_sticky_inflation_monetary_policy_debt_drags_inflation_expectations.pdf</x:v>
      </x:c>
      <x:c r="O1118" s="25" t="str">
        <x:v>Juan Herreno, Emi Nakamura, and J ́on Steinsson, “The slope of the Phillips Curve: evidencefrom USstates,”TheQuarterly JournalofEconomics,2022,137(3),1299–1344.2.2, 9,1,5.2</x:v>
      </x:c>
    </x:row>
    <x:row r="1119" ht="48" customHeight="1">
      <x:c r="A1119" s="24" t="str">
        <x:v>W04-R044</x:v>
      </x:c>
      <x:c r="B1119" s="24" t="str">
        <x:v>W04</x:v>
      </x:c>
      <x:c r="C1119" s="26" t="n">
        <x:v>44</x:v>
      </x:c>
      <x:c r="D1119" s="26" t="n">
        <x:v>46</x:v>
      </x:c>
      <x:c r="E1119" s="26" t="n">
        <x:v>46</x:v>
      </x:c>
      <x:c r="F1119" s="26" t="str">
        <x:v>Hilscher</x:v>
      </x:c>
      <x:c r="G1119" s="26" t="n">
        <x:v>2022</x:v>
      </x:c>
      <x:c r="H1119" s="25" t="str">
        <x:v>HowLikelyIsAnInflationDisaster?</x:v>
      </x:c>
      <x:c r="I1119" s="25" t="str"/>
      <x:c r="J1119" s="25" t="str"/>
      <x:c r="K1119" s="25" t="str">
        <x:v>automatic_screen_pass</x:v>
      </x:c>
      <x:c r="L1119" s="25" t="str">
        <x:v>accepted</x:v>
      </x:c>
      <x:c r="M1119" s="25" t="str">
        <x:v>no</x:v>
      </x:c>
      <x:c r="N1119" s="25" t="str">
        <x:v>saki_research/working_papers/bigio_caramp_silva_sticky_inflation_monetary_policy_debt_drags_inflation_expectations.pdf</x:v>
      </x:c>
      <x:c r="O1119" s="25" t="str">
        <x:v>Hilscher,Jens,AlonRaviv,andRicardoReis,“HowLikelyIsAnInflationDisaster?,”April 2022.1,5.1,7,1,5.2,31</x:v>
      </x:c>
    </x:row>
    <x:row r="1120" ht="48" customHeight="1">
      <x:c r="A1120" s="24" t="str">
        <x:v>W04-R045</x:v>
      </x:c>
      <x:c r="B1120" s="24" t="str">
        <x:v>W04</x:v>
      </x:c>
      <x:c r="C1120" s="26" t="n">
        <x:v>45</x:v>
      </x:c>
      <x:c r="D1120" s="26" t="n">
        <x:v>46</x:v>
      </x:c>
      <x:c r="E1120" s="26" t="n">
        <x:v>46</x:v>
      </x:c>
      <x:c r="F1120" s="26" t="str">
        <x:v>Jacobson</x:v>
      </x:c>
      <x:c r="G1120" s="26" t="n">
        <x:v>2019</x:v>
      </x:c>
      <x:c r="H1120" s="25" t="str">
        <x:v>Recovery of 1933</x:v>
      </x:c>
      <x:c r="I1120" s="25" t="str"/>
      <x:c r="J1120" s="25" t="str"/>
      <x:c r="K1120" s="25" t="str">
        <x:v>automatic_screen_pass</x:v>
      </x:c>
      <x:c r="L1120" s="25" t="str">
        <x:v>accepted</x:v>
      </x:c>
      <x:c r="M1120" s="25" t="str">
        <x:v>no</x:v>
      </x:c>
      <x:c r="N1120" s="25" t="str">
        <x:v>saki_research/working_papers/bigio_caramp_silva_sticky_inflation_monetary_policy_debt_drags_inflation_expectations.pdf</x:v>
      </x:c>
      <x:c r="O1120" s="25" t="str">
        <x:v>Jacobson, Margaret M, Eric M Leeper, and Bruce Preston, “Recovery of 1933,” 2019.1</x:v>
      </x:c>
    </x:row>
    <x:row r="1121" ht="48" customHeight="1">
      <x:c r="A1121" s="24" t="str">
        <x:v>W04-R046</x:v>
      </x:c>
      <x:c r="B1121" s="24" t="str">
        <x:v>W04</x:v>
      </x:c>
      <x:c r="C1121" s="26" t="n">
        <x:v>46</x:v>
      </x:c>
      <x:c r="D1121" s="26" t="n">
        <x:v>46</x:v>
      </x:c>
      <x:c r="E1121" s="26" t="n">
        <x:v>46</x:v>
      </x:c>
      <x:c r="F1121" s="26" t="str">
        <x:v>Leeper</x:v>
      </x:c>
      <x:c r="G1121" s="26" t="n">
        <x:v>1991</x:v>
      </x:c>
      <x:c r="H1121" s="25" t="str">
        <x:v>Equilibria under ‘active’ and ‘passive’ monetary and fiscal policies</x:v>
      </x:c>
      <x:c r="I1121" s="25" t="str"/>
      <x:c r="J1121" s="25" t="str">
        <x:v>exhaustive_ai_audit_2026-09-17</x:v>
      </x:c>
      <x:c r="K1121" s="25" t="str">
        <x:v>exhaustive_visual_correction</x:v>
      </x:c>
      <x:c r="L1121" s="25" t="str">
        <x:v>corrected</x:v>
      </x:c>
      <x:c r="M1121" s="25" t="str">
        <x:v>no</x:v>
      </x:c>
      <x:c r="N1121" s="25" t="str">
        <x:v>saki_research/working_papers/bigio_caramp_silva_sticky_inflation_monetary_policy_debt_drags_inflation_expectations.pdf</x:v>
      </x:c>
      <x:c r="O1121" s="25" t="str">
        <x:v>Leeper, Eric M, “Equilibria under ‘active’ and ‘passive’ monetary and fiscal policies,”Journal of Monetary Economics, 1991, 27 (1), 129–147.1,2.1,2.2</x:v>
      </x:c>
    </x:row>
    <x:row r="1122" ht="48" customHeight="1">
      <x:c r="A1122" s="24" t="str">
        <x:v>W04-R047</x:v>
      </x:c>
      <x:c r="B1122" s="24" t="str">
        <x:v>W04</x:v>
      </x:c>
      <x:c r="C1122" s="26" t="n">
        <x:v>47</x:v>
      </x:c>
      <x:c r="D1122" s="26" t="n">
        <x:v>46</x:v>
      </x:c>
      <x:c r="E1122" s="26" t="n">
        <x:v>46</x:v>
      </x:c>
      <x:c r="F1122" s="26" t="str">
        <x:v>Leeper</x:v>
      </x:c>
      <x:c r="G1122" s="26" t="n">
        <x:v>2016</x:v>
      </x:c>
      <x:c r="H1122" s="25" t="str">
        <x:v>Understanding inflation as a joint monetary–fiscal phenomenon</x:v>
      </x:c>
      <x:c r="I1122" s="25" t="str">
        <x:v>inherited_author_notation</x:v>
      </x:c>
      <x:c r="J1122" s="25" t="str">
        <x:v>exhaustive_ai_audit_2026-09-17</x:v>
      </x:c>
      <x:c r="K1122" s="25" t="str">
        <x:v>exhaustive_visual_correction</x:v>
      </x:c>
      <x:c r="L1122" s="25" t="str">
        <x:v>corrected</x:v>
      </x:c>
      <x:c r="M1122" s="25" t="str">
        <x:v>no</x:v>
      </x:c>
      <x:c r="N1122" s="25" t="str">
        <x:v>saki_research/working_papers/bigio_caramp_silva_sticky_inflation_monetary_policy_debt_drags_inflation_expectations.pdf</x:v>
      </x:c>
      <x:c r="O1122" s="25" t="str">
        <x:v>andCampbellLeith,“Understandinginflationasajointmonetary–fiscalphenomenon,” Handbook of Macroeconomics, 2016, 2, 2305–2415.1</x:v>
      </x:c>
    </x:row>
    <x:row r="1123" ht="48" customHeight="1">
      <x:c r="A1123" s="24" t="str">
        <x:v>W04-R048</x:v>
      </x:c>
      <x:c r="B1123" s="24" t="str">
        <x:v>W04</x:v>
      </x:c>
      <x:c r="C1123" s="26" t="n">
        <x:v>48</x:v>
      </x:c>
      <x:c r="D1123" s="26" t="n">
        <x:v>46</x:v>
      </x:c>
      <x:c r="E1123" s="26" t="n">
        <x:v>46</x:v>
      </x:c>
      <x:c r="F1123" s="26" t="str">
        <x:v>Leeper</x:v>
      </x:c>
      <x:c r="G1123" s="26" t="n">
        <x:v>2003</x:v>
      </x:c>
      <x:c r="H1123" s="25" t="str">
        <x:v>Modest policy interventions</x:v>
      </x:c>
      <x:c r="I1123" s="25" t="str">
        <x:v>inherited_author_notation</x:v>
      </x:c>
      <x:c r="J1123" s="25" t="str"/>
      <x:c r="K1123" s="25" t="str">
        <x:v>automatic_screen_pass</x:v>
      </x:c>
      <x:c r="L1123" s="25" t="str">
        <x:v>accepted</x:v>
      </x:c>
      <x:c r="M1123" s="25" t="str">
        <x:v>no</x:v>
      </x:c>
      <x:c r="N1123" s="25" t="str">
        <x:v>saki_research/working_papers/bigio_caramp_silva_sticky_inflation_monetary_policy_debt_drags_inflation_expectations.pdf</x:v>
      </x:c>
      <x:c r="O1123" s="25" t="str">
        <x:v>and Tao Zha, “Modest policy interventions,” Journal of Monetary Economics, 2003, 50 (8), 1673–1700.8</x:v>
      </x:c>
    </x:row>
    <x:row r="1124" ht="48" customHeight="1">
      <x:c r="A1124" s="24" t="str">
        <x:v>W04-R049</x:v>
      </x:c>
      <x:c r="B1124" s="24" t="str">
        <x:v>W04</x:v>
      </x:c>
      <x:c r="C1124" s="26" t="n">
        <x:v>49</x:v>
      </x:c>
      <x:c r="D1124" s="26" t="n">
        <x:v>46</x:v>
      </x:c>
      <x:c r="E1124" s="26" t="n">
        <x:v>46</x:v>
      </x:c>
      <x:c r="F1124" s="26" t="str">
        <x:v>Leeper</x:v>
      </x:c>
      <x:c r="G1124" s="26" t="n">
        <x:v>2021</x:v>
      </x:c>
      <x:c r="H1124" s="25" t="str">
        <x:v>Optimal time-consistent monetary, fiscal and debt maturity policy</x:v>
      </x:c>
      <x:c r="I1124" s="25" t="str">
        <x:v>inherited_author_notation</x:v>
      </x:c>
      <x:c r="J1124" s="25" t="str"/>
      <x:c r="K1124" s="25" t="str">
        <x:v>prior_manual_sample</x:v>
      </x:c>
      <x:c r="L1124" s="25" t="str">
        <x:v>accepted</x:v>
      </x:c>
      <x:c r="M1124" s="25" t="str">
        <x:v>no</x:v>
      </x:c>
      <x:c r="N1124" s="25" t="str">
        <x:v>saki_research/working_papers/bigio_caramp_silva_sticky_inflation_monetary_policy_debt_drags_inflation_expectations.pdf</x:v>
      </x:c>
      <x:c r="O1124" s="25" t="str">
        <x:v>Campbell Leith, and Ding Liu, “Optimal time-consistent monetary, fiscal and debt maturity policy,”Journal of Monetary Economics, 2021, 117, 600–617.1</x:v>
      </x:c>
    </x:row>
    <x:row r="1125" ht="48" customHeight="1">
      <x:c r="A1125" s="24" t="str">
        <x:v>W04-R050</x:v>
      </x:c>
      <x:c r="B1125" s="24" t="str">
        <x:v>W04</x:v>
      </x:c>
      <x:c r="C1125" s="26" t="n">
        <x:v>50</x:v>
      </x:c>
      <x:c r="D1125" s="26" t="n">
        <x:v>46</x:v>
      </x:c>
      <x:c r="E1125" s="26" t="n">
        <x:v>46</x:v>
      </x:c>
      <x:c r="F1125" s="26" t="str">
        <x:v>Li</x:v>
      </x:c>
      <x:c r="G1125" s="26" t="n">
        <x:v>2022</x:v>
      </x:c>
      <x:c r="H1125" s="25" t="str">
        <x:v>Convenience yield, inflation expectations, and public debt growth</x:v>
      </x:c>
      <x:c r="I1125" s="25" t="str"/>
      <x:c r="J1125" s="25" t="str"/>
      <x:c r="K1125" s="25" t="str">
        <x:v>automatic_screen_pass</x:v>
      </x:c>
      <x:c r="L1125" s="25" t="str">
        <x:v>accepted</x:v>
      </x:c>
      <x:c r="M1125" s="25" t="str">
        <x:v>no</x:v>
      </x:c>
      <x:c r="N1125" s="25" t="str">
        <x:v>saki_research/working_papers/bigio_caramp_silva_sticky_inflation_monetary_policy_debt_drags_inflation_expectations.pdf</x:v>
      </x:c>
      <x:c r="O1125" s="25" t="str">
        <x:v>Li, Jian, Zhiyu Fu, and Yinxi Xie, “Convenience yield, inflation expectations, and public debt growth,”Inflation Expectations, and Public Debt Growth (February 5, 2022), 2022.10</x:v>
      </x:c>
    </x:row>
    <x:row r="1126" ht="48" customHeight="1">
      <x:c r="A1126" s="24" t="str">
        <x:v>W04-R051</x:v>
      </x:c>
      <x:c r="B1126" s="24" t="str">
        <x:v>W04</x:v>
      </x:c>
      <x:c r="C1126" s="26" t="n">
        <x:v>51</x:v>
      </x:c>
      <x:c r="D1126" s="26" t="n">
        <x:v>46</x:v>
      </x:c>
      <x:c r="E1126" s="26" t="n">
        <x:v>46</x:v>
      </x:c>
      <x:c r="F1126" s="26" t="str">
        <x:v>Liemen</x:v>
      </x:c>
      <x:c r="G1126" s="26" t="n">
        <x:v>2022</x:v>
      </x:c>
      <x:c r="H1126" s="25" t="str">
        <x:v>FTPLandthematuritystructureofgovernmentdebtin the New-Keynesian Model</x:v>
      </x:c>
      <x:c r="I1126" s="25" t="str"/>
      <x:c r="J1126" s="25" t="str"/>
      <x:c r="K1126" s="25" t="str">
        <x:v>prior_manual_sample</x:v>
      </x:c>
      <x:c r="L1126" s="25" t="str">
        <x:v>accepted</x:v>
      </x:c>
      <x:c r="M1126" s="25" t="str">
        <x:v>no</x:v>
      </x:c>
      <x:c r="N1126" s="25" t="str">
        <x:v>saki_research/working_papers/bigio_caramp_silva_sticky_inflation_monetary_policy_debt_drags_inflation_expectations.pdf</x:v>
      </x:c>
      <x:c r="O1126" s="25" t="str">
        <x:v>Liemen,MaxOleandOlafPosch,“FTPLandthematuritystructureofgovernmentdebtin the New-Keynesian Model,”Available at SSRN 4157228, 2022.1</x:v>
      </x:c>
    </x:row>
    <x:row r="1127" ht="48" customHeight="1">
      <x:c r="A1127" s="24" t="str">
        <x:v>W04-R052</x:v>
      </x:c>
      <x:c r="B1127" s="24" t="str">
        <x:v>W04</x:v>
      </x:c>
      <x:c r="C1127" s="26" t="n">
        <x:v>52</x:v>
      </x:c>
      <x:c r="D1127" s="26" t="n">
        <x:v>46</x:v>
      </x:c>
      <x:c r="E1127" s="26" t="n">
        <x:v>46</x:v>
      </x:c>
      <x:c r="F1127" s="26" t="str">
        <x:v>Ljungqvist</x:v>
      </x:c>
      <x:c r="G1127" s="26" t="n">
        <x:v>2018</x:v>
      </x:c>
      <x:c r="H1127" s="25" t="str">
        <x:v>Recursive macroeconomic theory</x:v>
      </x:c>
      <x:c r="I1127" s="25" t="str"/>
      <x:c r="J1127" s="25" t="str">
        <x:v>local_citation_grammar_v3</x:v>
      </x:c>
      <x:c r="K1127" s="25" t="str">
        <x:v>automatic_screen_pass</x:v>
      </x:c>
      <x:c r="L1127" s="25" t="str">
        <x:v>accepted</x:v>
      </x:c>
      <x:c r="M1127" s="25" t="str">
        <x:v>no</x:v>
      </x:c>
      <x:c r="N1127" s="25" t="str">
        <x:v>saki_research/working_papers/bigio_caramp_silva_sticky_inflation_monetary_policy_debt_drags_inflation_expectations.pdf</x:v>
      </x:c>
      <x:c r="O1127" s="25" t="str">
        <x:v>Ljungqvist, Lars and Thomas J Sargent, Recursive macroeconomic theory, MIT press, 2018.1</x:v>
      </x:c>
    </x:row>
    <x:row r="1128" ht="48" customHeight="1">
      <x:c r="A1128" s="24" t="str">
        <x:v>W04-R053</x:v>
      </x:c>
      <x:c r="B1128" s="24" t="str">
        <x:v>W04</x:v>
      </x:c>
      <x:c r="C1128" s="26" t="n">
        <x:v>53</x:v>
      </x:c>
      <x:c r="D1128" s="26" t="n">
        <x:v>46</x:v>
      </x:c>
      <x:c r="E1128" s="26" t="n">
        <x:v>46</x:v>
      </x:c>
      <x:c r="F1128" s="26" t="str">
        <x:v>Lorenzoni</x:v>
      </x:c>
      <x:c r="G1128" s="26" t="n">
        <x:v>2023</x:v>
      </x:c>
      <x:c r="H1128" s="25" t="str">
        <x:v>Inflation is Conflict</x:v>
      </x:c>
      <x:c r="I1128" s="25" t="str"/>
      <x:c r="J1128" s="25" t="str"/>
      <x:c r="K1128" s="25" t="str">
        <x:v>prior_manual_sample</x:v>
      </x:c>
      <x:c r="L1128" s="25" t="str">
        <x:v>accepted</x:v>
      </x:c>
      <x:c r="M1128" s="25" t="str">
        <x:v>no</x:v>
      </x:c>
      <x:c r="N1128" s="25" t="str">
        <x:v>saki_research/working_papers/bigio_caramp_silva_sticky_inflation_monetary_policy_debt_drags_inflation_expectations.pdf</x:v>
      </x:c>
      <x:c r="O1128" s="25" t="str">
        <x:v>Lorenzoni, Guido and Ivan Werning, “Inflation is Conflict,” 2023.3</x:v>
      </x:c>
    </x:row>
    <x:row r="1129" ht="48" customHeight="1">
      <x:c r="A1129" s="24" t="str">
        <x:v>W04-R054</x:v>
      </x:c>
      <x:c r="B1129" s="24" t="str">
        <x:v>W04</x:v>
      </x:c>
      <x:c r="C1129" s="26" t="n">
        <x:v>54</x:v>
      </x:c>
      <x:c r="D1129" s="26" t="n">
        <x:v>47</x:v>
      </x:c>
      <x:c r="E1129" s="26" t="n">
        <x:v>47</x:v>
      </x:c>
      <x:c r="F1129" s="26" t="str">
        <x:v>Lorenzoni</x:v>
      </x:c>
      <x:c r="G1129" s="26" t="n">
        <x:v>2023</x:v>
      </x:c>
      <x:c r="H1129" s="25" t="str">
        <x:v>Wage Price Spirals</x:v>
      </x:c>
      <x:c r="I1129" s="25" t="str">
        <x:v>inherited_author_notation</x:v>
      </x:c>
      <x:c r="J1129" s="25" t="str"/>
      <x:c r="K1129" s="25" t="str">
        <x:v>prior_manual_sample</x:v>
      </x:c>
      <x:c r="L1129" s="25" t="str">
        <x:v>accepted</x:v>
      </x:c>
      <x:c r="M1129" s="25" t="str">
        <x:v>no</x:v>
      </x:c>
      <x:c r="N1129" s="25" t="str">
        <x:v>saki_research/working_papers/bigio_caramp_silva_sticky_inflation_monetary_policy_debt_drags_inflation_expectations.pdf</x:v>
      </x:c>
      <x:c r="O1129" s="25" t="str">
        <x:v>and Iv ́an Werning, “Wage Price Spirals,” 2023.3</x:v>
      </x:c>
    </x:row>
    <x:row r="1130" ht="48" customHeight="1">
      <x:c r="A1130" s="24" t="str">
        <x:v>W04-R055</x:v>
      </x:c>
      <x:c r="B1130" s="24" t="str">
        <x:v>W04</x:v>
      </x:c>
      <x:c r="C1130" s="26" t="n">
        <x:v>55</x:v>
      </x:c>
      <x:c r="D1130" s="26" t="n">
        <x:v>47</x:v>
      </x:c>
      <x:c r="E1130" s="26" t="n">
        <x:v>47</x:v>
      </x:c>
      <x:c r="F1130" s="26" t="str">
        <x:v>Marcet</x:v>
      </x:c>
      <x:c r="G1130" s="26" t="n">
        <x:v>2019</x:v>
      </x:c>
      <x:c r="H1130" s="25" t="str">
        <x:v>Recursive contracts</x:v>
      </x:c>
      <x:c r="I1130" s="25" t="str"/>
      <x:c r="J1130" s="25" t="str"/>
      <x:c r="K1130" s="25" t="str">
        <x:v>automatic_screen_pass</x:v>
      </x:c>
      <x:c r="L1130" s="25" t="str">
        <x:v>accepted</x:v>
      </x:c>
      <x:c r="M1130" s="25" t="str">
        <x:v>no</x:v>
      </x:c>
      <x:c r="N1130" s="25" t="str">
        <x:v>saki_research/working_papers/bigio_caramp_silva_sticky_inflation_monetary_policy_debt_drags_inflation_expectations.pdf</x:v>
      </x:c>
      <x:c r="O1130" s="25" t="str">
        <x:v>Marcet, Albert and Ramon Marimon, “Recursive contracts,” Econometrica, 2019, 87 (5), 1589–1631.4.1</x:v>
      </x:c>
    </x:row>
    <x:row r="1131" ht="48" customHeight="1">
      <x:c r="A1131" s="24" t="str">
        <x:v>W04-R056</x:v>
      </x:c>
      <x:c r="B1131" s="24" t="str">
        <x:v>W04</x:v>
      </x:c>
      <x:c r="C1131" s="26" t="n">
        <x:v>56</x:v>
      </x:c>
      <x:c r="D1131" s="26" t="n">
        <x:v>47</x:v>
      </x:c>
      <x:c r="E1131" s="26" t="n">
        <x:v>47</x:v>
      </x:c>
      <x:c r="F1131" s="26" t="str">
        <x:v>McKay</x:v>
      </x:c>
      <x:c r="G1131" s="26" t="n">
        <x:v>2016</x:v>
      </x:c>
      <x:c r="H1131" s="25" t="str">
        <x:v>The power of forward guidance revisited</x:v>
      </x:c>
      <x:c r="I1131" s="25" t="str"/>
      <x:c r="J1131" s="25" t="str"/>
      <x:c r="K1131" s="25" t="str">
        <x:v>automatic_screen_pass</x:v>
      </x:c>
      <x:c r="L1131" s="25" t="str">
        <x:v>accepted</x:v>
      </x:c>
      <x:c r="M1131" s="25" t="str">
        <x:v>no</x:v>
      </x:c>
      <x:c r="N1131" s="25" t="str">
        <x:v>saki_research/working_papers/bigio_caramp_silva_sticky_inflation_monetary_policy_debt_drags_inflation_expectations.pdf</x:v>
      </x:c>
      <x:c r="O1131" s="25" t="str">
        <x:v>McKay, Alisdair, Emi Nakamura, and J ́on Steinsson, “The power of forward guidance revisited,”The American Economic Review, 2016,106 (10), 3133–3158.5</x:v>
      </x:c>
    </x:row>
    <x:row r="1132" ht="48" customHeight="1">
      <x:c r="A1132" s="24" t="str">
        <x:v>W04-R057</x:v>
      </x:c>
      <x:c r="B1132" s="24" t="str">
        <x:v>W04</x:v>
      </x:c>
      <x:c r="C1132" s="26" t="n">
        <x:v>57</x:v>
      </x:c>
      <x:c r="D1132" s="26" t="n">
        <x:v>47</x:v>
      </x:c>
      <x:c r="E1132" s="26" t="n">
        <x:v>47</x:v>
      </x:c>
      <x:c r="F1132" s="26" t="str">
        <x:v>Michaillat</x:v>
      </x:c>
      <x:c r="G1132" s="26" t="n">
        <x:v>2024</x:v>
      </x:c>
      <x:c r="H1132" s="25" t="str">
        <x:v>MoenMeetsRotemberg: AnEarthlyModelofthe Divine Coincidence</x:v>
      </x:c>
      <x:c r="I1132" s="25" t="str"/>
      <x:c r="J1132" s="25" t="str"/>
      <x:c r="K1132" s="25" t="str">
        <x:v>prior_manual_sample</x:v>
      </x:c>
      <x:c r="L1132" s="25" t="str">
        <x:v>accepted</x:v>
      </x:c>
      <x:c r="M1132" s="25" t="str">
        <x:v>no</x:v>
      </x:c>
      <x:c r="N1132" s="25" t="str">
        <x:v>saki_research/working_papers/bigio_caramp_silva_sticky_inflation_monetary_policy_debt_drags_inflation_expectations.pdf</x:v>
      </x:c>
      <x:c r="O1132" s="25" t="str">
        <x:v>Michaillat,PascalandEmmanuelSaez,“MoenMeetsRotemberg: AnEarthlyModelofthe Divine Coincidence,” 2024.3</x:v>
      </x:c>
    </x:row>
    <x:row r="1133" ht="48" customHeight="1">
      <x:c r="A1133" s="24" t="str">
        <x:v>W04-R058</x:v>
      </x:c>
      <x:c r="B1133" s="24" t="str">
        <x:v>W04</x:v>
      </x:c>
      <x:c r="C1133" s="26" t="n">
        <x:v>58</x:v>
      </x:c>
      <x:c r="D1133" s="26" t="n">
        <x:v>47</x:v>
      </x:c>
      <x:c r="E1133" s="26" t="n">
        <x:v>47</x:v>
      </x:c>
      <x:c r="F1133" s="26" t="str">
        <x:v>Papell</x:v>
      </x:c>
      <x:c r="G1133" s="26" t="n">
        <x:v>2024</x:v>
      </x:c>
      <x:c r="H1133" s="25" t="str">
        <x:v>PolicyRulesandForwardGuidanceFollowing the Covid-19 Recession</x:v>
      </x:c>
      <x:c r="I1133" s="25" t="str"/>
      <x:c r="J1133" s="25" t="str"/>
      <x:c r="K1133" s="25" t="str">
        <x:v>automatic_screen_pass</x:v>
      </x:c>
      <x:c r="L1133" s="25" t="str">
        <x:v>accepted</x:v>
      </x:c>
      <x:c r="M1133" s="25" t="str">
        <x:v>no</x:v>
      </x:c>
      <x:c r="N1133" s="25" t="str">
        <x:v>saki_research/working_papers/bigio_caramp_silva_sticky_inflation_monetary_policy_debt_drags_inflation_expectations.pdf</x:v>
      </x:c>
      <x:c r="O1133" s="25" t="str">
        <x:v>Papell,DavidHandRuxandraProdan-Boul,“PolicyRulesandForwardGuidanceFollowing the Covid-19 Recession,”Available at SSRN 4083466, 2024.27</x:v>
      </x:c>
    </x:row>
    <x:row r="1134" ht="48" customHeight="1">
      <x:c r="A1134" s="24" t="str">
        <x:v>W04-R059</x:v>
      </x:c>
      <x:c r="B1134" s="24" t="str">
        <x:v>W04</x:v>
      </x:c>
      <x:c r="C1134" s="26" t="n">
        <x:v>59</x:v>
      </x:c>
      <x:c r="D1134" s="26" t="n">
        <x:v>47</x:v>
      </x:c>
      <x:c r="E1134" s="26" t="n">
        <x:v>47</x:v>
      </x:c>
      <x:c r="F1134" s="26" t="str">
        <x:v>Rubbo</x:v>
      </x:c>
      <x:c r="G1134" s="26" t="n">
        <x:v>2024</x:v>
      </x:c>
      <x:c r="H1134" s="25" t="str">
        <x:v>What drives inflation? Lessons from disaggregated price data</x:v>
      </x:c>
      <x:c r="I1134" s="25" t="str"/>
      <x:c r="J1134" s="25" t="str"/>
      <x:c r="K1134" s="25" t="str">
        <x:v>prior_manual_sample</x:v>
      </x:c>
      <x:c r="L1134" s="25" t="str">
        <x:v>accepted</x:v>
      </x:c>
      <x:c r="M1134" s="25" t="str">
        <x:v>no</x:v>
      </x:c>
      <x:c r="N1134" s="25" t="str">
        <x:v>saki_research/working_papers/bigio_caramp_silva_sticky_inflation_monetary_policy_debt_drags_inflation_expectations.pdf</x:v>
      </x:c>
      <x:c r="O1134" s="25" t="str">
        <x:v>Rubbo, Elisa, “What drives inflation? Lessons from disaggregated price data,” Technical Report, National Bureau of Economic Research 2024.5.2</x:v>
      </x:c>
    </x:row>
    <x:row r="1135" ht="48" customHeight="1">
      <x:c r="A1135" s="24" t="str">
        <x:v>W04-R060</x:v>
      </x:c>
      <x:c r="B1135" s="24" t="str">
        <x:v>W04</x:v>
      </x:c>
      <x:c r="C1135" s="26" t="n">
        <x:v>60</x:v>
      </x:c>
      <x:c r="D1135" s="26" t="n">
        <x:v>47</x:v>
      </x:c>
      <x:c r="E1135" s="26" t="n">
        <x:v>47</x:v>
      </x:c>
      <x:c r="F1135" s="26" t="str">
        <x:v>Sargent</x:v>
      </x:c>
      <x:c r="G1135" s="26" t="n">
        <x:v>1981</x:v>
      </x:c>
      <x:c r="H1135" s="25" t="str">
        <x:v>Some unpleasant monetarist arithmetic</x:v>
      </x:c>
      <x:c r="I1135" s="25" t="str"/>
      <x:c r="J1135" s="25" t="str"/>
      <x:c r="K1135" s="25" t="str">
        <x:v>automatic_screen_pass</x:v>
      </x:c>
      <x:c r="L1135" s="25" t="str">
        <x:v>accepted</x:v>
      </x:c>
      <x:c r="M1135" s="25" t="str">
        <x:v>no</x:v>
      </x:c>
      <x:c r="N1135" s="25" t="str">
        <x:v>saki_research/working_papers/bigio_caramp_silva_sticky_inflation_monetary_policy_debt_drags_inflation_expectations.pdf</x:v>
      </x:c>
      <x:c r="O1135" s="25" t="str">
        <x:v>Sargent, Thomas and Neil Wallace, “Some unpleasant monetarist arithmetic,” Quarterly Review, 1981, 5(Fall).1,3</x:v>
      </x:c>
    </x:row>
    <x:row r="1136" ht="48" customHeight="1">
      <x:c r="A1136" s="24" t="str">
        <x:v>W04-R061</x:v>
      </x:c>
      <x:c r="B1136" s="24" t="str">
        <x:v>W04</x:v>
      </x:c>
      <x:c r="C1136" s="26" t="n">
        <x:v>61</x:v>
      </x:c>
      <x:c r="D1136" s="26" t="n">
        <x:v>47</x:v>
      </x:c>
      <x:c r="E1136" s="26" t="n">
        <x:v>47</x:v>
      </x:c>
      <x:c r="F1136" s="26" t="str">
        <x:v>Shapiro</x:v>
      </x:c>
      <x:c r="G1136" s="26" t="n">
        <x:v>2024</x:v>
      </x:c>
      <x:c r="H1136" s="25" t="str">
        <x:v>Decomposing Supply-and Demand-Driven Inflation</x:v>
      </x:c>
      <x:c r="I1136" s="25" t="str"/>
      <x:c r="J1136" s="25" t="str"/>
      <x:c r="K1136" s="25" t="str">
        <x:v>automatic_screen_pass</x:v>
      </x:c>
      <x:c r="L1136" s="25" t="str">
        <x:v>accepted</x:v>
      </x:c>
      <x:c r="M1136" s="25" t="str">
        <x:v>no</x:v>
      </x:c>
      <x:c r="N1136" s="25" t="str">
        <x:v>saki_research/working_papers/bigio_caramp_silva_sticky_inflation_monetary_policy_debt_drags_inflation_expectations.pdf</x:v>
      </x:c>
      <x:c r="O1136" s="25" t="str">
        <x:v>Shapiro, Adam Hale, “Decomposing Supply-and Demand-Driven Inflation,” Journal of Money, Credit and Banking, 2024.1</x:v>
      </x:c>
    </x:row>
    <x:row r="1137" ht="48" customHeight="1">
      <x:c r="A1137" s="24" t="str">
        <x:v>W04-R062</x:v>
      </x:c>
      <x:c r="B1137" s="24" t="str">
        <x:v>W04</x:v>
      </x:c>
      <x:c r="C1137" s="26" t="n">
        <x:v>62</x:v>
      </x:c>
      <x:c r="D1137" s="26" t="n">
        <x:v>47</x:v>
      </x:c>
      <x:c r="E1137" s="26" t="n">
        <x:v>47</x:v>
      </x:c>
      <x:c r="F1137" s="26" t="str">
        <x:v>Sims</x:v>
      </x:c>
      <x:c r="G1137" s="26" t="n">
        <x:v>2011</x:v>
      </x:c>
      <x:c r="H1137" s="25" t="str">
        <x:v>Stepping on a rake: The role of fiscal policy in the inflation of the 1970s</x:v>
      </x:c>
      <x:c r="I1137" s="25" t="str"/>
      <x:c r="J1137" s="25" t="str"/>
      <x:c r="K1137" s="25" t="str">
        <x:v>automatic_screen_pass</x:v>
      </x:c>
      <x:c r="L1137" s="25" t="str">
        <x:v>accepted</x:v>
      </x:c>
      <x:c r="M1137" s="25" t="str">
        <x:v>no</x:v>
      </x:c>
      <x:c r="N1137" s="25" t="str">
        <x:v>saki_research/working_papers/bigio_caramp_silva_sticky_inflation_monetary_policy_debt_drags_inflation_expectations.pdf</x:v>
      </x:c>
      <x:c r="O1137" s="25" t="str">
        <x:v>Sims, Christopher A, “Stepping on a rake: The role of fiscal policy in the inflation of the 1970s,”European Economic Review, 2011,55 (1), 48–56.1,3</x:v>
      </x:c>
    </x:row>
    <x:row r="1138" ht="48" customHeight="1">
      <x:c r="A1138" s="24" t="str">
        <x:v>W04-R063</x:v>
      </x:c>
      <x:c r="B1138" s="24" t="str">
        <x:v>W04</x:v>
      </x:c>
      <x:c r="C1138" s="26" t="n">
        <x:v>63</x:v>
      </x:c>
      <x:c r="D1138" s="26" t="n">
        <x:v>47</x:v>
      </x:c>
      <x:c r="E1138" s="26" t="n">
        <x:v>47</x:v>
      </x:c>
      <x:c r="F1138" s="26" t="str">
        <x:v>Smets</x:v>
      </x:c>
      <x:c r="G1138" s="26" t="n">
        <x:v>2024</x:v>
      </x:c>
      <x:c r="H1138" s="25" t="str">
        <x:v>Fiscal backing, inflation and US business cycles</x:v>
      </x:c>
      <x:c r="I1138" s="25" t="str"/>
      <x:c r="J1138" s="25" t="str"/>
      <x:c r="K1138" s="25" t="str">
        <x:v>prior_manual_sample</x:v>
      </x:c>
      <x:c r="L1138" s="25" t="str">
        <x:v>accepted</x:v>
      </x:c>
      <x:c r="M1138" s="25" t="str">
        <x:v>no</x:v>
      </x:c>
      <x:c r="N1138" s="25" t="str">
        <x:v>saki_research/working_papers/bigio_caramp_silva_sticky_inflation_monetary_policy_debt_drags_inflation_expectations.pdf</x:v>
      </x:c>
      <x:c r="O1138" s="25" t="str">
        <x:v>Smets, Frank and Raf Wouters, “Fiscal backing, inflation and US business cycles,” 2024.1</x:v>
      </x:c>
    </x:row>
    <x:row r="1139" ht="48" customHeight="1">
      <x:c r="A1139" s="24" t="str">
        <x:v>W04-R064</x:v>
      </x:c>
      <x:c r="B1139" s="24" t="str">
        <x:v>W04</x:v>
      </x:c>
      <x:c r="C1139" s="26" t="n">
        <x:v>64</x:v>
      </x:c>
      <x:c r="D1139" s="26" t="n">
        <x:v>47</x:v>
      </x:c>
      <x:c r="E1139" s="26" t="n">
        <x:v>47</x:v>
      </x:c>
      <x:c r="F1139" s="26" t="str">
        <x:v>Woodford</x:v>
      </x:c>
      <x:c r="G1139" s="26" t="n">
        <x:v>1998</x:v>
      </x:c>
      <x:c r="H1139" s="25" t="str">
        <x:v>Public debt and the price level</x:v>
      </x:c>
      <x:c r="I1139" s="25" t="str"/>
      <x:c r="J1139" s="25" t="str">
        <x:v>C-086</x:v>
      </x:c>
      <x:c r="K1139" s="25" t="str">
        <x:v>prior_manual_sample</x:v>
      </x:c>
      <x:c r="L1139" s="25" t="str">
        <x:v>accepted</x:v>
      </x:c>
      <x:c r="M1139" s="25" t="str">
        <x:v>no</x:v>
      </x:c>
      <x:c r="N1139" s="25" t="str">
        <x:v>saki_research/working_papers/bigio_caramp_silva_sticky_inflation_monetary_policy_debt_drags_inflation_expectations.pdf</x:v>
      </x:c>
      <x:c r="O1139" s="25" t="str">
        <x:v>Woodford, Michael, “Public debt and the price level,” Mimeo, 1998.</x:v>
      </x:c>
    </x:row>
    <x:row r="1140" ht="48" customHeight="1">
      <x:c r="A1140" s="24" t="str">
        <x:v>W04-R065</x:v>
      </x:c>
      <x:c r="B1140" s="24" t="str">
        <x:v>W04</x:v>
      </x:c>
      <x:c r="C1140" s="26" t="n">
        <x:v>65</x:v>
      </x:c>
      <x:c r="D1140" s="26" t="n">
        <x:v>47</x:v>
      </x:c>
      <x:c r="E1140" s="26" t="n">
        <x:v>47</x:v>
      </x:c>
      <x:c r="F1140" s="26" t="str">
        <x:v>Woodford</x:v>
      </x:c>
      <x:c r="G1140" s="26" t="n">
        <x:v>1999</x:v>
      </x:c>
      <x:c r="H1140" s="25" t="str">
        <x:v>Commentary: How should monetary policy be conducted in an era of price stability?</x:v>
      </x:c>
      <x:c r="I1140" s="25" t="str">
        <x:v>inherited_author_notation</x:v>
      </x:c>
      <x:c r="J1140" s="25" t="str">
        <x:v>C-086</x:v>
      </x:c>
      <x:c r="K1140" s="25" t="str">
        <x:v>automatic_screen_pass</x:v>
      </x:c>
      <x:c r="L1140" s="25" t="str">
        <x:v>accepted</x:v>
      </x:c>
      <x:c r="M1140" s="25" t="str">
        <x:v>no</x:v>
      </x:c>
      <x:c r="N1140" s="25" t="str">
        <x:v>saki_research/working_papers/bigio_caramp_silva_sticky_inflation_monetary_policy_debt_drags_inflation_expectations.pdf</x:v>
      </x:c>
      <x:c r="O1140" s="25" t="str">
        <x:v>———, “Commentary: How should monetary policy be conducted in an era of price stability?,” New challenges for monetary policy, 1999, 277–316.</x:v>
      </x:c>
    </x:row>
    <x:row r="1141" ht="48" customHeight="1">
      <x:c r="A1141" s="24" t="str">
        <x:v>W04-R066</x:v>
      </x:c>
      <x:c r="B1141" s="24" t="str">
        <x:v>W04</x:v>
      </x:c>
      <x:c r="C1141" s="26" t="n">
        <x:v>66</x:v>
      </x:c>
      <x:c r="D1141" s="26" t="n">
        <x:v>47</x:v>
      </x:c>
      <x:c r="E1141" s="26" t="n">
        <x:v>47</x:v>
      </x:c>
      <x:c r="F1141" s="26" t="str">
        <x:v>Woodford</x:v>
      </x:c>
      <x:c r="G1141" s="26" t="n">
        <x:v>2010</x:v>
      </x:c>
      <x:c r="H1141" s="25" t="str">
        <x:v>Optimal monetary stabilization policy</x:v>
      </x:c>
      <x:c r="I1141" s="25" t="str">
        <x:v>inherited_author_notation</x:v>
      </x:c>
      <x:c r="J1141" s="25" t="str">
        <x:v>C-086</x:v>
      </x:c>
      <x:c r="K1141" s="25" t="str">
        <x:v>automatic_screen_pass</x:v>
      </x:c>
      <x:c r="L1141" s="25" t="str">
        <x:v>accepted</x:v>
      </x:c>
      <x:c r="M1141" s="25" t="str">
        <x:v>no</x:v>
      </x:c>
      <x:c r="N1141" s="25" t="str">
        <x:v>saki_research/working_papers/bigio_caramp_silva_sticky_inflation_monetary_policy_debt_drags_inflation_expectations.pdf</x:v>
      </x:c>
      <x:c r="O1141" s="25" t="str">
        <x:v>———, “Optimal monetary stabilization policy,” Handbook of monetary economics, 2010, 3, 723–828.</x:v>
      </x:c>
    </x:row>
    <x:row r="1142" ht="48" customHeight="1">
      <x:c r="A1142" s="24" t="str">
        <x:v>W11-R001</x:v>
      </x:c>
      <x:c r="B1142" s="24" t="str">
        <x:v>W11</x:v>
      </x:c>
      <x:c r="C1142" s="26" t="n">
        <x:v>1</x:v>
      </x:c>
      <x:c r="D1142" s="26" t="n">
        <x:v>54</x:v>
      </x:c>
      <x:c r="E1142" s="26" t="n">
        <x:v>54</x:v>
      </x:c>
      <x:c r="F1142" s="26" t="str">
        <x:v>Afonso</x:v>
      </x:c>
      <x:c r="G1142" s="26" t="n">
        <x:v>2015</x:v>
      </x:c>
      <x:c r="H1142" s="25" t="str">
        <x:v>Trade Dynamics in the Market for Federal Funds</x:v>
      </x:c>
      <x:c r="I1142" s="25" t="str"/>
      <x:c r="J1142" s="25" t="str"/>
      <x:c r="K1142" s="25" t="str">
        <x:v>prior_manual_sample</x:v>
      </x:c>
      <x:c r="L1142" s="25" t="str">
        <x:v>accepted</x:v>
      </x:c>
      <x:c r="M1142" s="25" t="str">
        <x:v>no</x:v>
      </x:c>
      <x:c r="N1142" s="25" t="str">
        <x:v>saki_research/working_papers/bigio_castillo_han_dollar_liquidity_flows_soe.pdf</x:v>
      </x:c>
      <x:c r="O1142" s="25" t="str">
        <x:v>Afonso, Gara and Ricardo Lagos. 2015. “Trade Dynamics in the Market for Federal Funds.”Econometrica 83(1):263–313.</x:v>
      </x:c>
    </x:row>
    <x:row r="1143" ht="48" customHeight="1">
      <x:c r="A1143" s="24" t="str">
        <x:v>W11-R002</x:v>
      </x:c>
      <x:c r="B1143" s="24" t="str">
        <x:v>W11</x:v>
      </x:c>
      <x:c r="C1143" s="26" t="n">
        <x:v>2</x:v>
      </x:c>
      <x:c r="D1143" s="26" t="n">
        <x:v>54</x:v>
      </x:c>
      <x:c r="E1143" s="26" t="n">
        <x:v>54</x:v>
      </x:c>
      <x:c r="F1143" s="26" t="str">
        <x:v>Armas</x:v>
      </x:c>
      <x:c r="G1143" s="26" t="n">
        <x:v>2014</x:v>
      </x:c>
      <x:c r="H1143" s="25" t="str">
        <x:v>InflationTargetingandQuantitativeTightening: EffectsofReserveRequirementsinPeru</x:v>
      </x:c>
      <x:c r="I1143" s="25" t="str"/>
      <x:c r="J1143" s="25" t="str"/>
      <x:c r="K1143" s="25" t="str">
        <x:v>automatic_screen_pass</x:v>
      </x:c>
      <x:c r="L1143" s="25" t="str">
        <x:v>accepted</x:v>
      </x:c>
      <x:c r="M1143" s="25" t="str">
        <x:v>no</x:v>
      </x:c>
      <x:c r="N1143" s="25" t="str">
        <x:v>saki_research/working_papers/bigio_castillo_han_dollar_liquidity_flows_soe.pdf</x:v>
      </x:c>
      <x:c r="O1143" s="25" t="str">
        <x:v>Armas,Adrian,PaulCastilloandMarcoVega.2014. “InflationTargetingandQuantitativeTightening: EffectsofReserveRequirementsinPeru.”EconomíaJournal0(Fall 2014):133–175. URL: https://ideas.repec.org/a/col/000425/012281.html</x:v>
      </x:c>
    </x:row>
    <x:row r="1144" ht="48" customHeight="1">
      <x:c r="A1144" s="24" t="str">
        <x:v>W11-R003</x:v>
      </x:c>
      <x:c r="B1144" s="24" t="str">
        <x:v>W11</x:v>
      </x:c>
      <x:c r="C1144" s="26" t="n">
        <x:v>3</x:v>
      </x:c>
      <x:c r="D1144" s="26" t="n">
        <x:v>54</x:v>
      </x:c>
      <x:c r="E1144" s="26" t="n">
        <x:v>54</x:v>
      </x:c>
      <x:c r="F1144" s="26" t="str">
        <x:v>Ashcraft</x:v>
      </x:c>
      <x:c r="G1144" s="26" t="n">
        <x:v>2007</x:v>
      </x:c>
      <x:c r="H1144" s="25" t="str">
        <x:v>SystemicIlliquidityintheFederalFunds Market</x:v>
      </x:c>
      <x:c r="I1144" s="25" t="str"/>
      <x:c r="J1144" s="25" t="str"/>
      <x:c r="K1144" s="25" t="str">
        <x:v>automatic_screen_pass</x:v>
      </x:c>
      <x:c r="L1144" s="25" t="str">
        <x:v>accepted</x:v>
      </x:c>
      <x:c r="M1144" s="25" t="str">
        <x:v>no</x:v>
      </x:c>
      <x:c r="N1144" s="25" t="str">
        <x:v>saki_research/working_papers/bigio_castillo_han_dollar_liquidity_flows_soe.pdf</x:v>
      </x:c>
      <x:c r="O1144" s="25" t="str">
        <x:v>Ashcraft,AdamB.andDarrellDuffie.2007.“SystemicIlliquidityintheFederalFunds Market.”American Economic Review 97(2):221–225.</x:v>
      </x:c>
    </x:row>
    <x:row r="1145" ht="48" customHeight="1">
      <x:c r="A1145" s="24" t="str">
        <x:v>W11-R004</x:v>
      </x:c>
      <x:c r="B1145" s="24" t="str">
        <x:v>W11</x:v>
      </x:c>
      <x:c r="C1145" s="26" t="n">
        <x:v>4</x:v>
      </x:c>
      <x:c r="D1145" s="26" t="n">
        <x:v>54</x:v>
      </x:c>
      <x:c r="E1145" s="26" t="n">
        <x:v>54</x:v>
      </x:c>
      <x:c r="F1145" s="26" t="str">
        <x:v>Atkeson</x:v>
      </x:c>
      <x:c r="G1145" s="26" t="n">
        <x:v>2015</x:v>
      </x:c>
      <x:c r="H1145" s="25" t="str">
        <x:v>Entry and Exit in OTC Derivatives Markets</x:v>
      </x:c>
      <x:c r="I1145" s="25" t="str"/>
      <x:c r="J1145" s="25" t="str"/>
      <x:c r="K1145" s="25" t="str">
        <x:v>automatic_screen_pass</x:v>
      </x:c>
      <x:c r="L1145" s="25" t="str">
        <x:v>accepted</x:v>
      </x:c>
      <x:c r="M1145" s="25" t="str">
        <x:v>no</x:v>
      </x:c>
      <x:c r="N1145" s="25" t="str">
        <x:v>saki_research/working_papers/bigio_castillo_han_dollar_liquidity_flows_soe.pdf</x:v>
      </x:c>
      <x:c r="O1145" s="25" t="str">
        <x:v>Atkeson, Andrew G., Andrea L. Eisfeldt and Pierre-Olivier Weill. 2015. “Entry and Exit in OTC Derivatives Markets.”Econometrica 83(6):2231–2292.</x:v>
      </x:c>
    </x:row>
    <x:row r="1146" ht="48" customHeight="1">
      <x:c r="A1146" s="24" t="str">
        <x:v>W11-R005</x:v>
      </x:c>
      <x:c r="B1146" s="24" t="str">
        <x:v>W11</x:v>
      </x:c>
      <x:c r="C1146" s="26" t="n">
        <x:v>5</x:v>
      </x:c>
      <x:c r="D1146" s="26" t="n">
        <x:v>54</x:v>
      </x:c>
      <x:c r="E1146" s="26" t="n">
        <x:v>54</x:v>
      </x:c>
      <x:c r="F1146" s="26" t="str">
        <x:v>Bianchi</x:v>
      </x:c>
      <x:c r="G1146" s="26" t="n">
        <x:v>2022</x:v>
      </x:c>
      <x:c r="H1146" s="25" t="str">
        <x:v>Banks, Liquidity Management, and Monetary Policy</x:v>
      </x:c>
      <x:c r="I1146" s="25" t="str"/>
      <x:c r="J1146" s="25" t="str"/>
      <x:c r="K1146" s="25" t="str">
        <x:v>automatic_screen_pass</x:v>
      </x:c>
      <x:c r="L1146" s="25" t="str">
        <x:v>accepted</x:v>
      </x:c>
      <x:c r="M1146" s="25" t="str">
        <x:v>no</x:v>
      </x:c>
      <x:c r="N1146" s="25" t="str">
        <x:v>saki_research/working_papers/bigio_castillo_han_dollar_liquidity_flows_soe.pdf</x:v>
      </x:c>
      <x:c r="O1146" s="25" t="str">
        <x:v>Bianchi, Javier and Saki Bigio. 2022. “Banks, Liquidity Management, and Monetary Policy.”Econometrica 90.</x:v>
      </x:c>
    </x:row>
    <x:row r="1147" ht="48" customHeight="1">
      <x:c r="A1147" s="24" t="str">
        <x:v>W11-R006</x:v>
      </x:c>
      <x:c r="B1147" s="24" t="str">
        <x:v>W11</x:v>
      </x:c>
      <x:c r="C1147" s="26" t="n">
        <x:v>6</x:v>
      </x:c>
      <x:c r="D1147" s="26" t="n">
        <x:v>54</x:v>
      </x:c>
      <x:c r="E1147" s="26" t="n">
        <x:v>54</x:v>
      </x:c>
      <x:c r="F1147" s="26" t="str">
        <x:v>Bianchi</x:v>
      </x:c>
      <x:c r="G1147" s="26" t="n">
        <x:v>2025</x:v>
      </x:c>
      <x:c r="H1147" s="25" t="str">
        <x:v>Portfolio Choice and Settlement Frictions: A Theory of Endogenous Convenience Yields</x:v>
      </x:c>
      <x:c r="I1147" s="25" t="str"/>
      <x:c r="J1147" s="25" t="str"/>
      <x:c r="K1147" s="25" t="str">
        <x:v>exhaustive_visual_multiwork_pattern_accepted</x:v>
      </x:c>
      <x:c r="L1147" s="25" t="str">
        <x:v>accepted</x:v>
      </x:c>
      <x:c r="M1147" s="25" t="str">
        <x:v>sí</x:v>
      </x:c>
      <x:c r="N1147" s="25" t="str">
        <x:v>saki_research/working_papers/bigio_castillo_han_dollar_liquidity_flows_soe.pdf</x:v>
      </x:c>
      <x:c r="O1147" s="25" t="str">
        <x:v>Bianchi, Javier and Saki Bigio. 2025. “Portfolio Choice and Settlement Frictions: A Theory of Endogenous Convenience Yields.” Revise and Resubmit, Journal of Economic Theory. Formerly titled “Portfolio Theory with Settlement Frictions”.</x:v>
      </x:c>
    </x:row>
    <x:row r="1148" ht="48" customHeight="1">
      <x:c r="A1148" s="24" t="str">
        <x:v>W11-R007</x:v>
      </x:c>
      <x:c r="B1148" s="24" t="str">
        <x:v>W11</x:v>
      </x:c>
      <x:c r="C1148" s="26" t="n">
        <x:v>7</x:v>
      </x:c>
      <x:c r="D1148" s="26" t="n">
        <x:v>54</x:v>
      </x:c>
      <x:c r="E1148" s="26" t="n">
        <x:v>54</x:v>
      </x:c>
      <x:c r="F1148" s="26" t="str">
        <x:v>Bianchi</x:v>
      </x:c>
      <x:c r="G1148" s="26" t="n">
        <x:v>2024</x:v>
      </x:c>
      <x:c r="H1148" s="25" t="str">
        <x:v>Scrambling for Dollars: International Liquidity, Banks and Exchange Rates</x:v>
      </x:c>
      <x:c r="I1148" s="25" t="str"/>
      <x:c r="J1148" s="25" t="str"/>
      <x:c r="K1148" s="25" t="str">
        <x:v>prior_manual_sample</x:v>
      </x:c>
      <x:c r="L1148" s="25" t="str">
        <x:v>accepted</x:v>
      </x:c>
      <x:c r="M1148" s="25" t="str">
        <x:v>no</x:v>
      </x:c>
      <x:c r="N1148" s="25" t="str">
        <x:v>saki_research/working_papers/bigio_castillo_han_dollar_liquidity_flows_soe.pdf</x:v>
      </x:c>
      <x:c r="O1148" s="25" t="str">
        <x:v>Bianchi, Javier, Saki Bigio and Charles M. Engel. 2024. “Scrambling for Dollars: International Liquidity, Banks and Exchange Rates.”SSRN Electronic Journal .</x:v>
      </x:c>
    </x:row>
    <x:row r="1149" ht="48" customHeight="1">
      <x:c r="A1149" s="24" t="str">
        <x:v>W11-R008</x:v>
      </x:c>
      <x:c r="B1149" s="24" t="str">
        <x:v>W11</x:v>
      </x:c>
      <x:c r="C1149" s="26" t="n">
        <x:v>8</x:v>
      </x:c>
      <x:c r="D1149" s="26" t="n">
        <x:v>54</x:v>
      </x:c>
      <x:c r="E1149" s="26" t="n">
        <x:v>54</x:v>
      </x:c>
      <x:c r="F1149" s="26" t="str">
        <x:v>Cavallino</x:v>
      </x:c>
      <x:c r="G1149" s="26" t="n">
        <x:v>2019</x:v>
      </x:c>
      <x:c r="H1149" s="25" t="str">
        <x:v>CapitalFlowsandForeignExchangeIntervention</x:v>
      </x:c>
      <x:c r="I1149" s="25" t="str"/>
      <x:c r="J1149" s="25" t="str"/>
      <x:c r="K1149" s="25" t="str">
        <x:v>prior_manual_sample</x:v>
      </x:c>
      <x:c r="L1149" s="25" t="str">
        <x:v>accepted</x:v>
      </x:c>
      <x:c r="M1149" s="25" t="str">
        <x:v>no</x:v>
      </x:c>
      <x:c r="N1149" s="25" t="str">
        <x:v>saki_research/working_papers/bigio_castillo_han_dollar_liquidity_flows_soe.pdf</x:v>
      </x:c>
      <x:c r="O1149" s="25" t="str">
        <x:v>Cavallino,Paolo.2019. “CapitalFlowsandForeignExchangeIntervention.”American Economic Journal: Macroeconomics 11(2):12770. URL: https://www.aeaweb.org/articles?id=10.1257/mac.20160065</x:v>
      </x:c>
    </x:row>
    <x:row r="1150" ht="48" customHeight="1">
      <x:c r="A1150" s="24" t="str">
        <x:v>W11-R009</x:v>
      </x:c>
      <x:c r="B1150" s="24" t="str">
        <x:v>W11</x:v>
      </x:c>
      <x:c r="C1150" s="26" t="n">
        <x:v>9</x:v>
      </x:c>
      <x:c r="D1150" s="26" t="n">
        <x:v>54</x:v>
      </x:c>
      <x:c r="E1150" s="26" t="n">
        <x:v>54</x:v>
      </x:c>
      <x:c r="F1150" s="26" t="str">
        <x:v>Colacito</x:v>
      </x:c>
      <x:c r="G1150" s="26" t="n">
        <x:v>2008</x:v>
      </x:c>
      <x:c r="H1150" s="25" t="str">
        <x:v>Six Anomalies looking for a model. A consumption based explanation of International Finance Puzzles</x:v>
      </x:c>
      <x:c r="I1150" s="25" t="str"/>
      <x:c r="J1150" s="25" t="str"/>
      <x:c r="K1150" s="25" t="str">
        <x:v>automatic_screen_pass</x:v>
      </x:c>
      <x:c r="L1150" s="25" t="str">
        <x:v>accepted</x:v>
      </x:c>
      <x:c r="M1150" s="25" t="str">
        <x:v>no</x:v>
      </x:c>
      <x:c r="N1150" s="25" t="str">
        <x:v>saki_research/working_papers/bigio_castillo_han_dollar_liquidity_flows_soe.pdf</x:v>
      </x:c>
      <x:c r="O1150" s="25" t="str">
        <x:v>Colacito, Riccardo and Mm Croce. 2008. “Six Anomalies looking for a model. A consumption based explanation of International Finance Puzzles.” , University of North Carolina, Chapel Hill .</x:v>
      </x:c>
    </x:row>
    <x:row r="1151" ht="48" customHeight="1">
      <x:c r="A1151" s="24" t="str">
        <x:v>W11-R010</x:v>
      </x:c>
      <x:c r="B1151" s="24" t="str">
        <x:v>W11</x:v>
      </x:c>
      <x:c r="C1151" s="26" t="n">
        <x:v>10</x:v>
      </x:c>
      <x:c r="D1151" s="26" t="n">
        <x:v>54</x:v>
      </x:c>
      <x:c r="E1151" s="26" t="n">
        <x:v>54</x:v>
      </x:c>
      <x:c r="F1151" s="26" t="str">
        <x:v>Dao</x:v>
      </x:c>
      <x:c r="G1151" s="26" t="n">
        <x:v>2025</x:v>
      </x:c>
      <x:c r="H1151" s="25" t="str">
        <x:v>Covered Interest Parity in Emerging Markets</x:v>
      </x:c>
      <x:c r="I1151" s="25" t="str"/>
      <x:c r="J1151" s="25" t="str"/>
      <x:c r="K1151" s="25" t="str">
        <x:v>automatic_screen_pass</x:v>
      </x:c>
      <x:c r="L1151" s="25" t="str">
        <x:v>accepted</x:v>
      </x:c>
      <x:c r="M1151" s="25" t="str">
        <x:v>no</x:v>
      </x:c>
      <x:c r="N1151" s="25" t="str">
        <x:v>saki_research/working_papers/bigio_castillo_han_dollar_liquidity_flows_soe.pdf</x:v>
      </x:c>
      <x:c r="O1151" s="25" t="str">
        <x:v>Dao, Mai and Pierre-Olivier Gourinchas. 2025. “Covered Interest Parity in Emerging Markets.”IMF Working Papers 2025(057):1. URL: http://dx.doi.org/10.5089/9798229003995.001</x:v>
      </x:c>
    </x:row>
    <x:row r="1152" ht="48" customHeight="1">
      <x:c r="A1152" s="24" t="str">
        <x:v>W11-R011</x:v>
      </x:c>
      <x:c r="B1152" s="24" t="str">
        <x:v>W11</x:v>
      </x:c>
      <x:c r="C1152" s="26" t="n">
        <x:v>11</x:v>
      </x:c>
      <x:c r="D1152" s="26" t="n">
        <x:v>54</x:v>
      </x:c>
      <x:c r="E1152" s="26" t="n">
        <x:v>54</x:v>
      </x:c>
      <x:c r="F1152" s="26" t="str">
        <x:v>Devereux</x:v>
      </x:c>
      <x:c r="G1152" s="26" t="n">
        <x:v>2023</x:v>
      </x:c>
      <x:c r="H1152" s="25" t="str">
        <x:v>Collateral Advantage: Exchange Rates, Capital Flows and Global Cycles</x:v>
      </x:c>
      <x:c r="I1152" s="25" t="str"/>
      <x:c r="J1152" s="25" t="str">
        <x:v>local_citation_grammar_v3</x:v>
      </x:c>
      <x:c r="K1152" s="25" t="str">
        <x:v>automatic_screen_pass</x:v>
      </x:c>
      <x:c r="L1152" s="25" t="str">
        <x:v>accepted</x:v>
      </x:c>
      <x:c r="M1152" s="25" t="str">
        <x:v>no</x:v>
      </x:c>
      <x:c r="N1152" s="25" t="str">
        <x:v>saki_research/working_papers/bigio_castillo_han_dollar_liquidity_flows_soe.pdf</x:v>
      </x:c>
      <x:c r="O1152" s="25" t="str">
        <x:v>Devereux, Michael B, Charles Engel and Steve Pak Yeung Wu. 2023. Collateral Advantage: Exchange Rates, Capital Flows and Global Cycles. Working Paper 31164 National Bureau of Economic Research. URL: http://www.nber.org/papers/w31164</x:v>
      </x:c>
    </x:row>
    <x:row r="1153" ht="48" customHeight="1">
      <x:c r="A1153" s="24" t="str">
        <x:v>W11-R012</x:v>
      </x:c>
      <x:c r="B1153" s="24" t="str">
        <x:v>W11</x:v>
      </x:c>
      <x:c r="C1153" s="26" t="n">
        <x:v>12</x:v>
      </x:c>
      <x:c r="D1153" s="26" t="n">
        <x:v>54</x:v>
      </x:c>
      <x:c r="E1153" s="26" t="n">
        <x:v>54</x:v>
      </x:c>
      <x:c r="F1153" s="26" t="str">
        <x:v>Du</x:v>
      </x:c>
      <x:c r="G1153" s="26" t="n">
        <x:v>2018</x:v>
      </x:c>
      <x:c r="H1153" s="25" t="str">
        <x:v>Deviations from Covered Interest Rate Parity</x:v>
      </x:c>
      <x:c r="I1153" s="25" t="str"/>
      <x:c r="J1153" s="25" t="str"/>
      <x:c r="K1153" s="25" t="str">
        <x:v>automatic_screen_pass</x:v>
      </x:c>
      <x:c r="L1153" s="25" t="str">
        <x:v>accepted</x:v>
      </x:c>
      <x:c r="M1153" s="25" t="str">
        <x:v>no</x:v>
      </x:c>
      <x:c r="N1153" s="25" t="str">
        <x:v>saki_research/working_papers/bigio_castillo_han_dollar_liquidity_flows_soe.pdf</x:v>
      </x:c>
      <x:c r="O1153" s="25" t="str">
        <x:v>Du, Wenxin, Alexander Tepper and Adrien Verdelhan. 2018. “Deviations from Covered Interest Rate Parity.”The Journal of Finance 73(3):915–957. URL: https://onlinelibrary.wiley.com/doi/abs/10.1111/jofi.12620</x:v>
      </x:c>
    </x:row>
    <x:row r="1154" ht="48" customHeight="1">
      <x:c r="A1154" s="24" t="str">
        <x:v>W11-R013</x:v>
      </x:c>
      <x:c r="B1154" s="24" t="str">
        <x:v>W11</x:v>
      </x:c>
      <x:c r="C1154" s="26" t="n">
        <x:v>13</x:v>
      </x:c>
      <x:c r="D1154" s="26" t="n">
        <x:v>54</x:v>
      </x:c>
      <x:c r="E1154" s="26" t="n">
        <x:v>54</x:v>
      </x:c>
      <x:c r="F1154" s="26" t="str">
        <x:v>Du</x:v>
      </x:c>
      <x:c r="G1154" s="26" t="n">
        <x:v>2016</x:v>
      </x:c>
      <x:c r="H1154" s="25" t="str">
        <x:v>LocalCurrencySovereignRisk</x:v>
      </x:c>
      <x:c r="I1154" s="25" t="str"/>
      <x:c r="J1154" s="25" t="str"/>
      <x:c r="K1154" s="25" t="str">
        <x:v>automatic_screen_pass</x:v>
      </x:c>
      <x:c r="L1154" s="25" t="str">
        <x:v>accepted</x:v>
      </x:c>
      <x:c r="M1154" s="25" t="str">
        <x:v>no</x:v>
      </x:c>
      <x:c r="N1154" s="25" t="str">
        <x:v>saki_research/working_papers/bigio_castillo_han_dollar_liquidity_flows_soe.pdf</x:v>
      </x:c>
      <x:c r="O1154" s="25" t="str">
        <x:v>Du, WenxinandJesseSchreger.2016. “LocalCurrencySovereignRisk.”TheJournal of Finance 71(3):1027–1070. URL: https://onlinelibrary.wiley.com/doi/abs/10.1111/jofi.12389</x:v>
      </x:c>
    </x:row>
    <x:row r="1155" ht="48" customHeight="1">
      <x:c r="A1155" s="24" t="str">
        <x:v>W11-R014</x:v>
      </x:c>
      <x:c r="B1155" s="24" t="str">
        <x:v>W11</x:v>
      </x:c>
      <x:c r="C1155" s="26" t="n">
        <x:v>14</x:v>
      </x:c>
      <x:c r="D1155" s="26" t="n">
        <x:v>54</x:v>
      </x:c>
      <x:c r="E1155" s="26" t="n">
        <x:v>55</x:v>
      </x:c>
      <x:c r="F1155" s="26" t="str">
        <x:v>Du</x:v>
      </x:c>
      <x:c r="G1155" s="26" t="n">
        <x:v>2018</x:v>
      </x:c>
      <x:c r="H1155" s="25" t="str">
        <x:v>The U.S. Treasury Premium</x:v>
      </x:c>
      <x:c r="I1155" s="25" t="str"/>
      <x:c r="J1155" s="25" t="str"/>
      <x:c r="K1155" s="25" t="str">
        <x:v>prior_manual_sample</x:v>
      </x:c>
      <x:c r="L1155" s="25" t="str">
        <x:v>accepted</x:v>
      </x:c>
      <x:c r="M1155" s="25" t="str">
        <x:v>no</x:v>
      </x:c>
      <x:c r="N1155" s="25" t="str">
        <x:v>saki_research/working_papers/bigio_castillo_han_dollar_liquidity_flows_soe.pdf</x:v>
      </x:c>
      <x:c r="O1155" s="25" t="str">
        <x:v>Du, Wenxin, Joanne Im and Jesse Schreger. 2018. “The U.S. Treasury Premium.” Journal of International Economics 112:167–181. URL: https://www.sciencedirect.com/science/article/pii/S0022199618300011</x:v>
      </x:c>
    </x:row>
    <x:row r="1156" ht="48" customHeight="1">
      <x:c r="A1156" s="24" t="str">
        <x:v>W11-R015</x:v>
      </x:c>
      <x:c r="B1156" s="24" t="str">
        <x:v>W11</x:v>
      </x:c>
      <x:c r="C1156" s="26" t="n">
        <x:v>15</x:v>
      </x:c>
      <x:c r="D1156" s="26" t="n">
        <x:v>55</x:v>
      </x:c>
      <x:c r="E1156" s="26" t="n">
        <x:v>55</x:v>
      </x:c>
      <x:c r="F1156" s="26" t="str">
        <x:v>Engel</x:v>
      </x:c>
      <x:c r="G1156" s="26" t="n">
        <x:v>2016</x:v>
      </x:c>
      <x:c r="H1156" s="25" t="str">
        <x:v>Exchangerates,interestrates,andtheriskpremium</x:v>
      </x:c>
      <x:c r="I1156" s="25" t="str"/>
      <x:c r="J1156" s="25" t="str"/>
      <x:c r="K1156" s="25" t="str">
        <x:v>automatic_screen_pass</x:v>
      </x:c>
      <x:c r="L1156" s="25" t="str">
        <x:v>accepted</x:v>
      </x:c>
      <x:c r="M1156" s="25" t="str">
        <x:v>no</x:v>
      </x:c>
      <x:c r="N1156" s="25" t="str">
        <x:v>saki_research/working_papers/bigio_castillo_han_dollar_liquidity_flows_soe.pdf</x:v>
      </x:c>
      <x:c r="O1156" s="25" t="str">
        <x:v>Engel,Charles.2016. “Exchangerates,interestrates,andtheriskpremium.”American Economic Review 106.</x:v>
      </x:c>
    </x:row>
    <x:row r="1157" ht="48" customHeight="1">
      <x:c r="A1157" s="24" t="str">
        <x:v>W11-R016</x:v>
      </x:c>
      <x:c r="B1157" s="24" t="str">
        <x:v>W11</x:v>
      </x:c>
      <x:c r="C1157" s="26" t="n">
        <x:v>16</x:v>
      </x:c>
      <x:c r="D1157" s="26" t="n">
        <x:v>55</x:v>
      </x:c>
      <x:c r="E1157" s="26" t="n">
        <x:v>55</x:v>
      </x:c>
      <x:c r="F1157" s="26" t="str">
        <x:v>Engel</x:v>
      </x:c>
      <x:c r="G1157" s="26" t="n">
        <x:v>2023</x:v>
      </x:c>
      <x:c r="H1157" s="25" t="str">
        <x:v>Liquidity and Exchange Rates: An Empirical Investigation</x:v>
      </x:c>
      <x:c r="I1157" s="25" t="str"/>
      <x:c r="J1157" s="25" t="str"/>
      <x:c r="K1157" s="25" t="str">
        <x:v>automatic_screen_pass</x:v>
      </x:c>
      <x:c r="L1157" s="25" t="str">
        <x:v>accepted</x:v>
      </x:c>
      <x:c r="M1157" s="25" t="str">
        <x:v>no</x:v>
      </x:c>
      <x:c r="N1157" s="25" t="str">
        <x:v>saki_research/working_papers/bigio_castillo_han_dollar_liquidity_flows_soe.pdf</x:v>
      </x:c>
      <x:c r="O1157" s="25" t="str">
        <x:v>Engel, Charles and Steve Pak Yeung Wu. 2023. “Liquidity and Exchange Rates: An Empirical Investigation.”The Review of Economic Studies 90(5):2395–2438. URL: https://doi.org/10.1093/restud/rdac072</x:v>
      </x:c>
    </x:row>
    <x:row r="1158" ht="48" customHeight="1">
      <x:c r="A1158" s="24" t="str">
        <x:v>W11-R017</x:v>
      </x:c>
      <x:c r="B1158" s="24" t="str">
        <x:v>W11</x:v>
      </x:c>
      <x:c r="C1158" s="26" t="n">
        <x:v>17</x:v>
      </x:c>
      <x:c r="D1158" s="26" t="n">
        <x:v>55</x:v>
      </x:c>
      <x:c r="E1158" s="26" t="n">
        <x:v>55</x:v>
      </x:c>
      <x:c r="F1158" s="26" t="str">
        <x:v>Cerutti</x:v>
      </x:c>
      <x:c r="G1158" s="26" t="n">
        <x:v>2023</x:v>
      </x:c>
      <x:c r="H1158" s="25" t="str">
        <x:v>Uncovering CIP Deviations in Emerging Markets: Distinctions, Determinants and Disconnect</x:v>
      </x:c>
      <x:c r="I1158" s="25" t="str"/>
      <x:c r="J1158" s="25" t="str">
        <x:v>exhaustive_ai_audit_2026-09-17</x:v>
      </x:c>
      <x:c r="K1158" s="25" t="str">
        <x:v>exhaustive_visual_correction</x:v>
      </x:c>
      <x:c r="L1158" s="25" t="str">
        <x:v>corrected</x:v>
      </x:c>
      <x:c r="M1158" s="25" t="str">
        <x:v>no</x:v>
      </x:c>
      <x:c r="N1158" s="25" t="str">
        <x:v>saki_research/working_papers/bigio_castillo_han_dollar_liquidity_flows_soe.pdf</x:v>
      </x:c>
      <x:c r="O1158" s="25" t="str">
        <x:v>Eugenio M Cerutti, Haonan Zhou. 2023. “Uncovering CIP Deviations in Emerging Markets: Distinctions, Determinants and Disconnect.” IMF Working Papers 2023(028).</x:v>
      </x:c>
    </x:row>
    <x:row r="1159" ht="48" customHeight="1">
      <x:c r="A1159" s="24" t="str">
        <x:v>W11-R018</x:v>
      </x:c>
      <x:c r="B1159" s="24" t="str">
        <x:v>W11</x:v>
      </x:c>
      <x:c r="C1159" s="26" t="n">
        <x:v>18</x:v>
      </x:c>
      <x:c r="D1159" s="26" t="n">
        <x:v>55</x:v>
      </x:c>
      <x:c r="E1159" s="26" t="n">
        <x:v>55</x:v>
      </x:c>
      <x:c r="F1159" s="26" t="str">
        <x:v>Fama</x:v>
      </x:c>
      <x:c r="G1159" s="26" t="n">
        <x:v>1984</x:v>
      </x:c>
      <x:c r="H1159" s="25" t="str">
        <x:v>Forward and spot exchange rates</x:v>
      </x:c>
      <x:c r="I1159" s="25" t="str"/>
      <x:c r="J1159" s="25" t="str"/>
      <x:c r="K1159" s="25" t="str">
        <x:v>automatic_screen_pass</x:v>
      </x:c>
      <x:c r="L1159" s="25" t="str">
        <x:v>accepted</x:v>
      </x:c>
      <x:c r="M1159" s="25" t="str">
        <x:v>no</x:v>
      </x:c>
      <x:c r="N1159" s="25" t="str">
        <x:v>saki_research/working_papers/bigio_castillo_han_dollar_liquidity_flows_soe.pdf</x:v>
      </x:c>
      <x:c r="O1159" s="25" t="str">
        <x:v>Fama, Eugene F. 1984. “Forward and spot exchange rates.”Journal of Monetary Economics 14.</x:v>
      </x:c>
    </x:row>
    <x:row r="1160" ht="48" customHeight="1">
      <x:c r="A1160" s="24" t="str">
        <x:v>W11-R019</x:v>
      </x:c>
      <x:c r="B1160" s="24" t="str">
        <x:v>W11</x:v>
      </x:c>
      <x:c r="C1160" s="26" t="n">
        <x:v>19</x:v>
      </x:c>
      <x:c r="D1160" s="26" t="n">
        <x:v>55</x:v>
      </x:c>
      <x:c r="E1160" s="26" t="n">
        <x:v>55</x:v>
      </x:c>
      <x:c r="F1160" s="26" t="str">
        <x:v>Fanelli</x:v>
      </x:c>
      <x:c r="G1160" s="26" t="n">
        <x:v>2021</x:v>
      </x:c>
      <x:c r="H1160" s="25" t="str">
        <x:v>A Theory of Foreign Exchange Interventions</x:v>
      </x:c>
      <x:c r="I1160" s="25" t="str"/>
      <x:c r="J1160" s="25" t="str"/>
      <x:c r="K1160" s="25" t="str">
        <x:v>automatic_screen_pass</x:v>
      </x:c>
      <x:c r="L1160" s="25" t="str">
        <x:v>accepted</x:v>
      </x:c>
      <x:c r="M1160" s="25" t="str">
        <x:v>no</x:v>
      </x:c>
      <x:c r="N1160" s="25" t="str">
        <x:v>saki_research/working_papers/bigio_castillo_han_dollar_liquidity_flows_soe.pdf</x:v>
      </x:c>
      <x:c r="O1160" s="25" t="str">
        <x:v>Fanelli, Sebastián and Ludwig Straub. 2021. “A Theory of Foreign Exchange Interventions.”The Review of Economic Studies 88(6):2857–2885. URL: https://doi.org/10.1093/restud/rdab013</x:v>
      </x:c>
    </x:row>
    <x:row r="1161" ht="48" customHeight="1">
      <x:c r="A1161" s="24" t="str">
        <x:v>W11-R020</x:v>
      </x:c>
      <x:c r="B1161" s="24" t="str">
        <x:v>W11</x:v>
      </x:c>
      <x:c r="C1161" s="26" t="n">
        <x:v>20</x:v>
      </x:c>
      <x:c r="D1161" s="26" t="n">
        <x:v>55</x:v>
      </x:c>
      <x:c r="E1161" s="26" t="n">
        <x:v>55</x:v>
      </x:c>
      <x:c r="F1161" s="26" t="str">
        <x:v>Farhi</x:v>
      </x:c>
      <x:c r="G1161" s="26" t="n">
        <x:v>2016</x:v>
      </x:c>
      <x:c r="H1161" s="25" t="str">
        <x:v>Rare disasters and exchange rates</x:v>
      </x:c>
      <x:c r="I1161" s="25" t="str"/>
      <x:c r="J1161" s="25" t="str"/>
      <x:c r="K1161" s="25" t="str">
        <x:v>automatic_screen_pass</x:v>
      </x:c>
      <x:c r="L1161" s="25" t="str">
        <x:v>accepted</x:v>
      </x:c>
      <x:c r="M1161" s="25" t="str">
        <x:v>no</x:v>
      </x:c>
      <x:c r="N1161" s="25" t="str">
        <x:v>saki_research/working_papers/bigio_castillo_han_dollar_liquidity_flows_soe.pdf</x:v>
      </x:c>
      <x:c r="O1161" s="25" t="str">
        <x:v>Farhi, Emmanuel and Xavier Gabaix. 2016. “Rare disasters and exchange rates.” Quarterly Journal of Economics 131.</x:v>
      </x:c>
    </x:row>
    <x:row r="1162" ht="48" customHeight="1">
      <x:c r="A1162" s="24" t="str">
        <x:v>W11-R021</x:v>
      </x:c>
      <x:c r="B1162" s="24" t="str">
        <x:v>W11</x:v>
      </x:c>
      <x:c r="C1162" s="26" t="n">
        <x:v>21</x:v>
      </x:c>
      <x:c r="D1162" s="26" t="n">
        <x:v>55</x:v>
      </x:c>
      <x:c r="E1162" s="26" t="n">
        <x:v>55</x:v>
      </x:c>
      <x:c r="F1162" s="26" t="str">
        <x:v>Gabaix</x:v>
      </x:c>
      <x:c r="G1162" s="26" t="n">
        <x:v>2015</x:v>
      </x:c>
      <x:c r="H1162" s="25" t="str">
        <x:v>International Liquidity and Exchange Rate Dynamics *</x:v>
      </x:c>
      <x:c r="I1162" s="25" t="str"/>
      <x:c r="J1162" s="25" t="str"/>
      <x:c r="K1162" s="25" t="str">
        <x:v>automatic_screen_pass</x:v>
      </x:c>
      <x:c r="L1162" s="25" t="str">
        <x:v>accepted</x:v>
      </x:c>
      <x:c r="M1162" s="25" t="str">
        <x:v>no</x:v>
      </x:c>
      <x:c r="N1162" s="25" t="str">
        <x:v>saki_research/working_papers/bigio_castillo_han_dollar_liquidity_flows_soe.pdf</x:v>
      </x:c>
      <x:c r="O1162" s="25" t="str">
        <x:v>Gabaix, Xavier and Matteo Maggiori. 2015. “ International Liquidity and Exchange Rate Dynamics *.”The Quarterly Journal of Economics 130(3):1369–1420. URL: https://doi.org/10.1093/qje/qjv016</x:v>
      </x:c>
    </x:row>
    <x:row r="1163" ht="48" customHeight="1">
      <x:c r="A1163" s="24" t="str">
        <x:v>W11-R022</x:v>
      </x:c>
      <x:c r="B1163" s="24" t="str">
        <x:v>W11</x:v>
      </x:c>
      <x:c r="C1163" s="26" t="n">
        <x:v>22</x:v>
      </x:c>
      <x:c r="D1163" s="26" t="n">
        <x:v>55</x:v>
      </x:c>
      <x:c r="E1163" s="26" t="n">
        <x:v>55</x:v>
      </x:c>
      <x:c r="F1163" s="26" t="str">
        <x:v>Gopinath</x:v>
      </x:c>
      <x:c r="G1163" s="26" t="n">
        <x:v>2019</x:v>
      </x:c>
      <x:c r="H1163" s="25" t="str">
        <x:v>A Case for an Integrated Policy Framework</x:v>
      </x:c>
      <x:c r="I1163" s="25" t="str"/>
      <x:c r="J1163" s="25" t="str">
        <x:v>local_citation_grammar_v3</x:v>
      </x:c>
      <x:c r="K1163" s="25" t="str">
        <x:v>automatic_screen_pass</x:v>
      </x:c>
      <x:c r="L1163" s="25" t="str">
        <x:v>accepted</x:v>
      </x:c>
      <x:c r="M1163" s="25" t="str">
        <x:v>no</x:v>
      </x:c>
      <x:c r="N1163" s="25" t="str">
        <x:v>saki_research/working_papers/bigio_castillo_han_dollar_liquidity_flows_soe.pdf</x:v>
      </x:c>
      <x:c r="O1163" s="25" t="str">
        <x:v>Gopinath, Gita. 2019. A Case for an Integrated Policy Framework. In Challenges for Monetary Policy, Proceedings of the Jackson Hole Symposium. Federal Reserve Bank of Kansas City. URL: https://www.kansascityfed.org/documents/6966/GopinathPaperJH2019.pdf</x:v>
      </x:c>
    </x:row>
    <x:row r="1164" ht="48" customHeight="1">
      <x:c r="A1164" s="24" t="str">
        <x:v>W11-R023</x:v>
      </x:c>
      <x:c r="B1164" s="24" t="str">
        <x:v>W11</x:v>
      </x:c>
      <x:c r="C1164" s="26" t="n">
        <x:v>23</x:v>
      </x:c>
      <x:c r="D1164" s="26" t="n">
        <x:v>55</x:v>
      </x:c>
      <x:c r="E1164" s="26" t="n">
        <x:v>55</x:v>
      </x:c>
      <x:c r="F1164" s="26" t="str">
        <x:v>Gourinchas</x:v>
      </x:c>
      <x:c r="G1164" s="26" t="n">
        <x:v>2007</x:v>
      </x:c>
      <x:c r="H1164" s="25" t="str">
        <x:v>International financial adjustment</x:v>
      </x:c>
      <x:c r="I1164" s="25" t="str"/>
      <x:c r="J1164" s="25" t="str"/>
      <x:c r="K1164" s="25" t="str">
        <x:v>automatic_screen_pass</x:v>
      </x:c>
      <x:c r="L1164" s="25" t="str">
        <x:v>accepted</x:v>
      </x:c>
      <x:c r="M1164" s="25" t="str">
        <x:v>no</x:v>
      </x:c>
      <x:c r="N1164" s="25" t="str">
        <x:v>saki_research/working_papers/bigio_castillo_han_dollar_liquidity_flows_soe.pdf</x:v>
      </x:c>
      <x:c r="O1164" s="25" t="str">
        <x:v>Gourinchas, Pierre Olivier and Hélène Rey. 2007. “International financial adjustment.”Journal of Political Economy 115.</x:v>
      </x:c>
    </x:row>
    <x:row r="1165" ht="48" customHeight="1">
      <x:c r="A1165" s="24" t="str">
        <x:v>W11-R024</x:v>
      </x:c>
      <x:c r="B1165" s="24" t="str">
        <x:v>W11</x:v>
      </x:c>
      <x:c r="C1165" s="26" t="n">
        <x:v>24</x:v>
      </x:c>
      <x:c r="D1165" s="26" t="n">
        <x:v>55</x:v>
      </x:c>
      <x:c r="E1165" s="26" t="n">
        <x:v>55</x:v>
      </x:c>
      <x:c r="F1165" s="26" t="str">
        <x:v>Gutierrez</x:v>
      </x:c>
      <x:c r="G1165" s="26" t="n">
        <x:v>2023</x:v>
      </x:c>
      <x:c r="H1165" s="25" t="str">
        <x:v>Why is dollar debt Cheaper? Evidence from Peru</x:v>
      </x:c>
      <x:c r="I1165" s="25" t="str"/>
      <x:c r="J1165" s="25" t="str"/>
      <x:c r="K1165" s="25" t="str">
        <x:v>automatic_screen_pass</x:v>
      </x:c>
      <x:c r="L1165" s="25" t="str">
        <x:v>accepted</x:v>
      </x:c>
      <x:c r="M1165" s="25" t="str">
        <x:v>no</x:v>
      </x:c>
      <x:c r="N1165" s="25" t="str">
        <x:v>saki_research/working_papers/bigio_castillo_han_dollar_liquidity_flows_soe.pdf</x:v>
      </x:c>
      <x:c r="O1165" s="25" t="str">
        <x:v>Gutierrez, Bryan, Victoria Ivashina and Juliana Salomao. 2023. “Why is dollar debt Cheaper? Evidence from Peru.”Journal of Financial Economics 148(3):245–272. URL: https://www.sciencedirect.com/science/article/pii/S0304405X23000636</x:v>
      </x:c>
    </x:row>
    <x:row r="1166" ht="48" customHeight="1">
      <x:c r="A1166" s="24" t="str">
        <x:v>W11-R025</x:v>
      </x:c>
      <x:c r="B1166" s="24" t="str">
        <x:v>W11</x:v>
      </x:c>
      <x:c r="C1166" s="26" t="n">
        <x:v>25</x:v>
      </x:c>
      <x:c r="D1166" s="26" t="n">
        <x:v>55</x:v>
      </x:c>
      <x:c r="E1166" s="26" t="n">
        <x:v>55</x:v>
      </x:c>
      <x:c r="F1166" s="26" t="str">
        <x:v>Itskhoki</x:v>
      </x:c>
      <x:c r="G1166" s="26" t="n">
        <x:v>2021</x:v>
      </x:c>
      <x:c r="H1166" s="25" t="str">
        <x:v>Exchange rate disconnect in general equilibrium</x:v>
      </x:c>
      <x:c r="I1166" s="25" t="str"/>
      <x:c r="J1166" s="25" t="str"/>
      <x:c r="K1166" s="25" t="str">
        <x:v>automatic_screen_pass</x:v>
      </x:c>
      <x:c r="L1166" s="25" t="str">
        <x:v>accepted</x:v>
      </x:c>
      <x:c r="M1166" s="25" t="str">
        <x:v>no</x:v>
      </x:c>
      <x:c r="N1166" s="25" t="str">
        <x:v>saki_research/working_papers/bigio_castillo_han_dollar_liquidity_flows_soe.pdf</x:v>
      </x:c>
      <x:c r="O1166" s="25" t="str">
        <x:v>Itskhoki, Oleg and Dmitry Mukhin. 2021. “Exchange rate disconnect in general equilibrium.”Journal of Political Economy 129.</x:v>
      </x:c>
    </x:row>
    <x:row r="1167" ht="48" customHeight="1">
      <x:c r="A1167" s="24" t="str">
        <x:v>W11-R026</x:v>
      </x:c>
      <x:c r="B1167" s="24" t="str">
        <x:v>W11</x:v>
      </x:c>
      <x:c r="C1167" s="26" t="n">
        <x:v>26</x:v>
      </x:c>
      <x:c r="D1167" s="26" t="n">
        <x:v>55</x:v>
      </x:c>
      <x:c r="E1167" s="26" t="n">
        <x:v>55</x:v>
      </x:c>
      <x:c r="F1167" s="26" t="str">
        <x:v>Ivashina</x:v>
      </x:c>
      <x:c r="G1167" s="26" t="n">
        <x:v>2015</x:v>
      </x:c>
      <x:c r="H1167" s="25" t="str">
        <x:v>Dollar Funding and the Lending Behavior of Global Banks*</x:v>
      </x:c>
      <x:c r="I1167" s="25" t="str"/>
      <x:c r="J1167" s="25" t="str"/>
      <x:c r="K1167" s="25" t="str">
        <x:v>automatic_screen_pass</x:v>
      </x:c>
      <x:c r="L1167" s="25" t="str">
        <x:v>accepted</x:v>
      </x:c>
      <x:c r="M1167" s="25" t="str">
        <x:v>no</x:v>
      </x:c>
      <x:c r="N1167" s="25" t="str">
        <x:v>saki_research/working_papers/bigio_castillo_han_dollar_liquidity_flows_soe.pdf</x:v>
      </x:c>
      <x:c r="O1167" s="25" t="str">
        <x:v>Ivashina, Victoria, David S. Scharfstein and Jeremy C. Stein. 2015. “Dollar Funding and the Lending Behavior of Global Banks*.” The Quarterly Journal of Economics 130(3):1241–1281. URL: https://doi.org/10.1093/qje/qjv017</x:v>
      </x:c>
    </x:row>
    <x:row r="1168" ht="48" customHeight="1">
      <x:c r="A1168" s="24" t="str">
        <x:v>W11-R027</x:v>
      </x:c>
      <x:c r="B1168" s="24" t="str">
        <x:v>W11</x:v>
      </x:c>
      <x:c r="C1168" s="26" t="n">
        <x:v>27</x:v>
      </x:c>
      <x:c r="D1168" s="26" t="n">
        <x:v>55</x:v>
      </x:c>
      <x:c r="E1168" s="26" t="n">
        <x:v>55</x:v>
      </x:c>
      <x:c r="F1168" s="26" t="str">
        <x:v>Jiang</x:v>
      </x:c>
      <x:c r="G1168" s="26" t="n">
        <x:v>2021</x:v>
      </x:c>
      <x:c r="H1168" s="25" t="str">
        <x:v>Foreign Safe Asset Demand and the Dollar Exchange Rate</x:v>
      </x:c>
      <x:c r="I1168" s="25" t="str"/>
      <x:c r="J1168" s="25" t="str"/>
      <x:c r="K1168" s="25" t="str">
        <x:v>prior_manual_sample</x:v>
      </x:c>
      <x:c r="L1168" s="25" t="str">
        <x:v>accepted</x:v>
      </x:c>
      <x:c r="M1168" s="25" t="str">
        <x:v>no</x:v>
      </x:c>
      <x:c r="N1168" s="25" t="str">
        <x:v>saki_research/working_papers/bigio_castillo_han_dollar_liquidity_flows_soe.pdf</x:v>
      </x:c>
      <x:c r="O1168" s="25" t="str">
        <x:v>Jiang, Zhengyang, Arvind Krishnamurthy and Hanno Lustig. 2021. “Foreign Safe Asset Demand and the Dollar Exchange Rate.”Journal of Finance 76.</x:v>
      </x:c>
    </x:row>
    <x:row r="1169" ht="48" customHeight="1">
      <x:c r="A1169" s="24" t="str">
        <x:v>W11-R028</x:v>
      </x:c>
      <x:c r="B1169" s="24" t="str">
        <x:v>W11</x:v>
      </x:c>
      <x:c r="C1169" s="26" t="n">
        <x:v>28</x:v>
      </x:c>
      <x:c r="D1169" s="26" t="n">
        <x:v>55</x:v>
      </x:c>
      <x:c r="E1169" s="26" t="n">
        <x:v>56</x:v>
      </x:c>
      <x:c r="F1169" s="26" t="str">
        <x:v>Jiang</x:v>
      </x:c>
      <x:c r="G1169" s="26" t="n">
        <x:v>2023</x:v>
      </x:c>
      <x:c r="H1169" s="25" t="str">
        <x:v>Dollar Safety and the Global Financial Cycle</x:v>
      </x:c>
      <x:c r="I1169" s="25" t="str"/>
      <x:c r="J1169" s="25" t="str"/>
      <x:c r="K1169" s="25" t="str">
        <x:v>automatic_screen_pass</x:v>
      </x:c>
      <x:c r="L1169" s="25" t="str">
        <x:v>accepted</x:v>
      </x:c>
      <x:c r="M1169" s="25" t="str">
        <x:v>no</x:v>
      </x:c>
      <x:c r="N1169" s="25" t="str">
        <x:v>saki_research/working_papers/bigio_castillo_han_dollar_liquidity_flows_soe.pdf</x:v>
      </x:c>
      <x:c r="O1169" s="25" t="str">
        <x:v>Jiang, Zhengyang, Arvind Krishnamurthy and Hanno Lustig. 2023. “Dollar Safety and the Global Financial Cycle.”The Review of Economic Studies 91(5):2878–2915. URL: https://doi.org/10.1093/restud/rdad108</x:v>
      </x:c>
    </x:row>
    <x:row r="1170" ht="48" customHeight="1">
      <x:c r="A1170" s="24" t="str">
        <x:v>W11-R029</x:v>
      </x:c>
      <x:c r="B1170" s="24" t="str">
        <x:v>W11</x:v>
      </x:c>
      <x:c r="C1170" s="26" t="n">
        <x:v>29</x:v>
      </x:c>
      <x:c r="D1170" s="26" t="n">
        <x:v>55</x:v>
      </x:c>
      <x:c r="E1170" s="26" t="n">
        <x:v>56</x:v>
      </x:c>
      <x:c r="F1170" s="26" t="str">
        <x:v>Kalemli-Özcan</x:v>
      </x:c>
      <x:c r="G1170" s="26" t="n">
        <x:v>2024</x:v>
      </x:c>
      <x:c r="H1170" s="25" t="str">
        <x:v>Five Facts about the UIP Premium</x:v>
      </x:c>
      <x:c r="I1170" s="25" t="str"/>
      <x:c r="J1170" s="25" t="str">
        <x:v>local_citation_grammar_v3; exhaustive_ai_audit_2026-09-17</x:v>
      </x:c>
      <x:c r="K1170" s="25" t="str">
        <x:v>exhaustive_visual_correction</x:v>
      </x:c>
      <x:c r="L1170" s="25" t="str">
        <x:v>corrected</x:v>
      </x:c>
      <x:c r="M1170" s="25" t="str">
        <x:v>no</x:v>
      </x:c>
      <x:c r="N1170" s="25" t="str">
        <x:v>saki_research/working_papers/bigio_castillo_han_dollar_liquidity_flows_soe.pdf</x:v>
      </x:c>
      <x:c r="O1170" s="25" t="str">
        <x:v>Kalemli-Özcan, ebnem and Liliana Varela. 2024. Five Facts about the UIP Premium. Working Paper 28923 National Bureau of Economic Research. URL: http://www.nber.org/papers/w28923</x:v>
      </x:c>
    </x:row>
    <x:row r="1171" ht="48" customHeight="1">
      <x:c r="A1171" s="24" t="str">
        <x:v>W11-R030</x:v>
      </x:c>
      <x:c r="B1171" s="24" t="str">
        <x:v>W11</x:v>
      </x:c>
      <x:c r="C1171" s="26" t="n">
        <x:v>30</x:v>
      </x:c>
      <x:c r="D1171" s="26" t="n">
        <x:v>56</x:v>
      </x:c>
      <x:c r="E1171" s="26" t="n">
        <x:v>56</x:v>
      </x:c>
      <x:c r="F1171" s="26" t="str">
        <x:v>Keller</x:v>
      </x:c>
      <x:c r="G1171" s="26" t="n">
        <x:v>2024</x:v>
      </x:c>
      <x:c r="H1171" s="25" t="str">
        <x:v>Arbitraging Covered Interest Rate Parity Deviations and Bank Lending</x:v>
      </x:c>
      <x:c r="I1171" s="25" t="str"/>
      <x:c r="J1171" s="25" t="str"/>
      <x:c r="K1171" s="25" t="str">
        <x:v>automatic_screen_pass</x:v>
      </x:c>
      <x:c r="L1171" s="25" t="str">
        <x:v>accepted</x:v>
      </x:c>
      <x:c r="M1171" s="25" t="str">
        <x:v>no</x:v>
      </x:c>
      <x:c r="N1171" s="25" t="str">
        <x:v>saki_research/working_papers/bigio_castillo_han_dollar_liquidity_flows_soe.pdf</x:v>
      </x:c>
      <x:c r="O1171" s="25" t="str">
        <x:v>Keller, Lorena. 2024. “Arbitraging Covered Interest Rate Parity Deviations and Bank Lending.”American Economic Review 114(9):263367. URL: https://www.aeaweb.org/articles?id=10.1257/aer.20230425</x:v>
      </x:c>
    </x:row>
    <x:row r="1172" ht="48" customHeight="1">
      <x:c r="A1172" s="24" t="str">
        <x:v>W11-R031</x:v>
      </x:c>
      <x:c r="B1172" s="24" t="str">
        <x:v>W11</x:v>
      </x:c>
      <x:c r="C1172" s="26" t="n">
        <x:v>31</x:v>
      </x:c>
      <x:c r="D1172" s="26" t="n">
        <x:v>56</x:v>
      </x:c>
      <x:c r="E1172" s="26" t="n">
        <x:v>56</x:v>
      </x:c>
      <x:c r="F1172" s="26" t="str">
        <x:v>Leo</x:v>
      </x:c>
      <x:c r="G1172" s="26" t="n">
        <x:v>2024</x:v>
      </x:c>
      <x:c r="H1172" s="25" t="str">
        <x:v>Speculation, Forward Exchange Demand, and CIP Deviations in Emerging Economies</x:v>
      </x:c>
      <x:c r="I1172" s="25" t="str"/>
      <x:c r="J1172" s="25" t="str"/>
      <x:c r="K1172" s="25" t="str">
        <x:v>automatic_screen_pass</x:v>
      </x:c>
      <x:c r="L1172" s="25" t="str">
        <x:v>accepted</x:v>
      </x:c>
      <x:c r="M1172" s="25" t="str">
        <x:v>no</x:v>
      </x:c>
      <x:c r="N1172" s="25" t="str">
        <x:v>saki_research/working_papers/bigio_castillo_han_dollar_liquidity_flows_soe.pdf</x:v>
      </x:c>
      <x:c r="O1172" s="25" t="str">
        <x:v>Leo, Pierre De, Dongchen Zou and Lorena Keller. 2024. “Speculation, Forward Exchange Demand, and CIP Deviations in Emerging Economies.”The Wharton School Research Paper .</x:v>
      </x:c>
    </x:row>
    <x:row r="1173" ht="48" customHeight="1">
      <x:c r="A1173" s="24" t="str">
        <x:v>W11-R032</x:v>
      </x:c>
      <x:c r="B1173" s="24" t="str">
        <x:v>W11</x:v>
      </x:c>
      <x:c r="C1173" s="26" t="n">
        <x:v>32</x:v>
      </x:c>
      <x:c r="D1173" s="26" t="n">
        <x:v>56</x:v>
      </x:c>
      <x:c r="E1173" s="26" t="n">
        <x:v>56</x:v>
      </x:c>
      <x:c r="F1173" s="26" t="str">
        <x:v>Liao</x:v>
      </x:c>
      <x:c r="G1173" s="26" t="n">
        <x:v>2020</x:v>
      </x:c>
      <x:c r="H1173" s="25" t="str">
        <x:v>Credit migration and covered interest rate parity</x:v>
      </x:c>
      <x:c r="I1173" s="25" t="str"/>
      <x:c r="J1173" s="25" t="str"/>
      <x:c r="K1173" s="25" t="str">
        <x:v>automatic_screen_pass</x:v>
      </x:c>
      <x:c r="L1173" s="25" t="str">
        <x:v>accepted</x:v>
      </x:c>
      <x:c r="M1173" s="25" t="str">
        <x:v>no</x:v>
      </x:c>
      <x:c r="N1173" s="25" t="str">
        <x:v>saki_research/working_papers/bigio_castillo_han_dollar_liquidity_flows_soe.pdf</x:v>
      </x:c>
      <x:c r="O1173" s="25" t="str">
        <x:v>Liao, Gordon Y. 2020. “Credit migration and covered interest rate parity.”Journal of Financial Economics 138.</x:v>
      </x:c>
    </x:row>
    <x:row r="1174" ht="48" customHeight="1">
      <x:c r="A1174" s="24" t="str">
        <x:v>W11-R033</x:v>
      </x:c>
      <x:c r="B1174" s="24" t="str">
        <x:v>W11</x:v>
      </x:c>
      <x:c r="C1174" s="26" t="n">
        <x:v>33</x:v>
      </x:c>
      <x:c r="D1174" s="26" t="n">
        <x:v>56</x:v>
      </x:c>
      <x:c r="E1174" s="26" t="n">
        <x:v>56</x:v>
      </x:c>
      <x:c r="F1174" s="26" t="str">
        <x:v>Obstfeld</x:v>
      </x:c>
      <x:c r="G1174" s="26" t="n">
        <x:v>2000</x:v>
      </x:c>
      <x:c r="H1174" s="25" t="str">
        <x:v>The six major puzzles in international macroeconomics: Is there a common cause?</x:v>
      </x:c>
      <x:c r="I1174" s="25" t="str"/>
      <x:c r="J1174" s="25" t="str"/>
      <x:c r="K1174" s="25" t="str">
        <x:v>automatic_screen_pass</x:v>
      </x:c>
      <x:c r="L1174" s="25" t="str">
        <x:v>accepted</x:v>
      </x:c>
      <x:c r="M1174" s="25" t="str">
        <x:v>no</x:v>
      </x:c>
      <x:c r="N1174" s="25" t="str">
        <x:v>saki_research/working_papers/bigio_castillo_han_dollar_liquidity_flows_soe.pdf</x:v>
      </x:c>
      <x:c r="O1174" s="25" t="str">
        <x:v>Obstfeld, Maurice and Kenneth Rogoff. 2000. “The six major puzzles in international macroeconomics: Is there a common cause?” NBER Macroeconomics Annual 15.</x:v>
      </x:c>
    </x:row>
    <x:row r="1175" ht="48" customHeight="1">
      <x:c r="A1175" s="24" t="str">
        <x:v>W11-R034</x:v>
      </x:c>
      <x:c r="B1175" s="24" t="str">
        <x:v>W11</x:v>
      </x:c>
      <x:c r="C1175" s="26" t="n">
        <x:v>34</x:v>
      </x:c>
      <x:c r="D1175" s="26" t="n">
        <x:v>56</x:v>
      </x:c>
      <x:c r="E1175" s="26" t="n">
        <x:v>56</x:v>
      </x:c>
      <x:c r="F1175" s="26" t="str">
        <x:v>Ross</x:v>
      </x:c>
      <x:c r="G1175" s="26" t="n">
        <x:v>2015</x:v>
      </x:c>
      <x:c r="H1175" s="25" t="str">
        <x:v>Chapter 17</x:v>
      </x:c>
      <x:c r="I1175" s="25" t="str"/>
      <x:c r="J1175" s="25" t="str">
        <x:v>local_citation_grammar_v3</x:v>
      </x:c>
      <x:c r="K1175" s="25" t="str">
        <x:v>automatic_screen_pass</x:v>
      </x:c>
      <x:c r="L1175" s="25" t="str">
        <x:v>accepted</x:v>
      </x:c>
      <x:c r="M1175" s="25" t="str">
        <x:v>no</x:v>
      </x:c>
      <x:c r="N1175" s="25" t="str">
        <x:v>saki_research/working_papers/bigio_castillo_han_dollar_liquidity_flows_soe.pdf</x:v>
      </x:c>
      <x:c r="O1175" s="25" t="str">
        <x:v>Ross, Kevin. 2015. Chapter 17. Banking Sector Spreads and Bank Competition in Peru. USA: International Monetary Fund p. ch017. URL: https://www.elibrary.imf.org/view/book/9781513599748/ch017.xml</x:v>
      </x:c>
    </x:row>
    <x:row r="1176" ht="48" customHeight="1">
      <x:c r="A1176" s="24" t="str">
        <x:v>W11-R035</x:v>
      </x:c>
      <x:c r="B1176" s="24" t="str">
        <x:v>W11</x:v>
      </x:c>
      <x:c r="C1176" s="26" t="n">
        <x:v>35</x:v>
      </x:c>
      <x:c r="D1176" s="26" t="n">
        <x:v>56</x:v>
      </x:c>
      <x:c r="E1176" s="26" t="n">
        <x:v>56</x:v>
      </x:c>
      <x:c r="F1176" s="26" t="str">
        <x:v>Schmitt-Grohé</x:v>
      </x:c>
      <x:c r="G1176" s="26" t="n">
        <x:v>2003</x:v>
      </x:c>
      <x:c r="H1176" s="25" t="str">
        <x:v>Closing small open economy models</x:v>
      </x:c>
      <x:c r="I1176" s="25" t="str"/>
      <x:c r="J1176" s="25" t="str"/>
      <x:c r="K1176" s="25" t="str">
        <x:v>automatic_screen_pass</x:v>
      </x:c>
      <x:c r="L1176" s="25" t="str">
        <x:v>accepted</x:v>
      </x:c>
      <x:c r="M1176" s="25" t="str">
        <x:v>no</x:v>
      </x:c>
      <x:c r="N1176" s="25" t="str">
        <x:v>saki_research/working_papers/bigio_castillo_han_dollar_liquidity_flows_soe.pdf</x:v>
      </x:c>
      <x:c r="O1176" s="25" t="str">
        <x:v>Schmitt-Grohé, Stephanie and Martn Uribe. 2003. “Closing small open economy models.”Journal of International Economics 61(1):163–185. URL: https://www.sciencedirect.com/science/article/pii/S0022199602000569</x:v>
      </x:c>
    </x:row>
    <x:row r="1177" ht="48" customHeight="1">
      <x:c r="A1177" s="24" t="str">
        <x:v>W11-R036</x:v>
      </x:c>
      <x:c r="B1177" s="24" t="str">
        <x:v>W11</x:v>
      </x:c>
      <x:c r="C1177" s="26" t="n">
        <x:v>36</x:v>
      </x:c>
      <x:c r="D1177" s="26" t="n">
        <x:v>56</x:v>
      </x:c>
      <x:c r="E1177" s="26" t="n">
        <x:v>56</x:v>
      </x:c>
      <x:c r="F1177" s="26" t="str">
        <x:v>Valchev</x:v>
      </x:c>
      <x:c r="G1177" s="26" t="n">
        <x:v>2020</x:v>
      </x:c>
      <x:c r="H1177" s="25" t="str">
        <x:v>Bondconvenienceyieldsandexchangeratedynamics</x:v>
      </x:c>
      <x:c r="I1177" s="25" t="str"/>
      <x:c r="J1177" s="25" t="str"/>
      <x:c r="K1177" s="25" t="str">
        <x:v>prior_manual_sample</x:v>
      </x:c>
      <x:c r="L1177" s="25" t="str">
        <x:v>accepted</x:v>
      </x:c>
      <x:c r="M1177" s="25" t="str">
        <x:v>no</x:v>
      </x:c>
      <x:c r="N1177" s="25" t="str">
        <x:v>saki_research/working_papers/bigio_castillo_han_dollar_liquidity_flows_soe.pdf</x:v>
      </x:c>
      <x:c r="O1177" s="25" t="str">
        <x:v>Valchev, Rosen.2020. “Bondconvenienceyieldsandexchangeratedynamics.”American Economic Journal: Macroeconomics 12.</x:v>
      </x:c>
    </x:row>
    <x:row r="1178" ht="48" customHeight="1">
      <x:c r="A1178" s="24" t="str">
        <x:v>W11-R037</x:v>
      </x:c>
      <x:c r="B1178" s="24" t="str">
        <x:v>W11</x:v>
      </x:c>
      <x:c r="C1178" s="26" t="n">
        <x:v>37</x:v>
      </x:c>
      <x:c r="D1178" s="26" t="n">
        <x:v>56</x:v>
      </x:c>
      <x:c r="E1178" s="26" t="n">
        <x:v>56</x:v>
      </x:c>
      <x:c r="F1178" s="26" t="str">
        <x:v>Verdelhan</x:v>
      </x:c>
      <x:c r="G1178" s="26" t="n">
        <x:v>2010</x:v>
      </x:c>
      <x:c r="H1178" s="25" t="str">
        <x:v>A habit-based explanation of the exchange rate risk premium</x:v>
      </x:c>
      <x:c r="I1178" s="25" t="str"/>
      <x:c r="J1178" s="25" t="str"/>
      <x:c r="K1178" s="25" t="str">
        <x:v>automatic_screen_pass</x:v>
      </x:c>
      <x:c r="L1178" s="25" t="str">
        <x:v>accepted</x:v>
      </x:c>
      <x:c r="M1178" s="25" t="str">
        <x:v>no</x:v>
      </x:c>
      <x:c r="N1178" s="25" t="str">
        <x:v>saki_research/working_papers/bigio_castillo_han_dollar_liquidity_flows_soe.pdf</x:v>
      </x:c>
      <x:c r="O1178" s="25" t="str">
        <x:v>Verdelhan, Adrien. 2010. “A habit-based explanation of the exchange rate risk premium.”Journal of Finance 65.</x:v>
      </x:c>
    </x:row>
    <x:row r="1179" ht="48" customHeight="1">
      <x:c r="A1179" s="24" t="str">
        <x:v>W07-R001</x:v>
      </x:c>
      <x:c r="B1179" s="24" t="str">
        <x:v>W07</x:v>
      </x:c>
      <x:c r="C1179" s="26" t="n">
        <x:v>1</x:v>
      </x:c>
      <x:c r="D1179" s="26" t="n">
        <x:v>41</x:v>
      </x:c>
      <x:c r="E1179" s="26" t="n">
        <x:v>41</x:v>
      </x:c>
      <x:c r="F1179" s="26" t="str">
        <x:v>Afonso</x:v>
      </x:c>
      <x:c r="G1179" s="26" t="n">
        <x:v>2015</x:v>
      </x:c>
      <x:c r="H1179" s="25" t="str">
        <x:v>Trade Dynamics in the Market for Federal Funds</x:v>
      </x:c>
      <x:c r="I1179" s="25" t="str"/>
      <x:c r="J1179" s="25" t="str"/>
      <x:c r="K1179" s="25" t="str">
        <x:v>automatic_screen_pass</x:v>
      </x:c>
      <x:c r="L1179" s="25" t="str">
        <x:v>accepted</x:v>
      </x:c>
      <x:c r="M1179" s="25" t="str">
        <x:v>no</x:v>
      </x:c>
      <x:c r="N1179" s="25" t="str">
        <x:v>saki_research/working_papers/bigio_d_erasmo_yepez_monetary_policy_implementation_regimes_reserve_demand_us.pdf</x:v>
      </x:c>
      <x:c r="O1179" s="25" t="str">
        <x:v>Afonso, Gara and Ricardo Lagos, “Trade Dynamics in the Market for Federal Funds,” Econometrica, 2015, 83 (1), 263–313.</x:v>
      </x:c>
    </x:row>
    <x:row r="1180" ht="48" customHeight="1">
      <x:c r="A1180" s="24" t="str">
        <x:v>W07-R002</x:v>
      </x:c>
      <x:c r="B1180" s="24" t="str">
        <x:v>W07</x:v>
      </x:c>
      <x:c r="C1180" s="26" t="n">
        <x:v>2</x:v>
      </x:c>
      <x:c r="D1180" s="26" t="n">
        <x:v>41</x:v>
      </x:c>
      <x:c r="E1180" s="26" t="n">
        <x:v>41</x:v>
      </x:c>
      <x:c r="F1180" s="26" t="str">
        <x:v>Giannone</x:v>
      </x:c>
      <x:c r="G1180" s="26" t="n">
        <x:v>2023</x:v>
      </x:c>
      <x:c r="H1180" s="25" t="str">
        <x:v>Scarce,Abundant, or Ample? A Time-Varying Model of the Reserve Demand Curve</x:v>
      </x:c>
      <x:c r="I1180" s="25" t="str">
        <x:v>inherited_author_notation</x:v>
      </x:c>
      <x:c r="J1180" s="25" t="str">
        <x:v>literal_citation_review_2026-09-16</x:v>
      </x:c>
      <x:c r="K1180" s="25" t="str">
        <x:v>prior_manual_sample</x:v>
      </x:c>
      <x:c r="L1180" s="25" t="str">
        <x:v>accepted</x:v>
      </x:c>
      <x:c r="M1180" s="25" t="str">
        <x:v>no</x:v>
      </x:c>
      <x:c r="N1180" s="25" t="str">
        <x:v>saki_research/working_papers/bigio_d_erasmo_yepez_monetary_policy_implementation_regimes_reserve_demand_us.pdf</x:v>
      </x:c>
      <x:c r="O1180" s="25" t="str">
        <x:v>DomenicoGiannone,GabrieleLaSpada,andJohnC.Williams,“Scarce,Abundant, or Ample? A Time-Varying Model of the Reserve Demand Curve,” June 2023. Federal Reserve Bank of New York Staff Reports 1019.</x:v>
      </x:c>
    </x:row>
    <x:row r="1181" ht="48" customHeight="1">
      <x:c r="A1181" s="24" t="str">
        <x:v>W07-R003</x:v>
      </x:c>
      <x:c r="B1181" s="24" t="str">
        <x:v>W07</x:v>
      </x:c>
      <x:c r="C1181" s="26" t="n">
        <x:v>3</x:v>
      </x:c>
      <x:c r="D1181" s="26" t="n">
        <x:v>41</x:v>
      </x:c>
      <x:c r="E1181" s="26" t="n">
        <x:v>41</x:v>
      </x:c>
      <x:c r="F1181" s="26" t="str">
        <x:v>Alvarez</x:v>
      </x:c>
      <x:c r="G1181" s="26" t="n">
        <x:v>2009</x:v>
      </x:c>
      <x:c r="H1181" s="25" t="str">
        <x:v>Financial Innovation and the Transactions Demand for Cash</x:v>
      </x:c>
      <x:c r="I1181" s="25" t="str"/>
      <x:c r="J1181" s="25" t="str"/>
      <x:c r="K1181" s="25" t="str">
        <x:v>automatic_screen_pass</x:v>
      </x:c>
      <x:c r="L1181" s="25" t="str">
        <x:v>accepted</x:v>
      </x:c>
      <x:c r="M1181" s="25" t="str">
        <x:v>no</x:v>
      </x:c>
      <x:c r="N1181" s="25" t="str">
        <x:v>saki_research/working_papers/bigio_d_erasmo_yepez_monetary_policy_implementation_regimes_reserve_demand_us.pdf</x:v>
      </x:c>
      <x:c r="O1181" s="25" t="str">
        <x:v>Alvarez, Fernando and Francesco Lippi, “Financial Innovation and the Transactions Demand for Cash,” Econometrica, March 2009, 77 (2), 363–402.</x:v>
      </x:c>
    </x:row>
    <x:row r="1182" ht="48" customHeight="1">
      <x:c r="A1182" s="24" t="str">
        <x:v>W07-R004</x:v>
      </x:c>
      <x:c r="B1182" s="24" t="str">
        <x:v>W07</x:v>
      </x:c>
      <x:c r="C1182" s="26" t="n">
        <x:v>4</x:v>
      </x:c>
      <x:c r="D1182" s="26" t="n">
        <x:v>41</x:v>
      </x:c>
      <x:c r="E1182" s="26" t="n">
        <x:v>41</x:v>
      </x:c>
      <x:c r="F1182" s="26" t="str">
        <x:v>Alvarez</x:v>
      </x:c>
      <x:c r="G1182" s="26" t="n">
        <x:v>2017</x:v>
      </x:c>
      <x:c r="H1182" s="25" t="str">
        <x:v>Cash Burns: An Inventory Model with a Cash-Credit Choice</x:v>
      </x:c>
      <x:c r="I1182" s="25" t="str">
        <x:v>inherited_author_notation</x:v>
      </x:c>
      <x:c r="J1182" s="25" t="str"/>
      <x:c r="K1182" s="25" t="str">
        <x:v>automatic_screen_pass</x:v>
      </x:c>
      <x:c r="L1182" s="25" t="str">
        <x:v>accepted</x:v>
      </x:c>
      <x:c r="M1182" s="25" t="str">
        <x:v>no</x:v>
      </x:c>
      <x:c r="N1182" s="25" t="str">
        <x:v>saki_research/working_papers/bigio_d_erasmo_yepez_monetary_policy_implementation_regimes_reserve_demand_us.pdf</x:v>
      </x:c>
      <x:c r="O1182" s="25" t="str">
        <x:v>and , “Cash Burns: An Inventory Model with a Cash-Credit Choice,” Journal of Monetary Economics, October 2017, 90, 99–112.</x:v>
      </x:c>
    </x:row>
    <x:row r="1183" ht="48" customHeight="1">
      <x:c r="A1183" s="24" t="str">
        <x:v>W07-R005</x:v>
      </x:c>
      <x:c r="B1183" s="24" t="str">
        <x:v>W07</x:v>
      </x:c>
      <x:c r="C1183" s="26" t="n">
        <x:v>5</x:v>
      </x:c>
      <x:c r="D1183" s="26" t="n">
        <x:v>41</x:v>
      </x:c>
      <x:c r="E1183" s="26" t="n">
        <x:v>41</x:v>
      </x:c>
      <x:c r="F1183" s="26" t="str">
        <x:v>Ball</x:v>
      </x:c>
      <x:c r="G1183" s="26" t="n">
        <x:v>2001</x:v>
      </x:c>
      <x:c r="H1183" s="25" t="str">
        <x:v>Another Look at Long-Run Money Demand</x:v>
      </x:c>
      <x:c r="I1183" s="25" t="str"/>
      <x:c r="J1183" s="25" t="str"/>
      <x:c r="K1183" s="25" t="str">
        <x:v>automatic_screen_pass</x:v>
      </x:c>
      <x:c r="L1183" s="25" t="str">
        <x:v>accepted</x:v>
      </x:c>
      <x:c r="M1183" s="25" t="str">
        <x:v>no</x:v>
      </x:c>
      <x:c r="N1183" s="25" t="str">
        <x:v>saki_research/working_papers/bigio_d_erasmo_yepez_monetary_policy_implementation_regimes_reserve_demand_us.pdf</x:v>
      </x:c>
      <x:c r="O1183" s="25" t="str">
        <x:v>Ball, Laurence, “Another Look at Long-Run Money Demand,” Journal of Monetary Economics, 2001, 47 (1), 31–44.</x:v>
      </x:c>
    </x:row>
    <x:row r="1184" ht="48" customHeight="1">
      <x:c r="A1184" s="24" t="str">
        <x:v>W07-R006</x:v>
      </x:c>
      <x:c r="B1184" s="24" t="str">
        <x:v>W07</x:v>
      </x:c>
      <x:c r="C1184" s="26" t="n">
        <x:v>6</x:v>
      </x:c>
      <x:c r="D1184" s="26" t="n">
        <x:v>41</x:v>
      </x:c>
      <x:c r="E1184" s="26" t="n">
        <x:v>41</x:v>
      </x:c>
      <x:c r="F1184" s="26" t="str">
        <x:v>Baumol</x:v>
      </x:c>
      <x:c r="G1184" s="26" t="n">
        <x:v>1952</x:v>
      </x:c>
      <x:c r="H1184" s="25" t="str">
        <x:v>The Transactions Demand for Cash: An Inventory Theoretic Approach</x:v>
      </x:c>
      <x:c r="I1184" s="25" t="str"/>
      <x:c r="J1184" s="25" t="str"/>
      <x:c r="K1184" s="25" t="str">
        <x:v>prior_manual_sample</x:v>
      </x:c>
      <x:c r="L1184" s="25" t="str">
        <x:v>accepted</x:v>
      </x:c>
      <x:c r="M1184" s="25" t="str">
        <x:v>no</x:v>
      </x:c>
      <x:c r="N1184" s="25" t="str">
        <x:v>saki_research/working_papers/bigio_d_erasmo_yepez_monetary_policy_implementation_regimes_reserve_demand_us.pdf</x:v>
      </x:c>
      <x:c r="O1184" s="25" t="str">
        <x:v>Baumol, William J., “The Transactions Demand for Cash: An Inventory Theoretic Approach,” Quarterly Journal of Economics, 1952, 66 (4), 545–556.</x:v>
      </x:c>
    </x:row>
    <x:row r="1185" ht="48" customHeight="1">
      <x:c r="A1185" s="24" t="str">
        <x:v>W07-R007</x:v>
      </x:c>
      <x:c r="B1185" s="24" t="str">
        <x:v>W07</x:v>
      </x:c>
      <x:c r="C1185" s="26" t="n">
        <x:v>7</x:v>
      </x:c>
      <x:c r="D1185" s="26" t="n">
        <x:v>41</x:v>
      </x:c>
      <x:c r="E1185" s="26" t="n">
        <x:v>41</x:v>
      </x:c>
      <x:c r="F1185" s="26" t="str">
        <x:v>Benati</x:v>
      </x:c>
      <x:c r="G1185" s="26" t="n">
        <x:v>2021</x:v>
      </x:c>
      <x:c r="H1185" s="25" t="str">
        <x:v>Long-Run Evidence on the Quantity Theory of Money</x:v>
      </x:c>
      <x:c r="I1185" s="25" t="str"/>
      <x:c r="J1185" s="25" t="str"/>
      <x:c r="K1185" s="25" t="str">
        <x:v>automatic_screen_pass</x:v>
      </x:c>
      <x:c r="L1185" s="25" t="str">
        <x:v>accepted</x:v>
      </x:c>
      <x:c r="M1185" s="25" t="str">
        <x:v>no</x:v>
      </x:c>
      <x:c r="N1185" s="25" t="str">
        <x:v>saki_research/working_papers/bigio_d_erasmo_yepez_monetary_policy_implementation_regimes_reserve_demand_us.pdf</x:v>
      </x:c>
      <x:c r="O1185" s="25" t="str">
        <x:v>Benati, Luca, “Long-Run Evidence on the Quantity Theory of Money,” Journal of Monetary Economics, 2021, 117, 897–911.</x:v>
      </x:c>
    </x:row>
    <x:row r="1186" ht="48" customHeight="1">
      <x:c r="A1186" s="24" t="str">
        <x:v>W07-R008</x:v>
      </x:c>
      <x:c r="B1186" s="24" t="str">
        <x:v>W07</x:v>
      </x:c>
      <x:c r="C1186" s="26" t="n">
        <x:v>8</x:v>
      </x:c>
      <x:c r="D1186" s="26" t="n">
        <x:v>41</x:v>
      </x:c>
      <x:c r="E1186" s="26" t="n">
        <x:v>41</x:v>
      </x:c>
      <x:c r="F1186" s="26" t="str">
        <x:v>Bernanke</x:v>
      </x:c>
      <x:c r="G1186" s="26" t="n">
        <x:v>1992</x:v>
      </x:c>
      <x:c r="H1186" s="25" t="str">
        <x:v>The Federal Funds Rate and the Channels of Monetary Transmission</x:v>
      </x:c>
      <x:c r="I1186" s="25" t="str"/>
      <x:c r="J1186" s="25" t="str"/>
      <x:c r="K1186" s="25" t="str">
        <x:v>automatic_screen_pass</x:v>
      </x:c>
      <x:c r="L1186" s="25" t="str">
        <x:v>accepted</x:v>
      </x:c>
      <x:c r="M1186" s="25" t="str">
        <x:v>no</x:v>
      </x:c>
      <x:c r="N1186" s="25" t="str">
        <x:v>saki_research/working_papers/bigio_d_erasmo_yepez_monetary_policy_implementation_regimes_reserve_demand_us.pdf</x:v>
      </x:c>
      <x:c r="O1186" s="25" t="str">
        <x:v>Bernanke, Ben S. and Alan S. Blinder, “The Federal Funds Rate and the Channels of Monetary Transmission,” American Economic Review, 1992, 82 (4), 901–921.</x:v>
      </x:c>
    </x:row>
    <x:row r="1187" ht="48" customHeight="1">
      <x:c r="A1187" s="24" t="str">
        <x:v>W07-R009</x:v>
      </x:c>
      <x:c r="B1187" s="24" t="str">
        <x:v>W07</x:v>
      </x:c>
      <x:c r="C1187" s="26" t="n">
        <x:v>9</x:v>
      </x:c>
      <x:c r="D1187" s="26" t="n">
        <x:v>41</x:v>
      </x:c>
      <x:c r="E1187" s="26" t="n">
        <x:v>41</x:v>
      </x:c>
      <x:c r="F1187" s="26" t="str">
        <x:v>Bianchi</x:v>
      </x:c>
      <x:c r="G1187" s="26" t="n">
        <x:v>2022</x:v>
      </x:c>
      <x:c r="H1187" s="25" t="str">
        <x:v>Banks, liquidity management, and monetary policy</x:v>
      </x:c>
      <x:c r="I1187" s="25" t="str"/>
      <x:c r="J1187" s="25" t="str"/>
      <x:c r="K1187" s="25" t="str">
        <x:v>automatic_screen_pass</x:v>
      </x:c>
      <x:c r="L1187" s="25" t="str">
        <x:v>accepted</x:v>
      </x:c>
      <x:c r="M1187" s="25" t="str">
        <x:v>no</x:v>
      </x:c>
      <x:c r="N1187" s="25" t="str">
        <x:v>saki_research/working_papers/bigio_d_erasmo_yepez_monetary_policy_implementation_regimes_reserve_demand_us.pdf</x:v>
      </x:c>
      <x:c r="O1187" s="25" t="str">
        <x:v>Bianchi, Javier and Saki Bigio, “Banks, liquidity management, and monetary policy,” Econometrica, 2022, 90 (1), 391–454.</x:v>
      </x:c>
    </x:row>
    <x:row r="1188" ht="48" customHeight="1">
      <x:c r="A1188" s="24" t="str">
        <x:v>W07-R010</x:v>
      </x:c>
      <x:c r="B1188" s="24" t="str">
        <x:v>W07</x:v>
      </x:c>
      <x:c r="C1188" s="26" t="n">
        <x:v>10</x:v>
      </x:c>
      <x:c r="D1188" s="26" t="n">
        <x:v>41</x:v>
      </x:c>
      <x:c r="E1188" s="26" t="n">
        <x:v>41</x:v>
      </x:c>
      <x:c r="F1188" s="26" t="str">
        <x:v>Bianchi</x:v>
      </x:c>
      <x:c r="G1188" s="26" t="n">
        <x:v>2025</x:v>
      </x:c>
      <x:c r="H1188" s="25" t="str">
        <x:v>PortfolioChoiceandSettlementFrictions: aTheoryofEndogenousConvenience Yields</x:v>
      </x:c>
      <x:c r="I1188" s="25" t="str">
        <x:v>inherited_author_notation</x:v>
      </x:c>
      <x:c r="J1188" s="25" t="str"/>
      <x:c r="K1188" s="25" t="str">
        <x:v>prior_manual_sample</x:v>
      </x:c>
      <x:c r="L1188" s="25" t="str">
        <x:v>accepted</x:v>
      </x:c>
      <x:c r="M1188" s="25" t="str">
        <x:v>no</x:v>
      </x:c>
      <x:c r="N1188" s="25" t="str">
        <x:v>saki_research/working_papers/bigio_d_erasmo_yepez_monetary_policy_implementation_regimes_reserve_demand_us.pdf</x:v>
      </x:c>
      <x:c r="O1188" s="25" t="str">
        <x:v>and ,“PortfolioChoiceandSettlementFrictions: aTheoryofEndogenousConvenience Yields,” 2025. Working Paper.</x:v>
      </x:c>
    </x:row>
    <x:row r="1189" ht="48" customHeight="1">
      <x:c r="A1189" s="24" t="str">
        <x:v>W07-R011</x:v>
      </x:c>
      <x:c r="B1189" s="24" t="str">
        <x:v>W07</x:v>
      </x:c>
      <x:c r="C1189" s="26" t="n">
        <x:v>11</x:v>
      </x:c>
      <x:c r="D1189" s="26" t="n">
        <x:v>41</x:v>
      </x:c>
      <x:c r="E1189" s="26" t="n">
        <x:v>41</x:v>
      </x:c>
      <x:c r="F1189" s="26" t="str">
        <x:v>Bindseil</x:v>
      </x:c>
      <x:c r="G1189" s="26" t="n">
        <x:v>2014</x:v>
      </x:c>
      <x:c r="H1189" s="25" t="str">
        <x:v>first ed</x:v>
      </x:c>
      <x:c r="I1189" s="25" t="str"/>
      <x:c r="J1189" s="25" t="str">
        <x:v>local_citation_grammar_v3</x:v>
      </x:c>
      <x:c r="K1189" s="25" t="str">
        <x:v>automatic_screen_pass</x:v>
      </x:c>
      <x:c r="L1189" s="25" t="str">
        <x:v>accepted</x:v>
      </x:c>
      <x:c r="M1189" s="25" t="str">
        <x:v>no</x:v>
      </x:c>
      <x:c r="N1189" s="25" t="str">
        <x:v>saki_research/working_papers/bigio_d_erasmo_yepez_monetary_policy_implementation_regimes_reserve_demand_us.pdf</x:v>
      </x:c>
      <x:c r="O1189" s="25" t="str">
        <x:v>Bindseil, Ulrich, Monetary Policy Operations and the Financial System, first ed., Oxford University Press, 2014.</x:v>
      </x:c>
    </x:row>
    <x:row r="1190" ht="48" customHeight="1">
      <x:c r="A1190" s="24" t="str">
        <x:v>W07-R012</x:v>
      </x:c>
      <x:c r="B1190" s="24" t="str">
        <x:v>W07</x:v>
      </x:c>
      <x:c r="C1190" s="26" t="n">
        <x:v>12</x:v>
      </x:c>
      <x:c r="D1190" s="26" t="n">
        <x:v>41</x:v>
      </x:c>
      <x:c r="E1190" s="26" t="n">
        <x:v>41</x:v>
      </x:c>
      <x:c r="F1190" s="26" t="str">
        <x:v>Bordo</x:v>
      </x:c>
      <x:c r="G1190" s="26" t="n">
        <x:v>1993</x:v>
      </x:c>
      <x:c r="H1190" s="25" t="str">
        <x:v>The Bretton Woods International Monetary System: A Historical Overview</x:v>
      </x:c>
      <x:c r="I1190" s="25" t="str"/>
      <x:c r="J1190" s="25" t="str"/>
      <x:c r="K1190" s="25" t="str">
        <x:v>automatic_screen_pass</x:v>
      </x:c>
      <x:c r="L1190" s="25" t="str">
        <x:v>accepted</x:v>
      </x:c>
      <x:c r="M1190" s="25" t="str">
        <x:v>no</x:v>
      </x:c>
      <x:c r="N1190" s="25" t="str">
        <x:v>saki_research/working_papers/bigio_d_erasmo_yepez_monetary_policy_implementation_regimes_reserve_demand_us.pdf</x:v>
      </x:c>
      <x:c r="O1190" s="25" t="str">
        <x:v>Bordo, Michael D., “The Bretton Woods International Monetary System: A Historical Overview,” in Michael D. Bordo and Barry Eichengreen, eds., A Retrospective on the Bretton Woods System: Lessons for International Monetary Reform, Chicago: University of Chicago Press, 1993, pp. 3–108.</x:v>
      </x:c>
    </x:row>
    <x:row r="1191" ht="48" customHeight="1">
      <x:c r="A1191" s="24" t="str">
        <x:v>W07-R013</x:v>
      </x:c>
      <x:c r="B1191" s="24" t="str">
        <x:v>W07</x:v>
      </x:c>
      <x:c r="C1191" s="26" t="n">
        <x:v>13</x:v>
      </x:c>
      <x:c r="D1191" s="26" t="n">
        <x:v>41</x:v>
      </x:c>
      <x:c r="E1191" s="26" t="n">
        <x:v>41</x:v>
      </x:c>
      <x:c r="F1191" s="26" t="str">
        <x:v>Borio</x:v>
      </x:c>
      <x:c r="G1191" s="26" t="n">
        <x:v>1997</x:v>
      </x:c>
      <x:c r="H1191" s="25" t="str">
        <x:v>Monetary Policy Operating Procedures in Industrial Countries</x:v>
      </x:c>
      <x:c r="I1191" s="25" t="str"/>
      <x:c r="J1191" s="25" t="str"/>
      <x:c r="K1191" s="25" t="str">
        <x:v>automatic_screen_pass</x:v>
      </x:c>
      <x:c r="L1191" s="25" t="str">
        <x:v>accepted</x:v>
      </x:c>
      <x:c r="M1191" s="25" t="str">
        <x:v>no</x:v>
      </x:c>
      <x:c r="N1191" s="25" t="str">
        <x:v>saki_research/working_papers/bigio_d_erasmo_yepez_monetary_policy_implementation_regimes_reserve_demand_us.pdf</x:v>
      </x:c>
      <x:c r="O1191" s="25" t="str">
        <x:v>Borio, Claudio E. V., “Monetary Policy Operating Procedures in Industrial Countries,” BIS Working Paper No. 40, Bank for International Settlements March 1997. 94 pp.</x:v>
      </x:c>
    </x:row>
    <x:row r="1192" ht="48" customHeight="1">
      <x:c r="A1192" s="24" t="str">
        <x:v>W07-R014</x:v>
      </x:c>
      <x:c r="B1192" s="24" t="str">
        <x:v>W07</x:v>
      </x:c>
      <x:c r="C1192" s="26" t="n">
        <x:v>14</x:v>
      </x:c>
      <x:c r="D1192" s="26" t="n">
        <x:v>41</x:v>
      </x:c>
      <x:c r="E1192" s="26" t="n">
        <x:v>41</x:v>
      </x:c>
      <x:c r="F1192" s="26" t="str">
        <x:v>Chernozhukov</x:v>
      </x:c>
      <x:c r="G1192" s="26" t="n">
        <x:v>2022</x:v>
      </x:c>
      <x:c r="H1192" s="25" t="str">
        <x:v>FoundationsofCausalInferenceandEconometrics: FromWright to Today</x:v>
      </x:c>
      <x:c r="I1192" s="25" t="str"/>
      <x:c r="J1192" s="25" t="str"/>
      <x:c r="K1192" s="25" t="str">
        <x:v>automatic_screen_pass</x:v>
      </x:c>
      <x:c r="L1192" s="25" t="str">
        <x:v>accepted</x:v>
      </x:c>
      <x:c r="M1192" s="25" t="str">
        <x:v>no</x:v>
      </x:c>
      <x:c r="N1192" s="25" t="str">
        <x:v>saki_research/working_papers/bigio_d_erasmo_yepez_monetary_policy_implementation_regimes_reserve_demand_us.pdf</x:v>
      </x:c>
      <x:c r="O1192" s="25" t="str">
        <x:v>Chernozhukov,Victor,“FoundationsofCausalInferenceandEconometrics: FromWright to Today,” 2022. Lecture notes and discussions, American Economic Association continuing education series.</x:v>
      </x:c>
    </x:row>
    <x:row r="1193" ht="48" customHeight="1">
      <x:c r="A1193" s="24" t="str">
        <x:v>W07-R015</x:v>
      </x:c>
      <x:c r="B1193" s="24" t="str">
        <x:v>W07</x:v>
      </x:c>
      <x:c r="C1193" s="26" t="n">
        <x:v>15</x:v>
      </x:c>
      <x:c r="D1193" s="26" t="n">
        <x:v>41</x:v>
      </x:c>
      <x:c r="E1193" s="26" t="n">
        <x:v>41</x:v>
      </x:c>
      <x:c r="F1193" s="26" t="str">
        <x:v>Friedman</x:v>
      </x:c>
      <x:c r="G1193" s="26" t="n">
        <x:v>1956</x:v>
      </x:c>
      <x:c r="H1193" s="25" t="str">
        <x:v>Studies in the Quantity Theory of Money</x:v>
      </x:c>
      <x:c r="I1193" s="25" t="str"/>
      <x:c r="J1193" s="25" t="str">
        <x:v>local_citation_grammar_v3</x:v>
      </x:c>
      <x:c r="K1193" s="25" t="str">
        <x:v>automatic_screen_pass</x:v>
      </x:c>
      <x:c r="L1193" s="25" t="str">
        <x:v>accepted</x:v>
      </x:c>
      <x:c r="M1193" s="25" t="str">
        <x:v>no</x:v>
      </x:c>
      <x:c r="N1193" s="25" t="str">
        <x:v>saki_research/working_papers/bigio_d_erasmo_yepez_monetary_policy_implementation_regimes_reserve_demand_us.pdf</x:v>
      </x:c>
      <x:c r="O1193" s="25" t="str">
        <x:v>Friedman, Milton, Studies in the Quantity Theory of Money, Chicago: University of Chicago Press, 1956.</x:v>
      </x:c>
    </x:row>
    <x:row r="1194" ht="48" customHeight="1">
      <x:c r="A1194" s="24" t="str">
        <x:v>W07-R016</x:v>
      </x:c>
      <x:c r="B1194" s="24" t="str">
        <x:v>W07</x:v>
      </x:c>
      <x:c r="C1194" s="26" t="n">
        <x:v>16</x:v>
      </x:c>
      <x:c r="D1194" s="26" t="n">
        <x:v>41</x:v>
      </x:c>
      <x:c r="E1194" s="26" t="n">
        <x:v>41</x:v>
      </x:c>
      <x:c r="F1194" s="26" t="str">
        <x:v>Furfine</x:v>
      </x:c>
      <x:c r="G1194" s="26" t="n">
        <x:v>2005</x:v>
      </x:c>
      <x:c r="H1194" s="25" t="str">
        <x:v>Discount Window Borrowing: Understanding Recent Experience</x:v>
      </x:c>
      <x:c r="I1194" s="25" t="str"/>
      <x:c r="J1194" s="25" t="str"/>
      <x:c r="K1194" s="25" t="str">
        <x:v>automatic_screen_pass</x:v>
      </x:c>
      <x:c r="L1194" s="25" t="str">
        <x:v>accepted</x:v>
      </x:c>
      <x:c r="M1194" s="25" t="str">
        <x:v>no</x:v>
      </x:c>
      <x:c r="N1194" s="25" t="str">
        <x:v>saki_research/working_papers/bigio_d_erasmo_yepez_monetary_policy_implementation_regimes_reserve_demand_us.pdf</x:v>
      </x:c>
      <x:c r="O1194" s="25" t="str">
        <x:v>Furfine, Craig H., “Discount Window Borrowing: Understanding Recent Experience,” Technical Report No. 212, Federal Reserve Bank of Chicago March 2005.</x:v>
      </x:c>
    </x:row>
    <x:row r="1195" ht="48" customHeight="1">
      <x:c r="A1195" s="24" t="str">
        <x:v>W07-R017</x:v>
      </x:c>
      <x:c r="B1195" s="24" t="str">
        <x:v>W07</x:v>
      </x:c>
      <x:c r="C1195" s="26" t="n">
        <x:v>17</x:v>
      </x:c>
      <x:c r="D1195" s="26" t="n">
        <x:v>41</x:v>
      </x:c>
      <x:c r="E1195" s="26" t="n">
        <x:v>41</x:v>
      </x:c>
      <x:c r="F1195" s="26" t="str">
        <x:v>Gagnon</x:v>
      </x:c>
      <x:c r="G1195" s="26" t="n">
        <x:v>2010</x:v>
      </x:c>
      <x:c r="H1195" s="25" t="str">
        <x:v>Large-Scale Asset Purchases by the Federal Reserve: Did They Work?</x:v>
      </x:c>
      <x:c r="I1195" s="25" t="str"/>
      <x:c r="J1195" s="25" t="str"/>
      <x:c r="K1195" s="25" t="str">
        <x:v>automatic_screen_pass</x:v>
      </x:c>
      <x:c r="L1195" s="25" t="str">
        <x:v>accepted</x:v>
      </x:c>
      <x:c r="M1195" s="25" t="str">
        <x:v>no</x:v>
      </x:c>
      <x:c r="N1195" s="25" t="str">
        <x:v>saki_research/working_papers/bigio_d_erasmo_yepez_monetary_policy_implementation_regimes_reserve_demand_us.pdf</x:v>
      </x:c>
      <x:c r="O1195" s="25" t="str">
        <x:v>Gagnon, Joseph, Matthew Raskin, Julie Remache, and Brian Sack, “Large-Scale Asset Purchases by the Federal Reserve: Did They Work?,” Federal Reserve Bank of New York Staff Report, March 2010, 441 (Staff Report). Staff Report; documents LSAPs, balance-sheet expansion and effects on term/liquidity premia.</x:v>
      </x:c>
    </x:row>
    <x:row r="1196" ht="48" customHeight="1">
      <x:c r="A1196" s="24" t="str">
        <x:v>W07-R018</x:v>
      </x:c>
      <x:c r="B1196" s="24" t="str">
        <x:v>W07</x:v>
      </x:c>
      <x:c r="C1196" s="26" t="n">
        <x:v>18</x:v>
      </x:c>
      <x:c r="D1196" s="26" t="n">
        <x:v>41</x:v>
      </x:c>
      <x:c r="E1196" s="26" t="n">
        <x:v>41</x:v>
      </x:c>
      <x:c r="F1196" s="26" t="str">
        <x:v>Goldfeld</x:v>
      </x:c>
      <x:c r="G1196" s="26" t="n">
        <x:v>1976</x:v>
      </x:c>
      <x:c r="H1196" s="25" t="str">
        <x:v>The Case of the Missing Money</x:v>
      </x:c>
      <x:c r="I1196" s="25" t="str"/>
      <x:c r="J1196" s="25" t="str"/>
      <x:c r="K1196" s="25" t="str">
        <x:v>automatic_screen_pass</x:v>
      </x:c>
      <x:c r="L1196" s="25" t="str">
        <x:v>accepted</x:v>
      </x:c>
      <x:c r="M1196" s="25" t="str">
        <x:v>no</x:v>
      </x:c>
      <x:c r="N1196" s="25" t="str">
        <x:v>saki_research/working_papers/bigio_d_erasmo_yepez_monetary_policy_implementation_regimes_reserve_demand_us.pdf</x:v>
      </x:c>
      <x:c r="O1196" s="25" t="str">
        <x:v>Goldfeld, Stephen M., “The Case of the Missing Money,” Brookings Papers on Economic Activity, 1976, 1976 (3), 683–739.</x:v>
      </x:c>
    </x:row>
    <x:row r="1197" ht="48" customHeight="1">
      <x:c r="A1197" s="24" t="str">
        <x:v>W07-R019</x:v>
      </x:c>
      <x:c r="B1197" s="24" t="str">
        <x:v>W07</x:v>
      </x:c>
      <x:c r="C1197" s="26" t="n">
        <x:v>19</x:v>
      </x:c>
      <x:c r="D1197" s="26" t="n">
        <x:v>42</x:v>
      </x:c>
      <x:c r="E1197" s="26" t="n">
        <x:v>42</x:v>
      </x:c>
      <x:c r="F1197" s="26" t="str">
        <x:v>Goldfeld</x:v>
      </x:c>
      <x:c r="G1197" s="26" t="n">
        <x:v>1990</x:v>
      </x:c>
      <x:c r="H1197" s="25" t="str">
        <x:v>The Demand for Money</x:v>
      </x:c>
      <x:c r="I1197" s="25" t="str">
        <x:v>inherited_author_notation</x:v>
      </x:c>
      <x:c r="J1197" s="25" t="str"/>
      <x:c r="K1197" s="25" t="str">
        <x:v>automatic_screen_pass</x:v>
      </x:c>
      <x:c r="L1197" s="25" t="str">
        <x:v>accepted</x:v>
      </x:c>
      <x:c r="M1197" s="25" t="str">
        <x:v>no</x:v>
      </x:c>
      <x:c r="N1197" s="25" t="str">
        <x:v>saki_research/working_papers/bigio_d_erasmo_yepez_monetary_policy_implementation_regimes_reserve_demand_us.pdf</x:v>
      </x:c>
      <x:c r="O1197" s="25" t="str">
        <x:v>and Daniel E. Sichel, “The Demand for Money,” Handbook of Monetary Economics, 1990, 1, 299–356.</x:v>
      </x:c>
    </x:row>
    <x:row r="1198" ht="48" customHeight="1">
      <x:c r="A1198" s="24" t="str">
        <x:v>W07-R020</x:v>
      </x:c>
      <x:c r="B1198" s="24" t="str">
        <x:v>W07</x:v>
      </x:c>
      <x:c r="C1198" s="26" t="n">
        <x:v>20</x:v>
      </x:c>
      <x:c r="D1198" s="26" t="n">
        <x:v>42</x:v>
      </x:c>
      <x:c r="E1198" s="26" t="n">
        <x:v>42</x:v>
      </x:c>
      <x:c r="F1198" s="26" t="str">
        <x:v>Gordon</x:v>
      </x:c>
      <x:c r="G1198" s="26" t="n">
        <x:v>1994</x:v>
      </x:c>
      <x:c r="H1198" s="25" t="str">
        <x:v>The Dynamic Impacts of Monetary Policy: An Exercise in Tentative Identification</x:v>
      </x:c>
      <x:c r="I1198" s="25" t="str"/>
      <x:c r="J1198" s="25" t="str"/>
      <x:c r="K1198" s="25" t="str">
        <x:v>prior_manual_sample</x:v>
      </x:c>
      <x:c r="L1198" s="25" t="str">
        <x:v>accepted</x:v>
      </x:c>
      <x:c r="M1198" s="25" t="str">
        <x:v>no</x:v>
      </x:c>
      <x:c r="N1198" s="25" t="str">
        <x:v>saki_research/working_papers/bigio_d_erasmo_yepez_monetary_policy_implementation_regimes_reserve_demand_us.pdf</x:v>
      </x:c>
      <x:c r="O1198" s="25" t="str">
        <x:v>Gordon, David B. and Eric M. Leeper, “The Dynamic Impacts of Monetary Policy: An Exercise in Tentative Identification,” Journal of Political Economy, 1994, 102 (6), 1228–1247.</x:v>
      </x:c>
    </x:row>
    <x:row r="1199" ht="48" customHeight="1">
      <x:c r="A1199" s="24" t="str">
        <x:v>W07-R021</x:v>
      </x:c>
      <x:c r="B1199" s="24" t="str">
        <x:v>W07</x:v>
      </x:c>
      <x:c r="C1199" s="26" t="n">
        <x:v>21</x:v>
      </x:c>
      <x:c r="D1199" s="26" t="n">
        <x:v>42</x:v>
      </x:c>
      <x:c r="E1199" s="26" t="n">
        <x:v>42</x:v>
      </x:c>
      <x:c r="F1199" s="26" t="str">
        <x:v>Haavelmo</x:v>
      </x:c>
      <x:c r="G1199" s="26" t="n">
        <x:v>1943</x:v>
      </x:c>
      <x:c r="H1199" s="25" t="str">
        <x:v>TheStatisticalImplicationsofaSystemofSimultaneousEquations</x:v>
      </x:c>
      <x:c r="I1199" s="25" t="str"/>
      <x:c r="J1199" s="25" t="str"/>
      <x:c r="K1199" s="25" t="str">
        <x:v>automatic_screen_pass</x:v>
      </x:c>
      <x:c r="L1199" s="25" t="str">
        <x:v>accepted</x:v>
      </x:c>
      <x:c r="M1199" s="25" t="str">
        <x:v>no</x:v>
      </x:c>
      <x:c r="N1199" s="25" t="str">
        <x:v>saki_research/working_papers/bigio_d_erasmo_yepez_monetary_policy_implementation_regimes_reserve_demand_us.pdf</x:v>
      </x:c>
      <x:c r="O1199" s="25" t="str">
        <x:v>Haavelmo, Trygve, “TheStatisticalImplicationsofaSystemofSimultaneousEquations,” Econometrica, 1943, 11 (1), 1–12.</x:v>
      </x:c>
    </x:row>
    <x:row r="1200" ht="48" customHeight="1">
      <x:c r="A1200" s="24" t="str">
        <x:v>W07-R022</x:v>
      </x:c>
      <x:c r="B1200" s="24" t="str">
        <x:v>W07</x:v>
      </x:c>
      <x:c r="C1200" s="26" t="n">
        <x:v>22</x:v>
      </x:c>
      <x:c r="D1200" s="26" t="n">
        <x:v>42</x:v>
      </x:c>
      <x:c r="E1200" s="26" t="n">
        <x:v>42</x:v>
      </x:c>
      <x:c r="F1200" s="26" t="str">
        <x:v>Hamilton</x:v>
      </x:c>
      <x:c r="G1200" s="26" t="n">
        <x:v>1996</x:v>
      </x:c>
      <x:c r="H1200" s="25" t="str">
        <x:v>TheDailyMarketforFederalFunds</x:v>
      </x:c>
      <x:c r="I1200" s="25" t="str"/>
      <x:c r="J1200" s="25" t="str"/>
      <x:c r="K1200" s="25" t="str">
        <x:v>automatic_screen_pass</x:v>
      </x:c>
      <x:c r="L1200" s="25" t="str">
        <x:v>accepted</x:v>
      </x:c>
      <x:c r="M1200" s="25" t="str">
        <x:v>no</x:v>
      </x:c>
      <x:c r="N1200" s="25" t="str">
        <x:v>saki_research/working_papers/bigio_d_erasmo_yepez_monetary_policy_implementation_regimes_reserve_demand_us.pdf</x:v>
      </x:c>
      <x:c r="O1200" s="25" t="str">
        <x:v>Hamilton,JamesD.,“TheDailyMarketforFederalFunds,” Journal of Political Economy, 1996, 104 (1), 26–56.</x:v>
      </x:c>
    </x:row>
    <x:row r="1201" ht="48" customHeight="1">
      <x:c r="A1201" s="24" t="str">
        <x:v>W07-R023</x:v>
      </x:c>
      <x:c r="B1201" s="24" t="str">
        <x:v>W07</x:v>
      </x:c>
      <x:c r="C1201" s="26" t="n">
        <x:v>23</x:v>
      </x:c>
      <x:c r="D1201" s="26" t="n">
        <x:v>42</x:v>
      </x:c>
      <x:c r="E1201" s="26" t="n">
        <x:v>42</x:v>
      </x:c>
      <x:c r="F1201" s="26" t="str">
        <x:v>Hamilton</x:v>
      </x:c>
      <x:c r="G1201" s="26" t="n">
        <x:v>1997</x:v>
      </x:c>
      <x:c r="H1201" s="25" t="str">
        <x:v>Measuring the Liquidity Effect</x:v>
      </x:c>
      <x:c r="I1201" s="25" t="str">
        <x:v>inherited_author_notation</x:v>
      </x:c>
      <x:c r="J1201" s="25" t="str">
        <x:v>exhaustive_ai_audit_2026-09-17</x:v>
      </x:c>
      <x:c r="K1201" s="25" t="str">
        <x:v>exhaustive_visual_correction</x:v>
      </x:c>
      <x:c r="L1201" s="25" t="str">
        <x:v>corrected</x:v>
      </x:c>
      <x:c r="M1201" s="25" t="str">
        <x:v>no</x:v>
      </x:c>
      <x:c r="N1201" s="25" t="str">
        <x:v>saki_research/working_papers/bigio_d_erasmo_yepez_monetary_policy_implementation_regimes_reserve_demand_us.pdf</x:v>
      </x:c>
      <x:c r="O1201" s="25" t="str">
        <x:v>, “Measuring the Liquidity Effect,” American Economic Review, 1997, 87 (1), 80–97.</x:v>
      </x:c>
    </x:row>
    <x:row r="1202" ht="48" customHeight="1">
      <x:c r="A1202" s="24" t="str">
        <x:v>W07-R024</x:v>
      </x:c>
      <x:c r="B1202" s="24" t="str">
        <x:v>W07</x:v>
      </x:c>
      <x:c r="C1202" s="26" t="n">
        <x:v>24</x:v>
      </x:c>
      <x:c r="D1202" s="26" t="n">
        <x:v>42</x:v>
      </x:c>
      <x:c r="E1202" s="26" t="n">
        <x:v>42</x:v>
      </x:c>
      <x:c r="F1202" s="26" t="str">
        <x:v>Ihrig</x:v>
      </x:c>
      <x:c r="G1202" s="26" t="n">
        <x:v>2020</x:v>
      </x:c>
      <x:c r="H1202" s="25" t="str">
        <x:v>The Fed’s “Ample-Reserves” Approach to Implementing Monetary Policy</x:v>
      </x:c>
      <x:c r="I1202" s="25" t="str"/>
      <x:c r="J1202" s="25" t="str">
        <x:v>literal_citation_review_2026-09-16; third_sample_T-084_2026-09-17</x:v>
      </x:c>
      <x:c r="K1202" s="25" t="str">
        <x:v>prior_manual_sample</x:v>
      </x:c>
      <x:c r="L1202" s="25" t="str">
        <x:v>accepted</x:v>
      </x:c>
      <x:c r="M1202" s="25" t="str">
        <x:v>sí</x:v>
      </x:c>
      <x:c r="N1202" s="25" t="str">
        <x:v>saki_research/working_papers/bigio_d_erasmo_yepez_monetary_policy_implementation_regimes_reserve_demand_us.pdf</x:v>
      </x:c>
      <x:c r="O1202" s="25" t="str">
        <x:v>Ihrig, Jane E., Zeynep Senyuz, and Gretchen C. Weinbach, “The Fed’s “Ample- Reserves” Approach to Implementing Monetary Policy,” Finance and Economics Discussion Series (Board of Governors of the Federal Reserve System), February 2020, 2020 (022). Survey and primer on the ample-reserves operating framework, IOR and implementation issues.</x:v>
      </x:c>
    </x:row>
    <x:row r="1203" ht="48" customHeight="1">
      <x:c r="A1203" s="24" t="str">
        <x:v>W07-R025</x:v>
      </x:c>
      <x:c r="B1203" s="24" t="str">
        <x:v>W07</x:v>
      </x:c>
      <x:c r="C1203" s="26" t="n">
        <x:v>25</x:v>
      </x:c>
      <x:c r="D1203" s="26" t="n">
        <x:v>42</x:v>
      </x:c>
      <x:c r="E1203" s="26" t="n">
        <x:v>42</x:v>
      </x:c>
      <x:c r="F1203" s="26" t="str">
        <x:v>Ireland</x:v>
      </x:c>
      <x:c r="G1203" s="26" t="n">
        <x:v>2009</x:v>
      </x:c>
      <x:c r="H1203" s="25" t="str">
        <x:v>On the Welfare Cost of Inflation and the Recent Behavior of Money Demand</x:v>
      </x:c>
      <x:c r="I1203" s="25" t="str"/>
      <x:c r="J1203" s="25" t="str"/>
      <x:c r="K1203" s="25" t="str">
        <x:v>prior_manual_sample</x:v>
      </x:c>
      <x:c r="L1203" s="25" t="str">
        <x:v>accepted</x:v>
      </x:c>
      <x:c r="M1203" s="25" t="str">
        <x:v>no</x:v>
      </x:c>
      <x:c r="N1203" s="25" t="str">
        <x:v>saki_research/working_papers/bigio_d_erasmo_yepez_monetary_policy_implementation_regimes_reserve_demand_us.pdf</x:v>
      </x:c>
      <x:c r="O1203" s="25" t="str">
        <x:v>Ireland, Peter N., “On the Welfare Cost of Inflation and the Recent Behavior of Money Demand,” American Economic Review, 2009, 99 (3), 1040–1052.</x:v>
      </x:c>
    </x:row>
    <x:row r="1204" ht="48" customHeight="1">
      <x:c r="A1204" s="24" t="str">
        <x:v>W07-R026</x:v>
      </x:c>
      <x:c r="B1204" s="24" t="str">
        <x:v>W07</x:v>
      </x:c>
      <x:c r="C1204" s="26" t="n">
        <x:v>26</x:v>
      </x:c>
      <x:c r="D1204" s="26" t="n">
        <x:v>42</x:v>
      </x:c>
      <x:c r="E1204" s="26" t="n">
        <x:v>42</x:v>
      </x:c>
      <x:c r="F1204" s="26" t="str">
        <x:v>Judd</x:v>
      </x:c>
      <x:c r="G1204" s="26" t="n">
        <x:v>1983</x:v>
      </x:c>
      <x:c r="H1204" s="25" t="str">
        <x:v>TheSearchforaStableMoneyDemandFunction: A Survey of the Post-1973 Literature</x:v>
      </x:c>
      <x:c r="I1204" s="25" t="str"/>
      <x:c r="J1204" s="25" t="str"/>
      <x:c r="K1204" s="25" t="str">
        <x:v>automatic_screen_pass</x:v>
      </x:c>
      <x:c r="L1204" s="25" t="str">
        <x:v>accepted</x:v>
      </x:c>
      <x:c r="M1204" s="25" t="str">
        <x:v>no</x:v>
      </x:c>
      <x:c r="N1204" s="25" t="str">
        <x:v>saki_research/working_papers/bigio_d_erasmo_yepez_monetary_policy_implementation_regimes_reserve_demand_us.pdf</x:v>
      </x:c>
      <x:c r="O1204" s="25" t="str">
        <x:v>Judd,JohnP.andJohnL.Scadding,“TheSearchforaStableMoneyDemandFunction: A Survey of the Post-1973 Literature,” Journal of Economic Literature, 1983, 20 (3), 993– 1023.</x:v>
      </x:c>
    </x:row>
    <x:row r="1205" ht="48" customHeight="1">
      <x:c r="A1205" s="24" t="str">
        <x:v>W07-R027</x:v>
      </x:c>
      <x:c r="B1205" s="24" t="str">
        <x:v>W07</x:v>
      </x:c>
      <x:c r="C1205" s="26" t="n">
        <x:v>27</x:v>
      </x:c>
      <x:c r="D1205" s="26" t="n">
        <x:v>42</x:v>
      </x:c>
      <x:c r="E1205" s="26" t="n">
        <x:v>42</x:v>
      </x:c>
      <x:c r="F1205" s="26" t="str">
        <x:v>Krishnamurthy</x:v>
      </x:c>
      <x:c r="G1205" s="26" t="n">
        <x:v>2011</x:v>
      </x:c>
      <x:c r="H1205" s="25" t="str">
        <x:v>The Effects of QuantitativeEasingonInterestRates: ChannelsandImplicationsforPolicy</x:v>
      </x:c>
      <x:c r="I1205" s="25" t="str"/>
      <x:c r="J1205" s="25" t="str">
        <x:v>exhaustive_ai_audit_2026-09-17</x:v>
      </x:c>
      <x:c r="K1205" s="25" t="str">
        <x:v>exhaustive_visual_correction</x:v>
      </x:c>
      <x:c r="L1205" s="25" t="str">
        <x:v>corrected</x:v>
      </x:c>
      <x:c r="M1205" s="25" t="str">
        <x:v>no</x:v>
      </x:c>
      <x:c r="N1205" s="25" t="str">
        <x:v>saki_research/working_papers/bigio_d_erasmo_yepez_monetary_policy_implementation_regimes_reserve_demand_us.pdf</x:v>
      </x:c>
      <x:c r="O1205" s="25" t="str">
        <x:v>Krishnamurthy, Arvind and Annette Vissing-Jorgensen, “The Effects of QuantitativeEasingonInterestRates: ChannelsandImplicationsforPolicy,” Brookings Papers on Economic Activity, 2011, 42 (2 (Fall)), 215–287. Discusses liquidity, safety and duration channels of QE and implications for liquidity premia.</x:v>
      </x:c>
    </x:row>
    <x:row r="1206" ht="48" customHeight="1">
      <x:c r="A1206" s="24" t="str">
        <x:v>W07-R028</x:v>
      </x:c>
      <x:c r="B1206" s="24" t="str">
        <x:v>W07</x:v>
      </x:c>
      <x:c r="C1206" s="26" t="n">
        <x:v>28</x:v>
      </x:c>
      <x:c r="D1206" s="26" t="n">
        <x:v>42</x:v>
      </x:c>
      <x:c r="E1206" s="26" t="n">
        <x:v>42</x:v>
      </x:c>
      <x:c r="F1206" s="26" t="str">
        <x:v>Labonté</x:v>
      </x:c>
      <x:c r="G1206" s="26" t="n">
        <x:v>2021</x:v>
      </x:c>
      <x:c r="H1206" s="25" t="str">
        <x:v>The Federal Reserve’s Response to COVID-19: Policy Issues</x:v>
      </x:c>
      <x:c r="I1206" s="25" t="str"/>
      <x:c r="J1206" s="25" t="str">
        <x:v>exhaustive_ai_audit_2026-09-17</x:v>
      </x:c>
      <x:c r="K1206" s="25" t="str">
        <x:v>exhaustive_visual_correction</x:v>
      </x:c>
      <x:c r="L1206" s="25" t="str">
        <x:v>corrected</x:v>
      </x:c>
      <x:c r="M1206" s="25" t="str">
        <x:v>no</x:v>
      </x:c>
      <x:c r="N1206" s="25" t="str">
        <x:v>saki_research/working_papers/bigio_d_erasmo_yepez_monetary_policy_implementation_regimes_reserve_demand_us.pdf</x:v>
      </x:c>
      <x:c r="O1206" s="25" t="str">
        <x:v>Labont ́e, Marc, “The Federal Reserve’s Response to COVID-19: Policy Issues,” Report R46411,CongressionalResearchServiceFebruary2021.SummaryofFedactionsinMarch– May 2020, including LSAPs, liquidity facilities, reserve requirement changes, and balancesheet expansion.</x:v>
      </x:c>
    </x:row>
    <x:row r="1207" ht="48" customHeight="1">
      <x:c r="A1207" s="24" t="str">
        <x:v>W07-R029</x:v>
      </x:c>
      <x:c r="B1207" s="24" t="str">
        <x:v>W07</x:v>
      </x:c>
      <x:c r="C1207" s="26" t="n">
        <x:v>29</x:v>
      </x:c>
      <x:c r="D1207" s="26" t="n">
        <x:v>42</x:v>
      </x:c>
      <x:c r="E1207" s="26" t="n">
        <x:v>42</x:v>
      </x:c>
      <x:c r="F1207" s="26" t="str">
        <x:v>Lagos</x:v>
      </x:c>
      <x:c r="G1207" s="26" t="n">
        <x:v>2023</x:v>
      </x:c>
      <x:c r="H1207" s="25" t="str">
        <x:v>Monetary Policy Operations: Theory, Evidence, and Tools for Quantitative Analysis</x:v>
      </x:c>
      <x:c r="I1207" s="25" t="str"/>
      <x:c r="J1207" s="25" t="str"/>
      <x:c r="K1207" s="25" t="str">
        <x:v>automatic_screen_pass</x:v>
      </x:c>
      <x:c r="L1207" s="25" t="str">
        <x:v>accepted</x:v>
      </x:c>
      <x:c r="M1207" s="25" t="str">
        <x:v>no</x:v>
      </x:c>
      <x:c r="N1207" s="25" t="str">
        <x:v>saki_research/working_papers/bigio_d_erasmo_yepez_monetary_policy_implementation_regimes_reserve_demand_us.pdf</x:v>
      </x:c>
      <x:c r="O1207" s="25" t="str">
        <x:v>Lagos, Ricardo and Gast ́on Navarro, “Monetary Policy Operations: Theory, Evidence, and Tools for Quantitative Analysis,” NBER Working Paper Series, June 2023, (31370).</x:v>
      </x:c>
    </x:row>
    <x:row r="1208" ht="48" customHeight="1">
      <x:c r="A1208" s="24" t="str">
        <x:v>W07-R030</x:v>
      </x:c>
      <x:c r="B1208" s="24" t="str">
        <x:v>W07</x:v>
      </x:c>
      <x:c r="C1208" s="26" t="n">
        <x:v>30</x:v>
      </x:c>
      <x:c r="D1208" s="26" t="n">
        <x:v>42</x:v>
      </x:c>
      <x:c r="E1208" s="26" t="n">
        <x:v>42</x:v>
      </x:c>
      <x:c r="F1208" s="26" t="str">
        <x:v>Laidler</x:v>
      </x:c>
      <x:c r="G1208" s="26" t="n">
        <x:v>1966</x:v>
      </x:c>
      <x:c r="H1208" s="25" t="str">
        <x:v>Some Evidence on the Demand for Money</x:v>
      </x:c>
      <x:c r="I1208" s="25" t="str"/>
      <x:c r="J1208" s="25" t="str"/>
      <x:c r="K1208" s="25" t="str">
        <x:v>automatic_screen_pass</x:v>
      </x:c>
      <x:c r="L1208" s="25" t="str">
        <x:v>accepted</x:v>
      </x:c>
      <x:c r="M1208" s="25" t="str">
        <x:v>no</x:v>
      </x:c>
      <x:c r="N1208" s="25" t="str">
        <x:v>saki_research/working_papers/bigio_d_erasmo_yepez_monetary_policy_implementation_regimes_reserve_demand_us.pdf</x:v>
      </x:c>
      <x:c r="O1208" s="25" t="str">
        <x:v>Laidler, David E. W., “Some Evidence on the Demand for Money,” Journal of Political Economy, 1966, 74 (1), 55–68.</x:v>
      </x:c>
    </x:row>
    <x:row r="1209" ht="48" customHeight="1">
      <x:c r="A1209" s="24" t="str">
        <x:v>W07-R031</x:v>
      </x:c>
      <x:c r="B1209" s="24" t="str">
        <x:v>W07</x:v>
      </x:c>
      <x:c r="C1209" s="26" t="n">
        <x:v>31</x:v>
      </x:c>
      <x:c r="D1209" s="26" t="n">
        <x:v>42</x:v>
      </x:c>
      <x:c r="E1209" s="26" t="n">
        <x:v>42</x:v>
      </x:c>
      <x:c r="F1209" s="26" t="str">
        <x:v>Laidler</x:v>
      </x:c>
      <x:c r="G1209" s="26" t="n">
        <x:v>1969</x:v>
      </x:c>
      <x:c r="H1209" s="25" t="str">
        <x:v>The Demand for Money: Theories and Evidence</x:v>
      </x:c>
      <x:c r="I1209" s="25" t="str">
        <x:v>inherited_author_notation</x:v>
      </x:c>
      <x:c r="J1209" s="25" t="str">
        <x:v>exhaustive_ai_audit_2026-09-17</x:v>
      </x:c>
      <x:c r="K1209" s="25" t="str">
        <x:v>exhaustive_visual_correction</x:v>
      </x:c>
      <x:c r="L1209" s="25" t="str">
        <x:v>corrected</x:v>
      </x:c>
      <x:c r="M1209" s="25" t="str">
        <x:v>sí</x:v>
      </x:c>
      <x:c r="N1209" s="25" t="str">
        <x:v>saki_research/working_papers/bigio_d_erasmo_yepez_monetary_policy_implementation_regimes_reserve_demand_us.pdf</x:v>
      </x:c>
      <x:c r="O1209" s="25" t="str">
        <x:v>, “The Demand for Money: Theories and Evidence,” International Textbook Company, 1969. Later editions 1977, 1985, 1993.</x:v>
      </x:c>
    </x:row>
    <x:row r="1210" ht="48" customHeight="1">
      <x:c r="A1210" s="24" t="str">
        <x:v>W07-R032</x:v>
      </x:c>
      <x:c r="B1210" s="24" t="str">
        <x:v>W07</x:v>
      </x:c>
      <x:c r="C1210" s="26" t="n">
        <x:v>32</x:v>
      </x:c>
      <x:c r="D1210" s="26" t="n">
        <x:v>42</x:v>
      </x:c>
      <x:c r="E1210" s="26" t="n">
        <x:v>42</x:v>
      </x:c>
      <x:c r="F1210" s="26" t="str">
        <x:v>Leeper</x:v>
      </x:c>
      <x:c r="G1210" s="26" t="n">
        <x:v>2003</x:v>
      </x:c>
      <x:c r="H1210" s="25" t="str">
        <x:v>Modest Policy Interventions</x:v>
      </x:c>
      <x:c r="I1210" s="25" t="str"/>
      <x:c r="J1210" s="25" t="str"/>
      <x:c r="K1210" s="25" t="str">
        <x:v>automatic_screen_pass</x:v>
      </x:c>
      <x:c r="L1210" s="25" t="str">
        <x:v>accepted</x:v>
      </x:c>
      <x:c r="M1210" s="25" t="str">
        <x:v>no</x:v>
      </x:c>
      <x:c r="N1210" s="25" t="str">
        <x:v>saki_research/working_papers/bigio_d_erasmo_yepez_monetary_policy_implementation_regimes_reserve_demand_us.pdf</x:v>
      </x:c>
      <x:c r="O1210" s="25" t="str">
        <x:v>Leeper, Eric M. and Tao Zha, “Modest Policy Interventions,” Journal of Monetary Economics, 2003, 50 (8), 1673–1700.</x:v>
      </x:c>
    </x:row>
    <x:row r="1211" ht="48" customHeight="1">
      <x:c r="A1211" s="24" t="str">
        <x:v>W07-R033</x:v>
      </x:c>
      <x:c r="B1211" s="24" t="str">
        <x:v>W07</x:v>
      </x:c>
      <x:c r="C1211" s="26" t="n">
        <x:v>33</x:v>
      </x:c>
      <x:c r="D1211" s="26" t="n">
        <x:v>42</x:v>
      </x:c>
      <x:c r="E1211" s="26" t="n">
        <x:v>42</x:v>
      </x:c>
      <x:c r="F1211" s="26" t="str">
        <x:v>Lopez-Salido</x:v>
      </x:c>
      <x:c r="G1211" s="26" t="n">
        <x:v>2023</x:v>
      </x:c>
      <x:c r="H1211" s="25" t="str">
        <x:v>Reserve Demand, Interest Rate Control, and Quantitative Tightening</x:v>
      </x:c>
      <x:c r="I1211" s="25" t="str"/>
      <x:c r="J1211" s="25" t="str"/>
      <x:c r="K1211" s="25" t="str">
        <x:v>automatic_screen_pass</x:v>
      </x:c>
      <x:c r="L1211" s="25" t="str">
        <x:v>accepted</x:v>
      </x:c>
      <x:c r="M1211" s="25" t="str">
        <x:v>no</x:v>
      </x:c>
      <x:c r="N1211" s="25" t="str">
        <x:v>saki_research/working_papers/bigio_d_erasmo_yepez_monetary_policy_implementation_regimes_reserve_demand_us.pdf</x:v>
      </x:c>
      <x:c r="O1211" s="25" t="str">
        <x:v>Lopez-Salido, David and Annette Vissing-Jorgenson, “Reserve Demand, Interest Rate Control, and Quantitative Tightening,” 2023. Working Paper.</x:v>
      </x:c>
    </x:row>
    <x:row r="1212" ht="48" customHeight="1">
      <x:c r="A1212" s="24" t="str">
        <x:v>W07-R034</x:v>
      </x:c>
      <x:c r="B1212" s="24" t="str">
        <x:v>W07</x:v>
      </x:c>
      <x:c r="C1212" s="26" t="n">
        <x:v>34</x:v>
      </x:c>
      <x:c r="D1212" s="26" t="n">
        <x:v>42</x:v>
      </x:c>
      <x:c r="E1212" s="26" t="n">
        <x:v>42</x:v>
      </x:c>
      <x:c r="F1212" s="26" t="str">
        <x:v>Lucas</x:v>
      </x:c>
      <x:c r="G1212" s="26" t="n">
        <x:v>1976</x:v>
      </x:c>
      <x:c r="H1212" s="25" t="str">
        <x:v>EconometricPolicyEvaluation: ACritique</x:v>
      </x:c>
      <x:c r="I1212" s="25" t="str"/>
      <x:c r="J1212" s="25" t="str"/>
      <x:c r="K1212" s="25" t="str">
        <x:v>automatic_screen_pass</x:v>
      </x:c>
      <x:c r="L1212" s="25" t="str">
        <x:v>accepted</x:v>
      </x:c>
      <x:c r="M1212" s="25" t="str">
        <x:v>no</x:v>
      </x:c>
      <x:c r="N1212" s="25" t="str">
        <x:v>saki_research/working_papers/bigio_d_erasmo_yepez_monetary_policy_implementation_regimes_reserve_demand_us.pdf</x:v>
      </x:c>
      <x:c r="O1212" s="25" t="str">
        <x:v>Lucas,RobertE.,“EconometricPolicyEvaluation: ACritique,” Carnegie-Rochester Conference Series on Public Policy, 1976, 1, 19–46.</x:v>
      </x:c>
    </x:row>
    <x:row r="1213" ht="48" customHeight="1">
      <x:c r="A1213" s="24" t="str">
        <x:v>W07-R035</x:v>
      </x:c>
      <x:c r="B1213" s="24" t="str">
        <x:v>W07</x:v>
      </x:c>
      <x:c r="C1213" s="26" t="n">
        <x:v>35</x:v>
      </x:c>
      <x:c r="D1213" s="26" t="n">
        <x:v>42</x:v>
      </x:c>
      <x:c r="E1213" s="26" t="n">
        <x:v>42</x:v>
      </x:c>
      <x:c r="F1213" s="26" t="str">
        <x:v>Lucas</x:v>
      </x:c>
      <x:c r="G1213" s="26" t="n">
        <x:v>1988</x:v>
      </x:c>
      <x:c r="H1213" s="25" t="str">
        <x:v>Money Demand in the United States: A Quantitative Review</x:v>
      </x:c>
      <x:c r="I1213" s="25" t="str">
        <x:v>inherited_author_notation</x:v>
      </x:c>
      <x:c r="J1213" s="25" t="str">
        <x:v>exhaustive_ai_audit_2026-09-17</x:v>
      </x:c>
      <x:c r="K1213" s="25" t="str">
        <x:v>exhaustive_visual_correction</x:v>
      </x:c>
      <x:c r="L1213" s="25" t="str">
        <x:v>corrected</x:v>
      </x:c>
      <x:c r="M1213" s="25" t="str">
        <x:v>no</x:v>
      </x:c>
      <x:c r="N1213" s="25" t="str">
        <x:v>saki_research/working_papers/bigio_d_erasmo_yepez_monetary_policy_implementation_regimes_reserve_demand_us.pdf</x:v>
      </x:c>
      <x:c r="O1213" s="25" t="str">
        <x:v>, “Money Demand in the United States: A Quantitative Review,” Carnegie-Rochester Conference Series on Public Policy, 1988, 29, 137–167.</x:v>
      </x:c>
    </x:row>
    <x:row r="1214" ht="48" customHeight="1">
      <x:c r="A1214" s="24" t="str">
        <x:v>W07-R036</x:v>
      </x:c>
      <x:c r="B1214" s="24" t="str">
        <x:v>W07</x:v>
      </x:c>
      <x:c r="C1214" s="26" t="n">
        <x:v>36</x:v>
      </x:c>
      <x:c r="D1214" s="26" t="n">
        <x:v>42</x:v>
      </x:c>
      <x:c r="E1214" s="26" t="n">
        <x:v>43</x:v>
      </x:c>
      <x:c r="F1214" s="26" t="str">
        <x:v>Lucas</x:v>
      </x:c>
      <x:c r="G1214" s="26" t="n">
        <x:v>2016</x:v>
      </x:c>
      <x:c r="H1214" s="25" t="str">
        <x:v>On the Stability of Money Demand</x:v>
      </x:c>
      <x:c r="I1214" s="25" t="str">
        <x:v>inherited_author_notation</x:v>
      </x:c>
      <x:c r="J1214" s="25" t="str"/>
      <x:c r="K1214" s="25" t="str">
        <x:v>automatic_screen_pass</x:v>
      </x:c>
      <x:c r="L1214" s="25" t="str">
        <x:v>accepted</x:v>
      </x:c>
      <x:c r="M1214" s="25" t="str">
        <x:v>no</x:v>
      </x:c>
      <x:c r="N1214" s="25" t="str">
        <x:v>saki_research/working_papers/bigio_d_erasmo_yepez_monetary_policy_implementation_regimes_reserve_demand_us.pdf</x:v>
      </x:c>
      <x:c r="O1214" s="25" t="str">
        <x:v>and Juan Pablo Nicolini, “On the Stability of Money Demand,” Journal of Monetary Economics, 2016, 73, 48–65.</x:v>
      </x:c>
    </x:row>
    <x:row r="1215" ht="48" customHeight="1">
      <x:c r="A1215" s="24" t="str">
        <x:v>W07-R037</x:v>
      </x:c>
      <x:c r="B1215" s="24" t="str">
        <x:v>W07</x:v>
      </x:c>
      <x:c r="C1215" s="26" t="n">
        <x:v>37</x:v>
      </x:c>
      <x:c r="D1215" s="26" t="n">
        <x:v>43</x:v>
      </x:c>
      <x:c r="E1215" s="26" t="n">
        <x:v>43</x:v>
      </x:c>
      <x:c r="F1215" s="26" t="str">
        <x:v>Meltzer</x:v>
      </x:c>
      <x:c r="G1215" s="26" t="n">
        <x:v>2009</x:v>
      </x:c>
      <x:c r="H1215" s="25" t="str">
        <x:v>A History of the Federal Reserve, Volume 2, Book 1: 1951-1969</x:v>
      </x:c>
      <x:c r="I1215" s="25" t="str"/>
      <x:c r="J1215" s="25" t="str">
        <x:v>local_citation_grammar_v3</x:v>
      </x:c>
      <x:c r="K1215" s="25" t="str">
        <x:v>exhaustive_visual_multiwork_pattern_accepted</x:v>
      </x:c>
      <x:c r="L1215" s="25" t="str">
        <x:v>accepted</x:v>
      </x:c>
      <x:c r="M1215" s="25" t="str">
        <x:v>sí</x:v>
      </x:c>
      <x:c r="N1215" s="25" t="str">
        <x:v>saki_research/working_papers/bigio_d_erasmo_yepez_monetary_policy_implementation_regimes_reserve_demand_us.pdf</x:v>
      </x:c>
      <x:c r="O1215" s="25" t="str">
        <x:v>Meltzer, Allan H., A History of the Federal Reserve, Volume 2, Book 1: 1951-1969, Chicago: University of Chicago Press, 2009.</x:v>
      </x:c>
    </x:row>
    <x:row r="1216" ht="48" customHeight="1">
      <x:c r="A1216" s="24" t="str">
        <x:v>W07-R038</x:v>
      </x:c>
      <x:c r="B1216" s="24" t="str">
        <x:v>W07</x:v>
      </x:c>
      <x:c r="C1216" s="26" t="n">
        <x:v>38</x:v>
      </x:c>
      <x:c r="D1216" s="26" t="n">
        <x:v>43</x:v>
      </x:c>
      <x:c r="E1216" s="26" t="n">
        <x:v>43</x:v>
      </x:c>
      <x:c r="F1216" s="26" t="str">
        <x:v>Metzler</x:v>
      </x:c>
      <x:c r="G1216" s="26" t="n">
        <x:v>1963</x:v>
      </x:c>
      <x:c r="H1216" s="25" t="str">
        <x:v>The Demand for Money: A Cross-Section Study of Business Firms</x:v>
      </x:c>
      <x:c r="I1216" s="25" t="str"/>
      <x:c r="J1216" s="25" t="str"/>
      <x:c r="K1216" s="25" t="str">
        <x:v>automatic_screen_pass</x:v>
      </x:c>
      <x:c r="L1216" s="25" t="str">
        <x:v>accepted</x:v>
      </x:c>
      <x:c r="M1216" s="25" t="str">
        <x:v>no</x:v>
      </x:c>
      <x:c r="N1216" s="25" t="str">
        <x:v>saki_research/working_papers/bigio_d_erasmo_yepez_monetary_policy_implementation_regimes_reserve_demand_us.pdf</x:v>
      </x:c>
      <x:c r="O1216" s="25" t="str">
        <x:v>Metzler, Lloyd A., “The Demand for Money: A Cross-Section Study of Business Firms,” Quarterly Journal of Economics, 1963, 77 (3), 405–422.</x:v>
      </x:c>
    </x:row>
    <x:row r="1217" ht="48" customHeight="1">
      <x:c r="A1217" s="24" t="str">
        <x:v>W07-R039</x:v>
      </x:c>
      <x:c r="B1217" s="24" t="str">
        <x:v>W07</x:v>
      </x:c>
      <x:c r="C1217" s="26" t="n">
        <x:v>39</x:v>
      </x:c>
      <x:c r="D1217" s="26" t="n">
        <x:v>43</x:v>
      </x:c>
      <x:c r="E1217" s="26" t="n">
        <x:v>43</x:v>
      </x:c>
      <x:c r="F1217" s="26" t="str">
        <x:v>Poole</x:v>
      </x:c>
      <x:c r="G1217" s="26" t="n">
        <x:v>1970</x:v>
      </x:c>
      <x:c r="H1217" s="25" t="str">
        <x:v>Optimal Choice of Monetary Policy Instruments in a Simple Stochastic Macro Model</x:v>
      </x:c>
      <x:c r="I1217" s="25" t="str"/>
      <x:c r="J1217" s="25" t="str"/>
      <x:c r="K1217" s="25" t="str">
        <x:v>automatic_screen_pass</x:v>
      </x:c>
      <x:c r="L1217" s="25" t="str">
        <x:v>accepted</x:v>
      </x:c>
      <x:c r="M1217" s="25" t="str">
        <x:v>no</x:v>
      </x:c>
      <x:c r="N1217" s="25" t="str">
        <x:v>saki_research/working_papers/bigio_d_erasmo_yepez_monetary_policy_implementation_regimes_reserve_demand_us.pdf</x:v>
      </x:c>
      <x:c r="O1217" s="25" t="str">
        <x:v>Poole, William, “Optimal Choice of Monetary Policy Instruments in a Simple Stochastic Macro Model,” The Quarterly Journal of Economics, 1970, 84 (2), 197–216.</x:v>
      </x:c>
    </x:row>
    <x:row r="1218" ht="48" customHeight="1">
      <x:c r="A1218" s="24" t="str">
        <x:v>W07-R040</x:v>
      </x:c>
      <x:c r="B1218" s="24" t="str">
        <x:v>W07</x:v>
      </x:c>
      <x:c r="C1218" s="26" t="n">
        <x:v>40</x:v>
      </x:c>
      <x:c r="D1218" s="26" t="n">
        <x:v>43</x:v>
      </x:c>
      <x:c r="E1218" s="26" t="n">
        <x:v>43</x:v>
      </x:c>
      <x:c r="F1218" s="26" t="str">
        <x:v>Roberds</x:v>
      </x:c>
      <x:c r="G1218" s="26" t="n">
        <x:v>1998</x:v>
      </x:c>
      <x:c r="H1218" s="25" t="str">
        <x:v>TheSupplyandDemandforFederalReserveDeposits: AComment</x:v>
      </x:c>
      <x:c r="I1218" s="25" t="str"/>
      <x:c r="J1218" s="25" t="str"/>
      <x:c r="K1218" s="25" t="str">
        <x:v>automatic_screen_pass</x:v>
      </x:c>
      <x:c r="L1218" s="25" t="str">
        <x:v>accepted</x:v>
      </x:c>
      <x:c r="M1218" s="25" t="str">
        <x:v>no</x:v>
      </x:c>
      <x:c r="N1218" s="25" t="str">
        <x:v>saki_research/working_papers/bigio_d_erasmo_yepez_monetary_policy_implementation_regimes_reserve_demand_us.pdf</x:v>
      </x:c>
      <x:c r="O1218" s="25" t="str">
        <x:v>Roberds, William, “TheSupplyandDemandforFederalReserveDeposits: AComment,” Carnegie-Rochester Conference Series on Public Policy, 1998, 49, 45–52.</x:v>
      </x:c>
    </x:row>
    <x:row r="1219" ht="48" customHeight="1">
      <x:c r="A1219" s="24" t="str">
        <x:v>W07-R041</x:v>
      </x:c>
      <x:c r="B1219" s="24" t="str">
        <x:v>W07</x:v>
      </x:c>
      <x:c r="C1219" s="26" t="n">
        <x:v>41</x:v>
      </x:c>
      <x:c r="D1219" s="26" t="n">
        <x:v>43</x:v>
      </x:c>
      <x:c r="E1219" s="26" t="n">
        <x:v>43</x:v>
      </x:c>
      <x:c r="F1219" s="26" t="str">
        <x:v>Sargent</x:v>
      </x:c>
      <x:c r="G1219" s="26" t="n">
        <x:v>1982</x:v>
      </x:c>
      <x:c r="H1219" s="25" t="str">
        <x:v>BeyondSupplyandDemandCurvesinMacroeconomics</x:v>
      </x:c>
      <x:c r="I1219" s="25" t="str"/>
      <x:c r="J1219" s="25" t="str"/>
      <x:c r="K1219" s="25" t="str">
        <x:v>automatic_screen_pass</x:v>
      </x:c>
      <x:c r="L1219" s="25" t="str">
        <x:v>accepted</x:v>
      </x:c>
      <x:c r="M1219" s="25" t="str">
        <x:v>no</x:v>
      </x:c>
      <x:c r="N1219" s="25" t="str">
        <x:v>saki_research/working_papers/bigio_d_erasmo_yepez_monetary_policy_implementation_regimes_reserve_demand_us.pdf</x:v>
      </x:c>
      <x:c r="O1219" s="25" t="str">
        <x:v>Sargent,ThomasJ.,“BeyondSupplyandDemandCurvesinMacroeconomics,” American Economic Review, 1982, 72 (2), 382–389.</x:v>
      </x:c>
    </x:row>
    <x:row r="1220" ht="48" customHeight="1">
      <x:c r="A1220" s="24" t="str">
        <x:v>W07-R042</x:v>
      </x:c>
      <x:c r="B1220" s="24" t="str">
        <x:v>W07</x:v>
      </x:c>
      <x:c r="C1220" s="26" t="n">
        <x:v>42</x:v>
      </x:c>
      <x:c r="D1220" s="26" t="n">
        <x:v>43</x:v>
      </x:c>
      <x:c r="E1220" s="26" t="n">
        <x:v>43</x:v>
      </x:c>
      <x:c r="F1220" s="26" t="str">
        <x:v>Stevens</x:v>
      </x:c>
      <x:c r="G1220" s="26" t="n">
        <x:v>2003</x:v>
      </x:c>
      <x:c r="H1220" s="25" t="str">
        <x:v>The New Discount Window</x:v>
      </x:c>
      <x:c r="I1220" s="25" t="str"/>
      <x:c r="J1220" s="25" t="str"/>
      <x:c r="K1220" s="25" t="str">
        <x:v>automatic_screen_pass</x:v>
      </x:c>
      <x:c r="L1220" s="25" t="str">
        <x:v>accepted</x:v>
      </x:c>
      <x:c r="M1220" s="25" t="str">
        <x:v>no</x:v>
      </x:c>
      <x:c r="N1220" s="25" t="str">
        <x:v>saki_research/working_papers/bigio_d_erasmo_yepez_monetary_policy_implementation_regimes_reserve_demand_us.pdf</x:v>
      </x:c>
      <x:c r="O1220" s="25" t="str">
        <x:v>Stevens, Edward, “The New Discount Window,” Economic Commentary EC 5/15/2003, Federal Reserve Bank of Cleveland May 2003.</x:v>
      </x:c>
    </x:row>
    <x:row r="1221" ht="48" customHeight="1">
      <x:c r="A1221" s="24" t="str">
        <x:v>W07-R043</x:v>
      </x:c>
      <x:c r="B1221" s="24" t="str">
        <x:v>W07</x:v>
      </x:c>
      <x:c r="C1221" s="26" t="n">
        <x:v>43</x:v>
      </x:c>
      <x:c r="D1221" s="26" t="n">
        <x:v>43</x:v>
      </x:c>
      <x:c r="E1221" s="26" t="n">
        <x:v>43</x:v>
      </x:c>
      <x:c r="F1221" s="26" t="str">
        <x:v>Stock</x:v>
      </x:c>
      <x:c r="G1221" s="26" t="n">
        <x:v>1989</x:v>
      </x:c>
      <x:c r="H1221" s="25" t="str">
        <x:v>Interpreting the Evidence on Money-Income Causality</x:v>
      </x:c>
      <x:c r="I1221" s="25" t="str"/>
      <x:c r="J1221" s="25" t="str"/>
      <x:c r="K1221" s="25" t="str">
        <x:v>automatic_screen_pass</x:v>
      </x:c>
      <x:c r="L1221" s="25" t="str">
        <x:v>accepted</x:v>
      </x:c>
      <x:c r="M1221" s="25" t="str">
        <x:v>no</x:v>
      </x:c>
      <x:c r="N1221" s="25" t="str">
        <x:v>saki_research/working_papers/bigio_d_erasmo_yepez_monetary_policy_implementation_regimes_reserve_demand_us.pdf</x:v>
      </x:c>
      <x:c r="O1221" s="25" t="str">
        <x:v>Stock, James H. and Mark W. Watson, “Interpreting the Evidence on Money-Income Causality,” Journal of Econometrics, 1989, 40 (1), 161–181.</x:v>
      </x:c>
    </x:row>
    <x:row r="1222" ht="48" customHeight="1">
      <x:c r="A1222" s="24" t="str">
        <x:v>W07-R044</x:v>
      </x:c>
      <x:c r="B1222" s="24" t="str">
        <x:v>W07</x:v>
      </x:c>
      <x:c r="C1222" s="26" t="n">
        <x:v>44</x:v>
      </x:c>
      <x:c r="D1222" s="26" t="n">
        <x:v>43</x:v>
      </x:c>
      <x:c r="E1222" s="26" t="n">
        <x:v>43</x:v>
      </x:c>
      <x:c r="F1222" s="26" t="str">
        <x:v>Stock</x:v>
      </x:c>
      <x:c r="G1222" s="26" t="n">
        <x:v>2001</x:v>
      </x:c>
      <x:c r="H1222" s="25" t="str">
        <x:v>Philip G. Wright Meets the Econometricians: Instrumental Variables Before Its Time</x:v>
      </x:c>
      <x:c r="I1222" s="25" t="str">
        <x:v>inherited_author_notation</x:v>
      </x:c>
      <x:c r="J1222" s="25" t="str"/>
      <x:c r="K1222" s="25" t="str">
        <x:v>prior_manual_sample</x:v>
      </x:c>
      <x:c r="L1222" s="25" t="str">
        <x:v>accepted</x:v>
      </x:c>
      <x:c r="M1222" s="25" t="str">
        <x:v>no</x:v>
      </x:c>
      <x:c r="N1222" s="25" t="str">
        <x:v>saki_research/working_papers/bigio_d_erasmo_yepez_monetary_policy_implementation_regimes_reserve_demand_us.pdf</x:v>
      </x:c>
      <x:c r="O1222" s="25" t="str">
        <x:v>and , “Philip G. Wright Meets the Econometricians: Instrumental Variables Before Its Time,” Journal of Economic Perspectives, 2001, 15 (4), 101–115.</x:v>
      </x:c>
    </x:row>
    <x:row r="1223" ht="48" customHeight="1">
      <x:c r="A1223" s="24" t="str">
        <x:v>W07-R045</x:v>
      </x:c>
      <x:c r="B1223" s="24" t="str">
        <x:v>W07</x:v>
      </x:c>
      <x:c r="C1223" s="26" t="n">
        <x:v>45</x:v>
      </x:c>
      <x:c r="D1223" s="26" t="n">
        <x:v>43</x:v>
      </x:c>
      <x:c r="E1223" s="26" t="n">
        <x:v>43</x:v>
      </x:c>
      <x:c r="F1223" s="26" t="str">
        <x:v>Taylor</x:v>
      </x:c>
      <x:c r="G1223" s="26" t="n">
        <x:v>1993</x:v>
      </x:c>
      <x:c r="H1223" s="25" t="str">
        <x:v>Discretion versus Policy Rules in Practice</x:v>
      </x:c>
      <x:c r="I1223" s="25" t="str"/>
      <x:c r="J1223" s="25" t="str"/>
      <x:c r="K1223" s="25" t="str">
        <x:v>automatic_screen_pass</x:v>
      </x:c>
      <x:c r="L1223" s="25" t="str">
        <x:v>accepted</x:v>
      </x:c>
      <x:c r="M1223" s="25" t="str">
        <x:v>no</x:v>
      </x:c>
      <x:c r="N1223" s="25" t="str">
        <x:v>saki_research/working_papers/bigio_d_erasmo_yepez_monetary_policy_implementation_regimes_reserve_demand_us.pdf</x:v>
      </x:c>
      <x:c r="O1223" s="25" t="str">
        <x:v>Taylor, John B., “Discretion versus Policy Rules in Practice,” Carnegie–Rochester Conference Series on Public Policy, 1993, 39, 195–214.</x:v>
      </x:c>
    </x:row>
    <x:row r="1224" ht="48" customHeight="1">
      <x:c r="A1224" s="24" t="str">
        <x:v>W07-R046</x:v>
      </x:c>
      <x:c r="B1224" s="24" t="str">
        <x:v>W07</x:v>
      </x:c>
      <x:c r="C1224" s="26" t="n">
        <x:v>46</x:v>
      </x:c>
      <x:c r="D1224" s="26" t="n">
        <x:v>43</x:v>
      </x:c>
      <x:c r="E1224" s="26" t="n">
        <x:v>43</x:v>
      </x:c>
      <x:c r="F1224" s="26" t="str">
        <x:v>Tobin</x:v>
      </x:c>
      <x:c r="G1224" s="26" t="n">
        <x:v>1956</x:v>
      </x:c>
      <x:c r="H1224" s="25" t="str">
        <x:v>The Interest-Elasticity of Transactions Demand for Cash</x:v>
      </x:c>
      <x:c r="I1224" s="25" t="str"/>
      <x:c r="J1224" s="25" t="str"/>
      <x:c r="K1224" s="25" t="str">
        <x:v>automatic_screen_pass</x:v>
      </x:c>
      <x:c r="L1224" s="25" t="str">
        <x:v>accepted</x:v>
      </x:c>
      <x:c r="M1224" s="25" t="str">
        <x:v>no</x:v>
      </x:c>
      <x:c r="N1224" s="25" t="str">
        <x:v>saki_research/working_papers/bigio_d_erasmo_yepez_monetary_policy_implementation_regimes_reserve_demand_us.pdf</x:v>
      </x:c>
      <x:c r="O1224" s="25" t="str">
        <x:v>Tobin, James, “The Interest-Elasticity of Transactions Demand for Cash,” Review of Economics and Statistics, 1956, 38 (3), 241–247.</x:v>
      </x:c>
    </x:row>
    <x:row r="1225" ht="48" customHeight="1">
      <x:c r="A1225" s="24" t="str">
        <x:v>W07-R047</x:v>
      </x:c>
      <x:c r="B1225" s="24" t="str">
        <x:v>W07</x:v>
      </x:c>
      <x:c r="C1225" s="26" t="n">
        <x:v>47</x:v>
      </x:c>
      <x:c r="D1225" s="26" t="n">
        <x:v>43</x:v>
      </x:c>
      <x:c r="E1225" s="26" t="n">
        <x:v>43</x:v>
      </x:c>
      <x:c r="F1225" s="26" t="str">
        <x:v>Wong</x:v>
      </x:c>
      <x:c r="G1225" s="26" t="n">
        <x:v>2021</x:v>
      </x:c>
      <x:c r="H1225" s="25" t="str">
        <x:v>The Borrower of Last Resort: What Explains the Rise of ON RRP Facility Usage?</x:v>
      </x:c>
      <x:c r="I1225" s="25" t="str"/>
      <x:c r="J1225" s="25" t="str"/>
      <x:c r="K1225" s="25" t="str">
        <x:v>automatic_screen_pass</x:v>
      </x:c>
      <x:c r="L1225" s="25" t="str">
        <x:v>accepted</x:v>
      </x:c>
      <x:c r="M1225" s="25" t="str">
        <x:v>no</x:v>
      </x:c>
      <x:c r="N1225" s="25" t="str">
        <x:v>saki_research/working_papers/bigio_d_erasmo_yepez_monetary_policy_implementation_regimes_reserve_demand_us.pdf</x:v>
      </x:c>
      <x:c r="O1225" s="25" t="str">
        <x:v>Wong, Russell, “The Borrower of Last Resort: What Explains the Rise of ON RRP Facility Usage?,” Economic Brief 21-43, Federal Reserve Bank of Richmond December 2021. Economic Brief summarizing channels behind the rise in ON-RRP usage and its implications for operations in an ample-reserves environment.</x:v>
      </x:c>
    </x:row>
    <x:row r="1226" ht="48" customHeight="1">
      <x:c r="A1226" s="24" t="str">
        <x:v>W07-R048</x:v>
      </x:c>
      <x:c r="B1226" s="24" t="str">
        <x:v>W07</x:v>
      </x:c>
      <x:c r="C1226" s="26" t="n">
        <x:v>48</x:v>
      </x:c>
      <x:c r="D1226" s="26" t="n">
        <x:v>43</x:v>
      </x:c>
      <x:c r="E1226" s="26" t="n">
        <x:v>43</x:v>
      </x:c>
      <x:c r="F1226" s="26" t="str">
        <x:v>Wright</x:v>
      </x:c>
      <x:c r="G1226" s="26" t="n">
        <x:v>1928</x:v>
      </x:c>
      <x:c r="H1226" s="25" t="str">
        <x:v>The Tariff on Animal and Vegetable Oils</x:v>
      </x:c>
      <x:c r="I1226" s="25" t="str"/>
      <x:c r="J1226" s="25" t="str">
        <x:v>exhaustive_title_boundary_audit_2026-09-17</x:v>
      </x:c>
      <x:c r="K1226" s="25" t="str">
        <x:v>exhaustive_visual_correction</x:v>
      </x:c>
      <x:c r="L1226" s="25" t="str">
        <x:v>corrected</x:v>
      </x:c>
      <x:c r="M1226" s="25" t="str">
        <x:v>no</x:v>
      </x:c>
      <x:c r="N1226" s="25" t="str">
        <x:v>saki_research/working_papers/bigio_d_erasmo_yepez_monetary_policy_implementation_regimes_reserve_demand_us.pdf</x:v>
      </x:c>
      <x:c r="O1226" s="25" t="str">
        <x:v>Wright, Philip G., The Tariff on Animal and Vegetable Oils, New York: Macmillan, 1928. Contains Appendix E, “The Determination of Supply and Demand Curves”, widely recognized as the first use of instrumental variables in econometrics.</x:v>
      </x:c>
    </x:row>
    <x:row r="1227" ht="48" customHeight="1">
      <x:c r="A1227" s="24" t="str">
        <x:v>W10-R001</x:v>
      </x:c>
      <x:c r="B1227" s="24" t="str">
        <x:v>W10</x:v>
      </x:c>
      <x:c r="C1227" s="26" t="n">
        <x:v>1</x:v>
      </x:c>
      <x:c r="D1227" s="26" t="n">
        <x:v>19</x:v>
      </x:c>
      <x:c r="E1227" s="26" t="n">
        <x:v>19</x:v>
      </x:c>
      <x:c r="F1227" s="26" t="str">
        <x:v>Angeletos</x:v>
      </x:c>
      <x:c r="G1227" s="26" t="n">
        <x:v>2023</x:v>
      </x:c>
      <x:c r="H1227" s="25" t="str">
        <x:v>Determinacy without the Taylor principle</x:v>
      </x:c>
      <x:c r="I1227" s="25" t="str"/>
      <x:c r="J1227" s="25" t="str"/>
      <x:c r="K1227" s="25" t="str">
        <x:v>automatic_screen_pass</x:v>
      </x:c>
      <x:c r="L1227" s="25" t="str">
        <x:v>accepted</x:v>
      </x:c>
      <x:c r="M1227" s="25" t="str">
        <x:v>no</x:v>
      </x:c>
      <x:c r="N1227" s="25" t="str">
        <x:v>saki_research/working_papers/bigio_ishide_new_keynesian_economics_through_extensive_margin.pdf</x:v>
      </x:c>
      <x:c r="O1227" s="25" t="str">
        <x:v>Angeletos, George-MariosandChenLian, “Determinacy without the Taylor principle,” Journal of Political Economy, 2023, 131(8), 2125–2164.</x:v>
      </x:c>
    </x:row>
    <x:row r="1228" ht="48" customHeight="1">
      <x:c r="A1228" s="24" t="str">
        <x:v>W10-R002</x:v>
      </x:c>
      <x:c r="B1228" s="24" t="str">
        <x:v>W10</x:v>
      </x:c>
      <x:c r="C1228" s="26" t="n">
        <x:v>2</x:v>
      </x:c>
      <x:c r="D1228" s="26" t="n">
        <x:v>19</x:v>
      </x:c>
      <x:c r="E1228" s="26" t="n">
        <x:v>19</x:v>
      </x:c>
      <x:c r="F1228" s="26" t="str">
        <x:v>Atkeson</x:v>
      </x:c>
      <x:c r="G1228" s="26" t="n">
        <x:v>2010</x:v>
      </x:c>
      <x:c r="H1228" s="25" t="str">
        <x:v>Sophisticated monetary policies</x:v>
      </x:c>
      <x:c r="I1228" s="25" t="str"/>
      <x:c r="J1228" s="25" t="str"/>
      <x:c r="K1228" s="25" t="str">
        <x:v>prior_manual_sample</x:v>
      </x:c>
      <x:c r="L1228" s="25" t="str">
        <x:v>accepted</x:v>
      </x:c>
      <x:c r="M1228" s="25" t="str">
        <x:v>no</x:v>
      </x:c>
      <x:c r="N1228" s="25" t="str">
        <x:v>saki_research/working_papers/bigio_ishide_new_keynesian_economics_through_extensive_margin.pdf</x:v>
      </x:c>
      <x:c r="O1228" s="25" t="str">
        <x:v>Atkeson, Andrew, Varadarajan V Chari, and Patrick J Kehoe, “Sophisticated monetary policies,” The Quarterly Journal of Economics, 2010,125 (1), 47–89.</x:v>
      </x:c>
    </x:row>
    <x:row r="1229" ht="48" customHeight="1">
      <x:c r="A1229" s="24" t="str">
        <x:v>W10-R003</x:v>
      </x:c>
      <x:c r="B1229" s="24" t="str">
        <x:v>W10</x:v>
      </x:c>
      <x:c r="C1229" s="26" t="n">
        <x:v>3</x:v>
      </x:c>
      <x:c r="D1229" s="26" t="n">
        <x:v>19</x:v>
      </x:c>
      <x:c r="E1229" s="26" t="n">
        <x:v>19</x:v>
      </x:c>
      <x:c r="F1229" s="26" t="str">
        <x:v>Auclert</x:v>
      </x:c>
      <x:c r="G1229" s="26" t="n">
        <x:v>2020</x:v>
      </x:c>
      <x:c r="H1229" s="25" t="str">
        <x:v>Micro jumps, macro humps: Monetary policy and business cycles in an estimated HANK model</x:v>
      </x:c>
      <x:c r="I1229" s="25" t="str"/>
      <x:c r="J1229" s="25" t="str"/>
      <x:c r="K1229" s="25" t="str">
        <x:v>automatic_screen_pass</x:v>
      </x:c>
      <x:c r="L1229" s="25" t="str">
        <x:v>accepted</x:v>
      </x:c>
      <x:c r="M1229" s="25" t="str">
        <x:v>no</x:v>
      </x:c>
      <x:c r="N1229" s="25" t="str">
        <x:v>saki_research/working_papers/bigio_ishide_new_keynesian_economics_through_extensive_margin.pdf</x:v>
      </x:c>
      <x:c r="O1229" s="25" t="str">
        <x:v>Auclert, Adrien, Matthew Rognlie, and Ludwig Straub, “Micro jumps, macro humps: Monetary policy and business cycles in an estimated HANK model,” Technical Report, National Bureau of Economic Research 2020.</x:v>
      </x:c>
    </x:row>
    <x:row r="1230" ht="48" customHeight="1">
      <x:c r="A1230" s="24" t="str">
        <x:v>W10-R004</x:v>
      </x:c>
      <x:c r="B1230" s="24" t="str">
        <x:v>W10</x:v>
      </x:c>
      <x:c r="C1230" s="26" t="n">
        <x:v>4</x:v>
      </x:c>
      <x:c r="D1230" s="26" t="n">
        <x:v>19</x:v>
      </x:c>
      <x:c r="E1230" s="26" t="n">
        <x:v>19</x:v>
      </x:c>
      <x:c r="F1230" s="26" t="str">
        <x:v>Barro</x:v>
      </x:c>
      <x:c r="G1230" s="26" t="n">
        <x:v>1971</x:v>
      </x:c>
      <x:c r="H1230" s="25" t="str">
        <x:v>A General Disequilibrium Model of Income and Employment</x:v>
      </x:c>
      <x:c r="I1230" s="25" t="str"/>
      <x:c r="J1230" s="25" t="str"/>
      <x:c r="K1230" s="25" t="str">
        <x:v>automatic_screen_pass</x:v>
      </x:c>
      <x:c r="L1230" s="25" t="str">
        <x:v>accepted</x:v>
      </x:c>
      <x:c r="M1230" s="25" t="str">
        <x:v>no</x:v>
      </x:c>
      <x:c r="N1230" s="25" t="str">
        <x:v>saki_research/working_papers/bigio_ishide_new_keynesian_economics_through_extensive_margin.pdf</x:v>
      </x:c>
      <x:c r="O1230" s="25" t="str">
        <x:v>Barro, Robert J. and Herschel I. Grossman, “A General Disequilibrium Model of Income and Employment,”The American Economic Review, 1971,61 (1), 82–93.</x:v>
      </x:c>
    </x:row>
    <x:row r="1231" ht="48" customHeight="1">
      <x:c r="A1231" s="24" t="str">
        <x:v>W10-R005</x:v>
      </x:c>
      <x:c r="B1231" s="24" t="str">
        <x:v>W10</x:v>
      </x:c>
      <x:c r="C1231" s="26" t="n">
        <x:v>5</x:v>
      </x:c>
      <x:c r="D1231" s="26" t="n">
        <x:v>19</x:v>
      </x:c>
      <x:c r="E1231" s="26" t="n">
        <x:v>19</x:v>
      </x:c>
      <x:c r="F1231" s="26" t="str">
        <x:v>Benigno</x:v>
      </x:c>
      <x:c r="G1231" s="26" t="n">
        <x:v>2023</x:v>
      </x:c>
      <x:c r="H1231" s="25" t="str">
        <x:v>It’s baaack: The surge in inflation in the 2020s and the return of the non-linear phillips curve</x:v>
      </x:c>
      <x:c r="I1231" s="25" t="str"/>
      <x:c r="J1231" s="25" t="str"/>
      <x:c r="K1231" s="25" t="str">
        <x:v>automatic_screen_pass</x:v>
      </x:c>
      <x:c r="L1231" s="25" t="str">
        <x:v>accepted</x:v>
      </x:c>
      <x:c r="M1231" s="25" t="str">
        <x:v>no</x:v>
      </x:c>
      <x:c r="N1231" s="25" t="str">
        <x:v>saki_research/working_papers/bigio_ishide_new_keynesian_economics_through_extensive_margin.pdf</x:v>
      </x:c>
      <x:c r="O1231" s="25" t="str">
        <x:v>Benigno, Pierpaolo and Gauti B Eggertsson, “It’s baaack: The surge in inflation in the 2020s and the return of the non-linear phillips curve,” Technical Report, National Bureau of Economic Research 2023.</x:v>
      </x:c>
    </x:row>
    <x:row r="1232" ht="48" customHeight="1">
      <x:c r="A1232" s="24" t="str">
        <x:v>W10-R006</x:v>
      </x:c>
      <x:c r="B1232" s="24" t="str">
        <x:v>W10</x:v>
      </x:c>
      <x:c r="C1232" s="26" t="n">
        <x:v>6</x:v>
      </x:c>
      <x:c r="D1232" s="26" t="n">
        <x:v>19</x:v>
      </x:c>
      <x:c r="E1232" s="26" t="n">
        <x:v>19</x:v>
      </x:c>
      <x:c r="F1232" s="26" t="str">
        <x:v>Blanchard</x:v>
      </x:c>
      <x:c r="G1232" s="26" t="n">
        <x:v>2010</x:v>
      </x:c>
      <x:c r="H1232" s="25" t="str">
        <x:v>Labor Markets and Monetary Policy: A New Keynesian Model with Unemployment</x:v>
      </x:c>
      <x:c r="I1232" s="25" t="str"/>
      <x:c r="J1232" s="25" t="str"/>
      <x:c r="K1232" s="25" t="str">
        <x:v>prior_manual_sample</x:v>
      </x:c>
      <x:c r="L1232" s="25" t="str">
        <x:v>accepted</x:v>
      </x:c>
      <x:c r="M1232" s="25" t="str">
        <x:v>no</x:v>
      </x:c>
      <x:c r="N1232" s="25" t="str">
        <x:v>saki_research/working_papers/bigio_ishide_new_keynesian_economics_through_extensive_margin.pdf</x:v>
      </x:c>
      <x:c r="O1232" s="25" t="str">
        <x:v>Blanchard, Olivier and Jordi Gali, “Labor Markets and Monetary Policy: A New Keynesian Model with Unemployment,” American Economic Journal: Macroeconomics, April 2010, 2 (2), 1–30.</x:v>
      </x:c>
    </x:row>
    <x:row r="1233" ht="48" customHeight="1">
      <x:c r="A1233" s="24" t="str">
        <x:v>W10-R007</x:v>
      </x:c>
      <x:c r="B1233" s="24" t="str">
        <x:v>W10</x:v>
      </x:c>
      <x:c r="C1233" s="26" t="n">
        <x:v>7</x:v>
      </x:c>
      <x:c r="D1233" s="26" t="n">
        <x:v>19</x:v>
      </x:c>
      <x:c r="E1233" s="26" t="n">
        <x:v>19</x:v>
      </x:c>
      <x:c r="F1233" s="26" t="str">
        <x:v>Caballero</x:v>
      </x:c>
      <x:c r="G1233" s="26" t="n">
        <x:v>1998</x:v>
      </x:c>
      <x:c r="H1233" s="25" t="str">
        <x:v>The Macroeconomics of Specificity</x:v>
      </x:c>
      <x:c r="I1233" s="25" t="str"/>
      <x:c r="J1233" s="25" t="str"/>
      <x:c r="K1233" s="25" t="str">
        <x:v>automatic_screen_pass</x:v>
      </x:c>
      <x:c r="L1233" s="25" t="str">
        <x:v>accepted</x:v>
      </x:c>
      <x:c r="M1233" s="25" t="str">
        <x:v>no</x:v>
      </x:c>
      <x:c r="N1233" s="25" t="str">
        <x:v>saki_research/working_papers/bigio_ishide_new_keynesian_economics_through_extensive_margin.pdf</x:v>
      </x:c>
      <x:c r="O1233" s="25" t="str">
        <x:v>Caballero, Ricardo J. and Mohamad L. Hammour, “The Macroeconomics of Specificity,” The Journal of Political Economy, 1998,106 (4), 724–767.</x:v>
      </x:c>
    </x:row>
    <x:row r="1234" ht="48" customHeight="1">
      <x:c r="A1234" s="24" t="str">
        <x:v>W10-R008</x:v>
      </x:c>
      <x:c r="B1234" s="24" t="str">
        <x:v>W10</x:v>
      </x:c>
      <x:c r="C1234" s="26" t="n">
        <x:v>8</x:v>
      </x:c>
      <x:c r="D1234" s="26" t="n">
        <x:v>19</x:v>
      </x:c>
      <x:c r="E1234" s="26" t="n">
        <x:v>19</x:v>
      </x:c>
      <x:c r="F1234" s="26" t="str">
        <x:v>Carlstrom</x:v>
      </x:c>
      <x:c r="G1234" s="26" t="n">
        <x:v>2005</x:v>
      </x:c>
      <x:c r="H1234" s="25" t="str">
        <x:v>Investment and interest rate policy: a discrete time analysis</x:v>
      </x:c>
      <x:c r="I1234" s="25" t="str"/>
      <x:c r="J1234" s="25" t="str"/>
      <x:c r="K1234" s="25" t="str">
        <x:v>prior_manual_sample</x:v>
      </x:c>
      <x:c r="L1234" s="25" t="str">
        <x:v>accepted</x:v>
      </x:c>
      <x:c r="M1234" s="25" t="str">
        <x:v>no</x:v>
      </x:c>
      <x:c r="N1234" s="25" t="str">
        <x:v>saki_research/working_papers/bigio_ishide_new_keynesian_economics_through_extensive_margin.pdf</x:v>
      </x:c>
      <x:c r="O1234" s="25" t="str">
        <x:v>Carlstrom, Charles T and Timothy S Fuerst, “Investment and interest rate policy: a discrete time analysis,”Journal of Economic Theory, 2005, 123(1), 4–20.</x:v>
      </x:c>
    </x:row>
    <x:row r="1235" ht="48" customHeight="1">
      <x:c r="A1235" s="24" t="str">
        <x:v>W10-R009</x:v>
      </x:c>
      <x:c r="B1235" s="24" t="str">
        <x:v>W10</x:v>
      </x:c>
      <x:c r="C1235" s="26" t="n">
        <x:v>9</x:v>
      </x:c>
      <x:c r="D1235" s="26" t="n">
        <x:v>19</x:v>
      </x:c>
      <x:c r="E1235" s="26" t="n">
        <x:v>19</x:v>
      </x:c>
      <x:c r="F1235" s="26" t="str">
        <x:v>Christiano</x:v>
      </x:c>
      <x:c r="G1235" s="26" t="n">
        <x:v>2016</x:v>
      </x:c>
      <x:c r="H1235" s="25" t="str">
        <x:v>Unemployment and business cycles</x:v>
      </x:c>
      <x:c r="I1235" s="25" t="str"/>
      <x:c r="J1235" s="25" t="str"/>
      <x:c r="K1235" s="25" t="str">
        <x:v>automatic_screen_pass</x:v>
      </x:c>
      <x:c r="L1235" s="25" t="str">
        <x:v>accepted</x:v>
      </x:c>
      <x:c r="M1235" s="25" t="str">
        <x:v>no</x:v>
      </x:c>
      <x:c r="N1235" s="25" t="str">
        <x:v>saki_research/working_papers/bigio_ishide_new_keynesian_economics_through_extensive_margin.pdf</x:v>
      </x:c>
      <x:c r="O1235" s="25" t="str">
        <x:v>Christiano, Lawrence J, Martin S Eichenbaum, and Mathias Trabandt, “Unemployment and business cycles,”Econometrica, 2016,84 (4), 1523–1569.</x:v>
      </x:c>
    </x:row>
    <x:row r="1236" ht="48" customHeight="1">
      <x:c r="A1236" s="24" t="str">
        <x:v>W10-R010</x:v>
      </x:c>
      <x:c r="B1236" s="24" t="str">
        <x:v>W10</x:v>
      </x:c>
      <x:c r="C1236" s="26" t="n">
        <x:v>10</x:v>
      </x:c>
      <x:c r="D1236" s="26" t="n">
        <x:v>19</x:v>
      </x:c>
      <x:c r="E1236" s="26" t="n">
        <x:v>19</x:v>
      </x:c>
      <x:c r="F1236" s="26" t="str">
        <x:v>Dupor</x:v>
      </x:c>
      <x:c r="G1236" s="26" t="n">
        <x:v>2001</x:v>
      </x:c>
      <x:c r="H1236" s="25" t="str">
        <x:v>Investment and interest rate policy</x:v>
      </x:c>
      <x:c r="I1236" s="25" t="str"/>
      <x:c r="J1236" s="25" t="str"/>
      <x:c r="K1236" s="25" t="str">
        <x:v>automatic_screen_pass</x:v>
      </x:c>
      <x:c r="L1236" s="25" t="str">
        <x:v>accepted</x:v>
      </x:c>
      <x:c r="M1236" s="25" t="str">
        <x:v>no</x:v>
      </x:c>
      <x:c r="N1236" s="25" t="str">
        <x:v>saki_research/working_papers/bigio_ishide_new_keynesian_economics_through_extensive_margin.pdf</x:v>
      </x:c>
      <x:c r="O1236" s="25" t="str">
        <x:v>Dupor, Bill, “Investment and interest rate policy,” Journal of Economic Theory, 2001, 98 (1), 85– 113.</x:v>
      </x:c>
    </x:row>
    <x:row r="1237" ht="48" customHeight="1">
      <x:c r="A1237" s="24" t="str">
        <x:v>W10-R011</x:v>
      </x:c>
      <x:c r="B1237" s="24" t="str">
        <x:v>W10</x:v>
      </x:c>
      <x:c r="C1237" s="26" t="n">
        <x:v>11</x:v>
      </x:c>
      <x:c r="D1237" s="26" t="n">
        <x:v>19</x:v>
      </x:c>
      <x:c r="E1237" s="26" t="n">
        <x:v>19</x:v>
      </x:c>
      <x:c r="F1237" s="26" t="str">
        <x:v>Gabaix</x:v>
      </x:c>
      <x:c r="G1237" s="26" t="n">
        <x:v>2001</x:v>
      </x:c>
      <x:c r="H1237" s="25" t="str">
        <x:v>The 6D bias and the equity-premium puzzle</x:v>
      </x:c>
      <x:c r="I1237" s="25" t="str"/>
      <x:c r="J1237" s="25" t="str"/>
      <x:c r="K1237" s="25" t="str">
        <x:v>automatic_screen_pass</x:v>
      </x:c>
      <x:c r="L1237" s="25" t="str">
        <x:v>accepted</x:v>
      </x:c>
      <x:c r="M1237" s="25" t="str">
        <x:v>no</x:v>
      </x:c>
      <x:c r="N1237" s="25" t="str">
        <x:v>saki_research/working_papers/bigio_ishide_new_keynesian_economics_through_extensive_margin.pdf</x:v>
      </x:c>
      <x:c r="O1237" s="25" t="str">
        <x:v>Gabaix, Xavier and David Laibson, “The 6D bias and the equity-premium puzzle,” NBER macroeconomics annual, 2001, 16, 257–312.</x:v>
      </x:c>
    </x:row>
    <x:row r="1238" ht="48" customHeight="1">
      <x:c r="A1238" s="24" t="str">
        <x:v>W10-R012</x:v>
      </x:c>
      <x:c r="B1238" s="24" t="str">
        <x:v>W10</x:v>
      </x:c>
      <x:c r="C1238" s="26" t="n">
        <x:v>12</x:v>
      </x:c>
      <x:c r="D1238" s="26" t="n">
        <x:v>20</x:v>
      </x:c>
      <x:c r="E1238" s="26" t="n">
        <x:v>20</x:v>
      </x:c>
      <x:c r="F1238" s="26" t="str">
        <x:v>Gertler</x:v>
      </x:c>
      <x:c r="G1238" s="26" t="n">
        <x:v>2008</x:v>
      </x:c>
      <x:c r="H1238" s="25" t="str">
        <x:v>An Estimated Monetary DSGE Model with UnemploymentandStaggeredNominalWageBargaining</x:v>
      </x:c>
      <x:c r="I1238" s="25" t="str"/>
      <x:c r="J1238" s="25" t="str"/>
      <x:c r="K1238" s="25" t="str">
        <x:v>automatic_screen_pass</x:v>
      </x:c>
      <x:c r="L1238" s="25" t="str">
        <x:v>accepted</x:v>
      </x:c>
      <x:c r="M1238" s="25" t="str">
        <x:v>no</x:v>
      </x:c>
      <x:c r="N1238" s="25" t="str">
        <x:v>saki_research/working_papers/bigio_ishide_new_keynesian_economics_through_extensive_margin.pdf</x:v>
      </x:c>
      <x:c r="O1238" s="25" t="str">
        <x:v>Gertler, Mark, LucaSala, andAntonellaTrigari, “An Estimated Monetary DSGE Model with UnemploymentandStaggeredNominalWageBargaining,”JournalofMoney,CreditandBanking, 2008, 40 (8), 1713–1764.</x:v>
      </x:c>
    </x:row>
    <x:row r="1239" ht="48" customHeight="1">
      <x:c r="A1239" s="24" t="str">
        <x:v>W10-R013</x:v>
      </x:c>
      <x:c r="B1239" s="24" t="str">
        <x:v>W10</x:v>
      </x:c>
      <x:c r="C1239" s="26" t="n">
        <x:v>13</x:v>
      </x:c>
      <x:c r="D1239" s="26" t="n">
        <x:v>20</x:v>
      </x:c>
      <x:c r="E1239" s="26" t="n">
        <x:v>20</x:v>
      </x:c>
      <x:c r="F1239" s="26" t="str">
        <x:v>Kekre</x:v>
      </x:c>
      <x:c r="G1239" s="26" t="n">
        <x:v>2023</x:v>
      </x:c>
      <x:c r="H1239" s="25" t="str">
        <x:v>Unemploymentinsuranceinmacroeconomicstabilization</x:v>
      </x:c>
      <x:c r="I1239" s="25" t="str"/>
      <x:c r="J1239" s="25" t="str"/>
      <x:c r="K1239" s="25" t="str">
        <x:v>automatic_screen_pass</x:v>
      </x:c>
      <x:c r="L1239" s="25" t="str">
        <x:v>accepted</x:v>
      </x:c>
      <x:c r="M1239" s="25" t="str">
        <x:v>no</x:v>
      </x:c>
      <x:c r="N1239" s="25" t="str">
        <x:v>saki_research/working_papers/bigio_ishide_new_keynesian_economics_through_extensive_margin.pdf</x:v>
      </x:c>
      <x:c r="O1239" s="25" t="str">
        <x:v>Kekre,Rohan,“Unemploymentinsuranceinmacroeconomicstabilization,”ReviewofEconomic Studies, 2023, 90 (5), 2439–2480.</x:v>
      </x:c>
    </x:row>
    <x:row r="1240" ht="48" customHeight="1">
      <x:c r="A1240" s="24" t="str">
        <x:v>W10-R014</x:v>
      </x:c>
      <x:c r="B1240" s="24" t="str">
        <x:v>W10</x:v>
      </x:c>
      <x:c r="C1240" s="26" t="n">
        <x:v>14</x:v>
      </x:c>
      <x:c r="D1240" s="26" t="n">
        <x:v>20</x:v>
      </x:c>
      <x:c r="E1240" s="26" t="n">
        <x:v>20</x:v>
      </x:c>
      <x:c r="F1240" s="26" t="str">
        <x:v>Kurozumi</x:v>
      </x:c>
      <x:c r="G1240" s="26" t="n">
        <x:v>2010</x:v>
      </x:c>
      <x:c r="H1240" s="25" t="str">
        <x:v>Labor market search, the Taylor principle, and indeterminacy</x:v>
      </x:c>
      <x:c r="I1240" s="25" t="str"/>
      <x:c r="J1240" s="25" t="str"/>
      <x:c r="K1240" s="25" t="str">
        <x:v>prior_manual_sample</x:v>
      </x:c>
      <x:c r="L1240" s="25" t="str">
        <x:v>accepted</x:v>
      </x:c>
      <x:c r="M1240" s="25" t="str">
        <x:v>no</x:v>
      </x:c>
      <x:c r="N1240" s="25" t="str">
        <x:v>saki_research/working_papers/bigio_ishide_new_keynesian_economics_through_extensive_margin.pdf</x:v>
      </x:c>
      <x:c r="O1240" s="25" t="str">
        <x:v>Kurozumi,TakushiandWillemVanZandweghe, “Labor market search, the Taylor principle, and indeterminacy,”Journal of Monetary Economics, 2010, 57 (7), 851–858.</x:v>
      </x:c>
    </x:row>
    <x:row r="1241" ht="48" customHeight="1">
      <x:c r="A1241" s="24" t="str">
        <x:v>W10-R015</x:v>
      </x:c>
      <x:c r="B1241" s="24" t="str">
        <x:v>W10</x:v>
      </x:c>
      <x:c r="C1241" s="26" t="n">
        <x:v>15</x:v>
      </x:c>
      <x:c r="D1241" s="26" t="n">
        <x:v>20</x:v>
      </x:c>
      <x:c r="E1241" s="26" t="n">
        <x:v>20</x:v>
      </x:c>
      <x:c r="F1241" s="26" t="str">
        <x:v>Mankiw</x:v>
      </x:c>
      <x:c r="G1241" s="26" t="n">
        <x:v>2002</x:v>
      </x:c>
      <x:c r="H1241" s="25" t="str">
        <x:v>Sticky information versus sticky prices: a proposal to replace the New Keynesian Phillips curve</x:v>
      </x:c>
      <x:c r="I1241" s="25" t="str"/>
      <x:c r="J1241" s="25" t="str"/>
      <x:c r="K1241" s="25" t="str">
        <x:v>prior_manual_sample</x:v>
      </x:c>
      <x:c r="L1241" s="25" t="str">
        <x:v>accepted</x:v>
      </x:c>
      <x:c r="M1241" s="25" t="str">
        <x:v>no</x:v>
      </x:c>
      <x:c r="N1241" s="25" t="str">
        <x:v>saki_research/working_papers/bigio_ishide_new_keynesian_economics_through_extensive_margin.pdf</x:v>
      </x:c>
      <x:c r="O1241" s="25" t="str">
        <x:v>Mankiw,NGregoryandRicardoReis, “Sticky information versus sticky prices: a proposal to replace the New Keynesian Phillips curve,” The Quarterly Journal of Economics, 2002, 117 (4), 1295–1328.</x:v>
      </x:c>
    </x:row>
    <x:row r="1242" ht="48" customHeight="1">
      <x:c r="A1242" s="24" t="str">
        <x:v>W10-R016</x:v>
      </x:c>
      <x:c r="B1242" s="24" t="str">
        <x:v>W10</x:v>
      </x:c>
      <x:c r="C1242" s="26" t="n">
        <x:v>16</x:v>
      </x:c>
      <x:c r="D1242" s="26" t="n">
        <x:v>20</x:v>
      </x:c>
      <x:c r="E1242" s="26" t="n">
        <x:v>20</x:v>
      </x:c>
      <x:c r="F1242" s="26" t="str">
        <x:v>Mankiw</x:v>
      </x:c>
      <x:c r="G1242" s="26" t="n">
        <x:v>2007</x:v>
      </x:c>
      <x:c r="H1242" s="25" t="str">
        <x:v>Sticky information in general equilibrium</x:v>
      </x:c>
      <x:c r="I1242" s="25" t="str">
        <x:v>inherited_author_notation</x:v>
      </x:c>
      <x:c r="J1242" s="25" t="str"/>
      <x:c r="K1242" s="25" t="str">
        <x:v>prior_manual_sample</x:v>
      </x:c>
      <x:c r="L1242" s="25" t="str">
        <x:v>accepted</x:v>
      </x:c>
      <x:c r="M1242" s="25" t="str">
        <x:v>no</x:v>
      </x:c>
      <x:c r="N1242" s="25" t="str">
        <x:v>saki_research/working_papers/bigio_ishide_new_keynesian_economics_through_extensive_margin.pdf</x:v>
      </x:c>
      <x:c r="O1242" s="25" t="str">
        <x:v>and , “Sticky information in general equilibrium,” Journal of the European Economic Association, 2007,5(2-3), 603–613.</x:v>
      </x:c>
    </x:row>
    <x:row r="1243" ht="48" customHeight="1">
      <x:c r="A1243" s="24" t="str">
        <x:v>W10-R017</x:v>
      </x:c>
      <x:c r="B1243" s="24" t="str">
        <x:v>W10</x:v>
      </x:c>
      <x:c r="C1243" s="26" t="n">
        <x:v>17</x:v>
      </x:c>
      <x:c r="D1243" s="26" t="n">
        <x:v>20</x:v>
      </x:c>
      <x:c r="E1243" s="26" t="n">
        <x:v>20</x:v>
      </x:c>
      <x:c r="F1243" s="26" t="str">
        <x:v>Michaillat</x:v>
      </x:c>
      <x:c r="G1243" s="26" t="n">
        <x:v>2015</x:v>
      </x:c>
      <x:c r="H1243" s="25" t="str">
        <x:v>AggregateDemand,IdleTime,andUnemployment</x:v>
      </x:c>
      <x:c r="I1243" s="25" t="str"/>
      <x:c r="J1243" s="25" t="str"/>
      <x:c r="K1243" s="25" t="str">
        <x:v>automatic_screen_pass</x:v>
      </x:c>
      <x:c r="L1243" s="25" t="str">
        <x:v>accepted</x:v>
      </x:c>
      <x:c r="M1243" s="25" t="str">
        <x:v>no</x:v>
      </x:c>
      <x:c r="N1243" s="25" t="str">
        <x:v>saki_research/working_papers/bigio_ishide_new_keynesian_economics_through_extensive_margin.pdf</x:v>
      </x:c>
      <x:c r="O1243" s="25" t="str">
        <x:v>Michaillat,PascalandEmmanuelSaez,“AggregateDemand,IdleTime,andUnemployment,” The Quarterly Journal of Economics, 2015, 130 (2), 507–569.</x:v>
      </x:c>
    </x:row>
    <x:row r="1244" ht="48" customHeight="1">
      <x:c r="A1244" s="24" t="str">
        <x:v>W10-R018</x:v>
      </x:c>
      <x:c r="B1244" s="24" t="str">
        <x:v>W10</x:v>
      </x:c>
      <x:c r="C1244" s="26" t="n">
        <x:v>18</x:v>
      </x:c>
      <x:c r="D1244" s="26" t="n">
        <x:v>20</x:v>
      </x:c>
      <x:c r="E1244" s="26" t="n">
        <x:v>20</x:v>
      </x:c>
      <x:c r="F1244" s="26" t="str">
        <x:v>Michaillat</x:v>
      </x:c>
      <x:c r="G1244" s="26" t="n">
        <x:v>2024</x:v>
      </x:c>
      <x:c r="H1244" s="25" t="str">
        <x:v>Beveridgean Phillips Curve</x:v>
      </x:c>
      <x:c r="I1244" s="25" t="str">
        <x:v>inherited_author_notation</x:v>
      </x:c>
      <x:c r="J1244" s="25" t="str"/>
      <x:c r="K1244" s="25" t="str">
        <x:v>prior_manual_sample</x:v>
      </x:c>
      <x:c r="L1244" s="25" t="str">
        <x:v>accepted</x:v>
      </x:c>
      <x:c r="M1244" s="25" t="str">
        <x:v>no</x:v>
      </x:c>
      <x:c r="N1244" s="25" t="str">
        <x:v>saki_research/working_papers/bigio_ishide_new_keynesian_economics_through_extensive_margin.pdf</x:v>
      </x:c>
      <x:c r="O1244" s="25" t="str">
        <x:v>and , “Beveridgean Phillips Curve,” Technical Report arXiv:2401.12475v2 2024.</x:v>
      </x:c>
    </x:row>
    <x:row r="1245" ht="48" customHeight="1">
      <x:c r="A1245" s="24" t="str">
        <x:v>W10-R019</x:v>
      </x:c>
      <x:c r="B1245" s="24" t="str">
        <x:v>W10</x:v>
      </x:c>
      <x:c r="C1245" s="26" t="n">
        <x:v>19</x:v>
      </x:c>
      <x:c r="D1245" s="26" t="n">
        <x:v>20</x:v>
      </x:c>
      <x:c r="E1245" s="26" t="n">
        <x:v>20</x:v>
      </x:c>
      <x:c r="F1245" s="26" t="str">
        <x:v>Mortensen</x:v>
      </x:c>
      <x:c r="G1245" s="26" t="n">
        <x:v>1994</x:v>
      </x:c>
      <x:c r="H1245" s="25" t="str">
        <x:v>Job creation and job destruction in the theory of unemployment</x:v>
      </x:c>
      <x:c r="I1245" s="25" t="str"/>
      <x:c r="J1245" s="25" t="str"/>
      <x:c r="K1245" s="25" t="str">
        <x:v>automatic_screen_pass</x:v>
      </x:c>
      <x:c r="L1245" s="25" t="str">
        <x:v>accepted</x:v>
      </x:c>
      <x:c r="M1245" s="25" t="str">
        <x:v>no</x:v>
      </x:c>
      <x:c r="N1245" s="25" t="str">
        <x:v>saki_research/working_papers/bigio_ishide_new_keynesian_economics_through_extensive_margin.pdf</x:v>
      </x:c>
      <x:c r="O1245" s="25" t="str">
        <x:v>Mortensen, Dale T and Christopher A Pissarides, “Job creation and job destruction in the theory of unemployment,”The review of economic studies, 1994,61 (3), 397–415.</x:v>
      </x:c>
    </x:row>
    <x:row r="1246" ht="48" customHeight="1">
      <x:c r="A1246" s="24" t="str">
        <x:v>W10-R020</x:v>
      </x:c>
      <x:c r="B1246" s="24" t="str">
        <x:v>W10</x:v>
      </x:c>
      <x:c r="C1246" s="26" t="n">
        <x:v>20</x:v>
      </x:c>
      <x:c r="D1246" s="26" t="n">
        <x:v>20</x:v>
      </x:c>
      <x:c r="E1246" s="26" t="n">
        <x:v>20</x:v>
      </x:c>
      <x:c r="F1246" s="26" t="str">
        <x:v>Ravn</x:v>
      </x:c>
      <x:c r="G1246" s="26" t="n">
        <x:v>2017</x:v>
      </x:c>
      <x:c r="H1246" s="25" t="str">
        <x:v>Jobuncertaintyanddeeprecessions</x:v>
      </x:c>
      <x:c r="I1246" s="25" t="str"/>
      <x:c r="J1246" s="25" t="str"/>
      <x:c r="K1246" s="25" t="str">
        <x:v>automatic_screen_pass</x:v>
      </x:c>
      <x:c r="L1246" s="25" t="str">
        <x:v>accepted</x:v>
      </x:c>
      <x:c r="M1246" s="25" t="str">
        <x:v>no</x:v>
      </x:c>
      <x:c r="N1246" s="25" t="str">
        <x:v>saki_research/working_papers/bigio_ishide_new_keynesian_economics_through_extensive_margin.pdf</x:v>
      </x:c>
      <x:c r="O1246" s="25" t="str">
        <x:v>Ravn,MortenOandVincentSterk,“Jobuncertaintyanddeeprecessions,”JournalofMonetary Economics, 2017,90, 125–141.</x:v>
      </x:c>
    </x:row>
    <x:row r="1247" ht="48" customHeight="1">
      <x:c r="A1247" s="24" t="str">
        <x:v>W10-R021</x:v>
      </x:c>
      <x:c r="B1247" s="24" t="str">
        <x:v>W10</x:v>
      </x:c>
      <x:c r="C1247" s="26" t="n">
        <x:v>21</x:v>
      </x:c>
      <x:c r="D1247" s="26" t="n">
        <x:v>20</x:v>
      </x:c>
      <x:c r="E1247" s="26" t="n">
        <x:v>20</x:v>
      </x:c>
      <x:c r="F1247" s="26" t="str">
        <x:v>Reis</x:v>
      </x:c>
      <x:c r="G1247" s="26" t="n">
        <x:v>2006</x:v>
      </x:c>
      <x:c r="H1247" s="25" t="str">
        <x:v>Inattentive consumers</x:v>
      </x:c>
      <x:c r="I1247" s="25" t="str"/>
      <x:c r="J1247" s="25" t="str"/>
      <x:c r="K1247" s="25" t="str">
        <x:v>automatic_screen_pass</x:v>
      </x:c>
      <x:c r="L1247" s="25" t="str">
        <x:v>accepted</x:v>
      </x:c>
      <x:c r="M1247" s="25" t="str">
        <x:v>no</x:v>
      </x:c>
      <x:c r="N1247" s="25" t="str">
        <x:v>saki_research/working_papers/bigio_ishide_new_keynesian_economics_through_extensive_margin.pdf</x:v>
      </x:c>
      <x:c r="O1247" s="25" t="str">
        <x:v>Reis,Ricardo, “Inattentive consumers,”Journal of monetary Economics, 2006, 53 (8), 1761–1800.</x:v>
      </x:c>
    </x:row>
    <x:row r="1248" ht="48" customHeight="1">
      <x:c r="A1248" s="24" t="str">
        <x:v>W10-R022</x:v>
      </x:c>
      <x:c r="B1248" s="24" t="str">
        <x:v>W10</x:v>
      </x:c>
      <x:c r="C1248" s="26" t="n">
        <x:v>22</x:v>
      </x:c>
      <x:c r="D1248" s="26" t="n">
        <x:v>20</x:v>
      </x:c>
      <x:c r="E1248" s="26" t="n">
        <x:v>20</x:v>
      </x:c>
      <x:c r="F1248" s="26" t="str">
        <x:v>Rupert</x:v>
      </x:c>
      <x:c r="G1248" s="26" t="n">
        <x:v>2019</x:v>
      </x:c>
      <x:c r="H1248" s="25" t="str">
        <x:v>On the mechanics of New-Keynesian models</x:v>
      </x:c>
      <x:c r="I1248" s="25" t="str"/>
      <x:c r="J1248" s="25" t="str"/>
      <x:c r="K1248" s="25" t="str">
        <x:v>prior_manual_sample</x:v>
      </x:c>
      <x:c r="L1248" s="25" t="str">
        <x:v>accepted</x:v>
      </x:c>
      <x:c r="M1248" s="25" t="str">
        <x:v>no</x:v>
      </x:c>
      <x:c r="N1248" s="25" t="str">
        <x:v>saki_research/working_papers/bigio_ishide_new_keynesian_economics_through_extensive_margin.pdf</x:v>
      </x:c>
      <x:c r="O1248" s="25" t="str">
        <x:v>Rupert, Peter and Roman Šustek, “On the mechanics of New-Keynesian models,” Journal of Monetary Economics, 2019,102, 53–69.</x:v>
      </x:c>
    </x:row>
    <x:row r="1249" ht="48" customHeight="1">
      <x:c r="A1249" s="24" t="str">
        <x:v>W10-R023</x:v>
      </x:c>
      <x:c r="B1249" s="24" t="str">
        <x:v>W10</x:v>
      </x:c>
      <x:c r="C1249" s="26" t="n">
        <x:v>23</x:v>
      </x:c>
      <x:c r="D1249" s="26" t="n">
        <x:v>20</x:v>
      </x:c>
      <x:c r="E1249" s="26" t="n">
        <x:v>20</x:v>
      </x:c>
      <x:c r="F1249" s="26" t="str">
        <x:v>Shimer</x:v>
      </x:c>
      <x:c r="G1249" s="26" t="n">
        <x:v>2005</x:v>
      </x:c>
      <x:c r="H1249" s="25" t="str">
        <x:v>The cyclical behavior of equilibrium unemployment and vacancies</x:v>
      </x:c>
      <x:c r="I1249" s="25" t="str"/>
      <x:c r="J1249" s="25" t="str"/>
      <x:c r="K1249" s="25" t="str">
        <x:v>automatic_screen_pass</x:v>
      </x:c>
      <x:c r="L1249" s="25" t="str">
        <x:v>accepted</x:v>
      </x:c>
      <x:c r="M1249" s="25" t="str">
        <x:v>no</x:v>
      </x:c>
      <x:c r="N1249" s="25" t="str">
        <x:v>saki_research/working_papers/bigio_ishide_new_keynesian_economics_through_extensive_margin.pdf</x:v>
      </x:c>
      <x:c r="O1249" s="25" t="str">
        <x:v>Shimer, Robert, “The cyclical behavior of equilibrium unemployment and vacancies,” American Economic Review, 2005, 95 (1), 25–49.</x:v>
      </x:c>
    </x:row>
    <x:row r="1250" ht="48" customHeight="1">
      <x:c r="A1250" s="24" t="str">
        <x:v>W08-R001</x:v>
      </x:c>
      <x:c r="B1250" s="24" t="str">
        <x:v>W08</x:v>
      </x:c>
      <x:c r="C1250" s="26" t="n">
        <x:v>1</x:v>
      </x:c>
      <x:c r="D1250" s="26" t="n">
        <x:v>50</x:v>
      </x:c>
      <x:c r="E1250" s="26" t="n">
        <x:v>50</x:v>
      </x:c>
      <x:c r="F1250" s="26" t="str">
        <x:v>Alvarez</x:v>
      </x:c>
      <x:c r="G1250" s="26" t="n">
        <x:v>2021</x:v>
      </x:c>
      <x:c r="H1250" s="25" t="str">
        <x:v>Mandatorydisclosureandfinancialcontagion</x:v>
      </x:c>
      <x:c r="I1250" s="25" t="str"/>
      <x:c r="J1250" s="25" t="str"/>
      <x:c r="K1250" s="25" t="str">
        <x:v>automatic_screen_pass</x:v>
      </x:c>
      <x:c r="L1250" s="25" t="str">
        <x:v>accepted</x:v>
      </x:c>
      <x:c r="M1250" s="25" t="str">
        <x:v>no</x:v>
      </x:c>
      <x:c r="N1250" s="25" t="str">
        <x:v>saki_research/working_papers/bigio_mendez_patten_theory_payments_chain_crises.pdf</x:v>
      </x:c>
      <x:c r="O1250" s="25" t="str">
        <x:v>Alvarez,FernandoandGadiBarlevy,“Mandatorydisclosureandfinancialcontagion,” Journal of Economic Theory, 6 2021, 194, 105237.1</x:v>
      </x:c>
    </x:row>
    <x:row r="1251" ht="48" customHeight="1">
      <x:c r="A1251" s="24" t="str">
        <x:v>W08-R002</x:v>
      </x:c>
      <x:c r="B1251" s="24" t="str">
        <x:v>W08</x:v>
      </x:c>
      <x:c r="C1251" s="26" t="n">
        <x:v>2</x:v>
      </x:c>
      <x:c r="D1251" s="26" t="n">
        <x:v>51</x:v>
      </x:c>
      <x:c r="E1251" s="26" t="n">
        <x:v>51</x:v>
      </x:c>
      <x:c r="F1251" s="26" t="str">
        <x:v>Alvarez</x:v>
      </x:c>
      <x:c r="G1251" s="26" t="n">
        <x:v>2023</x:v>
      </x:c>
      <x:c r="H1251" s="25" t="str">
        <x:v>Strategic Complementarities in a Dynamic Model of Technology Adoption: P2P Digital Payments</x:v>
      </x:c>
      <x:c r="I1251" s="25" t="str"/>
      <x:c r="J1251" s="25" t="str"/>
      <x:c r="K1251" s="25" t="str">
        <x:v>automatic_screen_pass</x:v>
      </x:c>
      <x:c r="L1251" s="25" t="str">
        <x:v>accepted</x:v>
      </x:c>
      <x:c r="M1251" s="25" t="str">
        <x:v>no</x:v>
      </x:c>
      <x:c r="N1251" s="25" t="str">
        <x:v>saki_research/working_papers/bigio_mendez_patten_theory_payments_chain_crises.pdf</x:v>
      </x:c>
      <x:c r="O1251" s="25" t="str">
        <x:v>Alvarez, Fernando E, David Argente, Francesco Lippi, Esteban M ́endez, and Diana Van Patten, “Strategic Complementarities in a Dynamic Model of Technology Adoption: P2P Digital Payments,” Working Paper 31280, National Bureau of Economic Research May 2023.5</x:v>
      </x:c>
    </x:row>
    <x:row r="1252" ht="48" customHeight="1">
      <x:c r="A1252" s="24" t="str">
        <x:v>W08-R003</x:v>
      </x:c>
      <x:c r="B1252" s="24" t="str">
        <x:v>W08</x:v>
      </x:c>
      <x:c r="C1252" s="26" t="n">
        <x:v>3</x:v>
      </x:c>
      <x:c r="D1252" s="26" t="n">
        <x:v>51</x:v>
      </x:c>
      <x:c r="E1252" s="26" t="n">
        <x:v>51</x:v>
      </x:c>
      <x:c r="F1252" s="26" t="str">
        <x:v>Argente</x:v>
      </x:c>
      <x:c r="G1252" s="26" t="n">
        <x:v>2025</x:v>
      </x:c>
      <x:c r="H1252" s="25" t="str">
        <x:v>Cross-Border Product Adoption: Individual Imports, Migrant Networks, and Domestic Retailers</x:v>
      </x:c>
      <x:c r="I1252" s="25" t="str"/>
      <x:c r="J1252" s="25" t="str"/>
      <x:c r="K1252" s="25" t="str">
        <x:v>automatic_screen_pass</x:v>
      </x:c>
      <x:c r="L1252" s="25" t="str">
        <x:v>accepted</x:v>
      </x:c>
      <x:c r="M1252" s="25" t="str">
        <x:v>no</x:v>
      </x:c>
      <x:c r="N1252" s="25" t="str">
        <x:v>saki_research/working_papers/bigio_mendez_patten_theory_payments_chain_crises.pdf</x:v>
      </x:c>
      <x:c r="O1252" s="25" t="str">
        <x:v>Argente, David, Esteban M ́endez, and Diana Van Patten, “Cross-Border Product Adoption: Individual Imports, Migrant Networks, and Domestic Retailers,” 2025.5</x:v>
      </x:c>
    </x:row>
    <x:row r="1253" ht="48" customHeight="1">
      <x:c r="A1253" s="24" t="str">
        <x:v>W08-R004</x:v>
      </x:c>
      <x:c r="B1253" s="24" t="str">
        <x:v>W08</x:v>
      </x:c>
      <x:c r="C1253" s="26" t="n">
        <x:v>4</x:v>
      </x:c>
      <x:c r="D1253" s="26" t="n">
        <x:v>51</x:v>
      </x:c>
      <x:c r="E1253" s="26" t="n">
        <x:v>51</x:v>
      </x:c>
      <x:c r="F1253" s="26" t="str">
        <x:v>Barrot</x:v>
      </x:c>
      <x:c r="G1253" s="26" t="n">
        <x:v>2016</x:v>
      </x:c>
      <x:c r="H1253" s="25" t="str">
        <x:v>Trade Credit and Industry Dynamics: Evidence from Trucking Firms</x:v>
      </x:c>
      <x:c r="I1253" s="25" t="str"/>
      <x:c r="J1253" s="25" t="str"/>
      <x:c r="K1253" s="25" t="str">
        <x:v>automatic_screen_pass</x:v>
      </x:c>
      <x:c r="L1253" s="25" t="str">
        <x:v>accepted</x:v>
      </x:c>
      <x:c r="M1253" s="25" t="str">
        <x:v>no</x:v>
      </x:c>
      <x:c r="N1253" s="25" t="str">
        <x:v>saki_research/working_papers/bigio_mendez_patten_theory_payments_chain_crises.pdf</x:v>
      </x:c>
      <x:c r="O1253" s="25" t="str">
        <x:v>Barrot, Jean-Noel, “Trade Credit and Industry Dynamics: Evidence from Trucking Firms,” The Journal of Finance, 2016,71 (5), 1975–2016.1</x:v>
      </x:c>
    </x:row>
    <x:row r="1254" ht="48" customHeight="1">
      <x:c r="A1254" s="24" t="str">
        <x:v>W08-R005</x:v>
      </x:c>
      <x:c r="B1254" s="24" t="str">
        <x:v>W08</x:v>
      </x:c>
      <x:c r="C1254" s="26" t="n">
        <x:v>5</x:v>
      </x:c>
      <x:c r="D1254" s="26" t="n">
        <x:v>51</x:v>
      </x:c>
      <x:c r="E1254" s="26" t="n">
        <x:v>51</x:v>
      </x:c>
      <x:c r="F1254" s="26" t="str">
        <x:v>Biais</x:v>
      </x:c>
      <x:c r="G1254" s="26" t="n">
        <x:v>1997</x:v>
      </x:c>
      <x:c r="H1254" s="25" t="str">
        <x:v>TradeCreditandCreditRationing</x:v>
      </x:c>
      <x:c r="I1254" s="25" t="str"/>
      <x:c r="J1254" s="25" t="str"/>
      <x:c r="K1254" s="25" t="str">
        <x:v>automatic_screen_pass</x:v>
      </x:c>
      <x:c r="L1254" s="25" t="str">
        <x:v>accepted</x:v>
      </x:c>
      <x:c r="M1254" s="25" t="str">
        <x:v>no</x:v>
      </x:c>
      <x:c r="N1254" s="25" t="str">
        <x:v>saki_research/working_papers/bigio_mendez_patten_theory_payments_chain_crises.pdf</x:v>
      </x:c>
      <x:c r="O1254" s="25" t="str">
        <x:v>Biais,BrunoandChristianGollier,“TradeCreditandCreditRationing,” TheReviewof Financial Studies, October 1997,10(4), 903–937.3</x:v>
      </x:c>
    </x:row>
    <x:row r="1255" ht="48" customHeight="1">
      <x:c r="A1255" s="24" t="str">
        <x:v>W08-R006</x:v>
      </x:c>
      <x:c r="B1255" s="24" t="str">
        <x:v>W08</x:v>
      </x:c>
      <x:c r="C1255" s="26" t="n">
        <x:v>6</x:v>
      </x:c>
      <x:c r="D1255" s="26" t="n">
        <x:v>51</x:v>
      </x:c>
      <x:c r="E1255" s="26" t="n">
        <x:v>51</x:v>
      </x:c>
      <x:c r="F1255" s="26" t="str">
        <x:v>Bigio</x:v>
      </x:c>
      <x:c r="G1255" s="26" t="n">
        <x:v>2013</x:v>
      </x:c>
      <x:c r="H1255" s="25" t="str">
        <x:v>Financial Frictions in Production Networks</x:v>
      </x:c>
      <x:c r="I1255" s="25" t="str"/>
      <x:c r="J1255" s="25" t="str"/>
      <x:c r="K1255" s="25" t="str">
        <x:v>automatic_screen_pass</x:v>
      </x:c>
      <x:c r="L1255" s="25" t="str">
        <x:v>accepted</x:v>
      </x:c>
      <x:c r="M1255" s="25" t="str">
        <x:v>no</x:v>
      </x:c>
      <x:c r="N1255" s="25" t="str">
        <x:v>saki_research/working_papers/bigio_mendez_patten_theory_payments_chain_crises.pdf</x:v>
      </x:c>
      <x:c r="O1255" s="25" t="str">
        <x:v>Bigio, Saki and Jennifer La’O, “Financial Frictions in Production Networks,” 2013.1</x:v>
      </x:c>
    </x:row>
    <x:row r="1256" ht="48" customHeight="1">
      <x:c r="A1256" s="24" t="str">
        <x:v>W08-R007</x:v>
      </x:c>
      <x:c r="B1256" s="24" t="str">
        <x:v>W08</x:v>
      </x:c>
      <x:c r="C1256" s="26" t="n">
        <x:v>7</x:v>
      </x:c>
      <x:c r="D1256" s="26" t="n">
        <x:v>51</x:v>
      </x:c>
      <x:c r="E1256" s="26" t="n">
        <x:v>51</x:v>
      </x:c>
      <x:c r="F1256" s="26" t="str">
        <x:v>Bocola</x:v>
      </x:c>
      <x:c r="G1256" s="26" t="n">
        <x:v>2022</x:v>
      </x:c>
      <x:c r="H1256" s="25" t="str">
        <x:v>Trade credit and financial amplification</x:v>
      </x:c>
      <x:c r="I1256" s="25" t="str"/>
      <x:c r="J1256" s="25" t="str"/>
      <x:c r="K1256" s="25" t="str">
        <x:v>automatic_screen_pass</x:v>
      </x:c>
      <x:c r="L1256" s="25" t="str">
        <x:v>accepted</x:v>
      </x:c>
      <x:c r="M1256" s="25" t="str">
        <x:v>no</x:v>
      </x:c>
      <x:c r="N1256" s="25" t="str">
        <x:v>saki_research/working_papers/bigio_mendez_patten_theory_payments_chain_crises.pdf</x:v>
      </x:c>
      <x:c r="O1256" s="25" t="str">
        <x:v>Bocola, Luigi, “Trade credit and financial amplification,” 2022. Unpublished Manuscript.1</x:v>
      </x:c>
    </x:row>
    <x:row r="1257" ht="48" customHeight="1">
      <x:c r="A1257" s="24" t="str">
        <x:v>W08-R008</x:v>
      </x:c>
      <x:c r="B1257" s="24" t="str">
        <x:v>W08</x:v>
      </x:c>
      <x:c r="C1257" s="26" t="n">
        <x:v>8</x:v>
      </x:c>
      <x:c r="D1257" s="26" t="n">
        <x:v>51</x:v>
      </x:c>
      <x:c r="E1257" s="26" t="n">
        <x:v>51</x:v>
      </x:c>
      <x:c r="F1257" s="26" t="str">
        <x:v>Boissay</x:v>
      </x:c>
      <x:c r="G1257" s="26" t="n">
        <x:v>2007</x:v>
      </x:c>
      <x:c r="H1257" s="25" t="str">
        <x:v>Trade Credit Defaults and Liquidity Provision by Firms</x:v>
      </x:c>
      <x:c r="I1257" s="25" t="str"/>
      <x:c r="J1257" s="25" t="str"/>
      <x:c r="K1257" s="25" t="str">
        <x:v>prior_manual_sample</x:v>
      </x:c>
      <x:c r="L1257" s="25" t="str">
        <x:v>accepted</x:v>
      </x:c>
      <x:c r="M1257" s="25" t="str">
        <x:v>no</x:v>
      </x:c>
      <x:c r="N1257" s="25" t="str">
        <x:v>saki_research/working_papers/bigio_mendez_patten_theory_payments_chain_crises.pdf</x:v>
      </x:c>
      <x:c r="O1257" s="25" t="str">
        <x:v>Boissay, Frederic and Reint Gropp, “Trade Credit Defaults and Liquidity Provision by Firms,” 2007. European Central Bank working paper series, 753.1</x:v>
      </x:c>
    </x:row>
    <x:row r="1258" ht="48" customHeight="1">
      <x:c r="A1258" s="24" t="str">
        <x:v>W08-R009</x:v>
      </x:c>
      <x:c r="B1258" s="24" t="str">
        <x:v>W08</x:v>
      </x:c>
      <x:c r="C1258" s="26" t="n">
        <x:v>9</x:v>
      </x:c>
      <x:c r="D1258" s="26" t="n">
        <x:v>51</x:v>
      </x:c>
      <x:c r="E1258" s="26" t="n">
        <x:v>51</x:v>
      </x:c>
      <x:c r="F1258" s="26" t="str">
        <x:v>Brunnermeier</x:v>
      </x:c>
      <x:c r="G1258" s="26" t="n">
        <x:v>2017</x:v>
      </x:c>
      <x:c r="H1258" s="25" t="str">
        <x:v>The I-Theory of Money</x:v>
      </x:c>
      <x:c r="I1258" s="25" t="str"/>
      <x:c r="J1258" s="25" t="str"/>
      <x:c r="K1258" s="25" t="str">
        <x:v>automatic_screen_pass</x:v>
      </x:c>
      <x:c r="L1258" s="25" t="str">
        <x:v>accepted</x:v>
      </x:c>
      <x:c r="M1258" s="25" t="str">
        <x:v>no</x:v>
      </x:c>
      <x:c r="N1258" s="25" t="str">
        <x:v>saki_research/working_papers/bigio_mendez_patten_theory_payments_chain_crises.pdf</x:v>
      </x:c>
      <x:c r="O1258" s="25" t="str">
        <x:v>Brunnermeier, Markus K. and Yuliy Sannikov, “The I-Theory of Money,” 2017.1</x:v>
      </x:c>
    </x:row>
    <x:row r="1259" ht="48" customHeight="1">
      <x:c r="A1259" s="24" t="str">
        <x:v>W08-R010</x:v>
      </x:c>
      <x:c r="B1259" s="24" t="str">
        <x:v>W08</x:v>
      </x:c>
      <x:c r="C1259" s="26" t="n">
        <x:v>10</x:v>
      </x:c>
      <x:c r="D1259" s="26" t="n">
        <x:v>51</x:v>
      </x:c>
      <x:c r="E1259" s="26" t="n">
        <x:v>51</x:v>
      </x:c>
      <x:c r="F1259" s="26" t="str">
        <x:v>Cerdas</x:v>
      </x:c>
      <x:c r="G1259" s="26" t="n">
        <x:v>2014</x:v>
      </x:c>
      <x:c r="H1259" s="25" t="str">
        <x:v>Monograf ́ıa</x:v>
      </x:c>
      <x:c r="I1259" s="25" t="str"/>
      <x:c r="J1259" s="25" t="str"/>
      <x:c r="K1259" s="25" t="str">
        <x:v>automatic_screen_pass</x:v>
      </x:c>
      <x:c r="L1259" s="25" t="str">
        <x:v>accepted</x:v>
      </x:c>
      <x:c r="M1259" s="25" t="str">
        <x:v>no</x:v>
      </x:c>
      <x:c r="N1259" s="25" t="str">
        <x:v>saki_research/working_papers/bigio_mendez_patten_theory_payments_chain_crises.pdf</x:v>
      </x:c>
      <x:c r="O1259" s="25" t="str">
        <x:v>Cerdas, Ana Mar ́ıa and Carlos Melegatti, El sistema financiero costarricense en los ́ultimos 25 a ̃nos: sistema de pagos number 2. In ‘Monograf ́ıa.’, San Jos ́e, Costa Rica: Academia de Centroam ́erica, 2014. 28 cm.10</x:v>
      </x:c>
    </x:row>
    <x:row r="1260" ht="48" customHeight="1">
      <x:c r="A1260" s="24" t="str">
        <x:v>W08-R011</x:v>
      </x:c>
      <x:c r="B1260" s="24" t="str">
        <x:v>W08</x:v>
      </x:c>
      <x:c r="C1260" s="26" t="n">
        <x:v>11</x:v>
      </x:c>
      <x:c r="D1260" s="26" t="n">
        <x:v>51</x:v>
      </x:c>
      <x:c r="E1260" s="26" t="n">
        <x:v>51</x:v>
      </x:c>
      <x:c r="F1260" s="26" t="str">
        <x:v>Costello</x:v>
      </x:c>
      <x:c r="G1260" s="26" t="n">
        <x:v>2020</x:v>
      </x:c>
      <x:c r="H1260" s="25" t="str">
        <x:v>CreditMarketDisruptionsandLiquiditySpilloverEffectsinthe Supply Chain</x:v>
      </x:c>
      <x:c r="I1260" s="25" t="str"/>
      <x:c r="J1260" s="25" t="str"/>
      <x:c r="K1260" s="25" t="str">
        <x:v>automatic_screen_pass</x:v>
      </x:c>
      <x:c r="L1260" s="25" t="str">
        <x:v>accepted</x:v>
      </x:c>
      <x:c r="M1260" s="25" t="str">
        <x:v>no</x:v>
      </x:c>
      <x:c r="N1260" s="25" t="str">
        <x:v>saki_research/working_papers/bigio_mendez_patten_theory_payments_chain_crises.pdf</x:v>
      </x:c>
      <x:c r="O1260" s="25" t="str">
        <x:v>Costello,AnnaMarie,“CreditMarketDisruptionsandLiquiditySpilloverEffectsinthe Supply Chain,” Journal of Political Economy, forthcoming, 2020.1</x:v>
      </x:c>
    </x:row>
    <x:row r="1261" ht="48" customHeight="1">
      <x:c r="A1261" s="24" t="str">
        <x:v>W08-R012</x:v>
      </x:c>
      <x:c r="B1261" s="24" t="str">
        <x:v>W08</x:v>
      </x:c>
      <x:c r="C1261" s="26" t="n">
        <x:v>12</x:v>
      </x:c>
      <x:c r="D1261" s="26" t="n">
        <x:v>51</x:v>
      </x:c>
      <x:c r="E1261" s="26" t="n">
        <x:v>51</x:v>
      </x:c>
      <x:c r="F1261" s="26" t="str">
        <x:v>Diamond</x:v>
      </x:c>
      <x:c r="G1261" s="26" t="n">
        <x:v>1982</x:v>
      </x:c>
      <x:c r="H1261" s="25" t="str">
        <x:v>Aggregate Demand Management in Search Equilibrium</x:v>
      </x:c>
      <x:c r="I1261" s="25" t="str"/>
      <x:c r="J1261" s="25" t="str"/>
      <x:c r="K1261" s="25" t="str">
        <x:v>automatic_screen_pass</x:v>
      </x:c>
      <x:c r="L1261" s="25" t="str">
        <x:v>accepted</x:v>
      </x:c>
      <x:c r="M1261" s="25" t="str">
        <x:v>no</x:v>
      </x:c>
      <x:c r="N1261" s="25" t="str">
        <x:v>saki_research/working_papers/bigio_mendez_patten_theory_payments_chain_crises.pdf</x:v>
      </x:c>
      <x:c r="O1261" s="25" t="str">
        <x:v>Diamond, Peter A., “Aggregate Demand Management in Search Equilibrium,” Journal of Political Economy, 1982,90, 881–894.1</x:v>
      </x:c>
    </x:row>
    <x:row r="1262" ht="48" customHeight="1">
      <x:c r="A1262" s="24" t="str">
        <x:v>W08-R013</x:v>
      </x:c>
      <x:c r="B1262" s="24" t="str">
        <x:v>W08</x:v>
      </x:c>
      <x:c r="C1262" s="26" t="n">
        <x:v>13</x:v>
      </x:c>
      <x:c r="D1262" s="26" t="n">
        <x:v>51</x:v>
      </x:c>
      <x:c r="E1262" s="26" t="n">
        <x:v>51</x:v>
      </x:c>
      <x:c r="F1262" s="26" t="str">
        <x:v>Eggertsson</x:v>
      </x:c>
      <x:c r="G1262" s="26" t="n">
        <x:v>2012</x:v>
      </x:c>
      <x:c r="H1262" s="25" t="str">
        <x:v>Debt, Deleveraging, and the Liquidity Trap: A Fisher-Minsky-Koo Approach</x:v>
      </x:c>
      <x:c r="I1262" s="25" t="str"/>
      <x:c r="J1262" s="25" t="str"/>
      <x:c r="K1262" s="25" t="str">
        <x:v>prior_manual_sample</x:v>
      </x:c>
      <x:c r="L1262" s="25" t="str">
        <x:v>accepted</x:v>
      </x:c>
      <x:c r="M1262" s="25" t="str">
        <x:v>no</x:v>
      </x:c>
      <x:c r="N1262" s="25" t="str">
        <x:v>saki_research/working_papers/bigio_mendez_patten_theory_payments_chain_crises.pdf</x:v>
      </x:c>
      <x:c r="O1262" s="25" t="str">
        <x:v>Eggertsson, Gauti B. and Paul Krugman, “Debt, Deleveraging, and the Liquidity Trap: A Fisher-Minsky-Koo Approach,” The Quarterly Journal of Economics, July 2012, 127 (3), 1469–1513. eprint: https://academic.oup.com/qje/articlepdf/127/3/1469/30457060/qjs023.pdf.1</x:v>
      </x:c>
    </x:row>
    <x:row r="1263" ht="48" customHeight="1">
      <x:c r="A1263" s="24" t="str">
        <x:v>W08-R014</x:v>
      </x:c>
      <x:c r="B1263" s="24" t="str">
        <x:v>W08</x:v>
      </x:c>
      <x:c r="C1263" s="26" t="n">
        <x:v>14</x:v>
      </x:c>
      <x:c r="D1263" s="26" t="n">
        <x:v>51</x:v>
      </x:c>
      <x:c r="E1263" s="26" t="n">
        <x:v>51</x:v>
      </x:c>
      <x:c r="F1263" s="26" t="str">
        <x:v>Elliott</x:v>
      </x:c>
      <x:c r="G1263" s="26" t="n">
        <x:v>2014</x:v>
      </x:c>
      <x:c r="H1263" s="25" t="str">
        <x:v>FinancialNetworksand Contagion</x:v>
      </x:c>
      <x:c r="I1263" s="25" t="str"/>
      <x:c r="J1263" s="25" t="str">
        <x:v>exhaustive_ai_audit_2026-09-17</x:v>
      </x:c>
      <x:c r="K1263" s="25" t="str">
        <x:v>exhaustive_visual_correction</x:v>
      </x:c>
      <x:c r="L1263" s="25" t="str">
        <x:v>corrected</x:v>
      </x:c>
      <x:c r="M1263" s="25" t="str">
        <x:v>no</x:v>
      </x:c>
      <x:c r="N1263" s="25" t="str">
        <x:v>saki_research/working_papers/bigio_mendez_patten_theory_payments_chain_crises.pdf</x:v>
      </x:c>
      <x:c r="O1263" s="25" t="str">
        <x:v>Elliott,Matthew,BenjaminGolub,andMatthewO.Jackson,“FinancialNetworksand Contagion,” American Economic Review, 10 2014,104, 3115–53.1</x:v>
      </x:c>
    </x:row>
    <x:row r="1264" ht="48" customHeight="1">
      <x:c r="A1264" s="24" t="str">
        <x:v>W08-R015</x:v>
      </x:c>
      <x:c r="B1264" s="24" t="str">
        <x:v>W08</x:v>
      </x:c>
      <x:c r="C1264" s="26" t="n">
        <x:v>15</x:v>
      </x:c>
      <x:c r="D1264" s="26" t="n">
        <x:v>51</x:v>
      </x:c>
      <x:c r="E1264" s="26" t="n">
        <x:v>51</x:v>
      </x:c>
      <x:c r="F1264" s="26" t="str">
        <x:v>Elliott</x:v>
      </x:c>
      <x:c r="G1264" s="26" t="n">
        <x:v>2022</x:v>
      </x:c>
      <x:c r="H1264" s="25" t="str">
        <x:v>Supply Network Formation and Fragility</x:v>
      </x:c>
      <x:c r="I1264" s="25" t="str">
        <x:v>inherited_author_notation</x:v>
      </x:c>
      <x:c r="J1264" s="25" t="str">
        <x:v>exhaustive_ai_audit_2026-09-17</x:v>
      </x:c>
      <x:c r="K1264" s="25" t="str">
        <x:v>exhaustive_visual_correction</x:v>
      </x:c>
      <x:c r="L1264" s="25" t="str">
        <x:v>corrected</x:v>
      </x:c>
      <x:c r="M1264" s="25" t="str">
        <x:v>no</x:v>
      </x:c>
      <x:c r="N1264" s="25" t="str">
        <x:v>saki_research/working_papers/bigio_mendez_patten_theory_payments_chain_crises.pdf</x:v>
      </x:c>
      <x:c r="O1264" s="25" t="str">
        <x:v>, , and Matthew V. Leduc, “Supply Network Formation and Fragility,” American Economic Review, August 2022,112(8), 2701–47.1</x:v>
      </x:c>
    </x:row>
    <x:row r="1265" ht="48" customHeight="1">
      <x:c r="A1265" s="24" t="str">
        <x:v>W08-R016</x:v>
      </x:c>
      <x:c r="B1265" s="24" t="str">
        <x:v>W08</x:v>
      </x:c>
      <x:c r="C1265" s="26" t="n">
        <x:v>16</x:v>
      </x:c>
      <x:c r="D1265" s="26" t="n">
        <x:v>51</x:v>
      </x:c>
      <x:c r="E1265" s="26" t="n">
        <x:v>51</x:v>
      </x:c>
      <x:c r="F1265" s="26" t="str">
        <x:v>Fisher</x:v>
      </x:c>
      <x:c r="G1265" s="26" t="n">
        <x:v>1933</x:v>
      </x:c>
      <x:c r="H1265" s="25" t="str">
        <x:v>Stamp Scrip, New York: Adelphi</x:v>
      </x:c>
      <x:c r="I1265" s="25" t="str"/>
      <x:c r="J1265" s="25" t="str">
        <x:v>local_citation_grammar_v3</x:v>
      </x:c>
      <x:c r="K1265" s="25" t="str">
        <x:v>automatic_screen_pass</x:v>
      </x:c>
      <x:c r="L1265" s="25" t="str">
        <x:v>accepted</x:v>
      </x:c>
      <x:c r="M1265" s="25" t="str">
        <x:v>no</x:v>
      </x:c>
      <x:c r="N1265" s="25" t="str">
        <x:v>saki_research/working_papers/bigio_mendez_patten_theory_payments_chain_crises.pdf</x:v>
      </x:c>
      <x:c r="O1265" s="25" t="str">
        <x:v>Fisher, Irving, Stamp Scrip, New York: Adelphi, 1933.1</x:v>
      </x:c>
    </x:row>
    <x:row r="1266" ht="48" customHeight="1">
      <x:c r="A1266" s="24" t="str">
        <x:v>W08-R017</x:v>
      </x:c>
      <x:c r="B1266" s="24" t="str">
        <x:v>W08</x:v>
      </x:c>
      <x:c r="C1266" s="26" t="n">
        <x:v>17</x:v>
      </x:c>
      <x:c r="D1266" s="26" t="n">
        <x:v>51</x:v>
      </x:c>
      <x:c r="E1266" s="26" t="n">
        <x:v>51</x:v>
      </x:c>
      <x:c r="F1266" s="26" t="str">
        <x:v>Freeman</x:v>
      </x:c>
      <x:c r="G1266" s="26" t="n">
        <x:v>1996</x:v>
      </x:c>
      <x:c r="H1266" s="25" t="str">
        <x:v>The Payments System, Liquidity, and Rediscounting</x:v>
      </x:c>
      <x:c r="I1266" s="25" t="str"/>
      <x:c r="J1266" s="25" t="str"/>
      <x:c r="K1266" s="25" t="str">
        <x:v>automatic_screen_pass</x:v>
      </x:c>
      <x:c r="L1266" s="25" t="str">
        <x:v>accepted</x:v>
      </x:c>
      <x:c r="M1266" s="25" t="str">
        <x:v>no</x:v>
      </x:c>
      <x:c r="N1266" s="25" t="str">
        <x:v>saki_research/working_papers/bigio_mendez_patten_theory_payments_chain_crises.pdf</x:v>
      </x:c>
      <x:c r="O1266" s="25" t="str">
        <x:v>Freeman, Scott, “The Payments System, Liquidity, and Rediscounting,” The American Economic Review, 1996, 86 (5), 1126–1138. Publisher: American Economic Association.1</x:v>
      </x:c>
    </x:row>
    <x:row r="1267" ht="48" customHeight="1">
      <x:c r="A1267" s="24" t="str">
        <x:v>W08-R018</x:v>
      </x:c>
      <x:c r="B1267" s="24" t="str">
        <x:v>W08</x:v>
      </x:c>
      <x:c r="C1267" s="26" t="n">
        <x:v>18</x:v>
      </x:c>
      <x:c r="D1267" s="26" t="n">
        <x:v>51</x:v>
      </x:c>
      <x:c r="E1267" s="26" t="n">
        <x:v>51</x:v>
      </x:c>
      <x:c r="F1267" s="26" t="str">
        <x:v>Green</x:v>
      </x:c>
      <x:c r="G1267" s="26" t="n">
        <x:v>1999</x:v>
      </x:c>
      <x:c r="H1267" s="25" t="str">
        <x:v>Money and Debt in the Structure of Payments</x:v>
      </x:c>
      <x:c r="I1267" s="25" t="str"/>
      <x:c r="J1267" s="25" t="str"/>
      <x:c r="K1267" s="25" t="str">
        <x:v>automatic_screen_pass</x:v>
      </x:c>
      <x:c r="L1267" s="25" t="str">
        <x:v>accepted</x:v>
      </x:c>
      <x:c r="M1267" s="25" t="str">
        <x:v>no</x:v>
      </x:c>
      <x:c r="N1267" s="25" t="str">
        <x:v>saki_research/working_papers/bigio_mendez_patten_theory_payments_chain_crises.pdf</x:v>
      </x:c>
      <x:c r="O1267" s="25" t="str">
        <x:v>Green, Edward J., “Money and Debt in the Structure of Payments,” Federal Reserve Bank of Minneapolis Quaterly Review, 1999,23, 13–29.1</x:v>
      </x:c>
    </x:row>
    <x:row r="1268" ht="48" customHeight="1">
      <x:c r="A1268" s="24" t="str">
        <x:v>W08-R019</x:v>
      </x:c>
      <x:c r="B1268" s="24" t="str">
        <x:v>W08</x:v>
      </x:c>
      <x:c r="C1268" s="26" t="n">
        <x:v>19</x:v>
      </x:c>
      <x:c r="D1268" s="26" t="n">
        <x:v>52</x:v>
      </x:c>
      <x:c r="E1268" s="26" t="n">
        <x:v>52</x:v>
      </x:c>
      <x:c r="F1268" s="26" t="str">
        <x:v>Guerrieri</x:v>
      </x:c>
      <x:c r="G1268" s="26" t="n">
        <x:v>2009</x:v>
      </x:c>
      <x:c r="H1268" s="25" t="str">
        <x:v>Liquidity and Trading Dynamics</x:v>
      </x:c>
      <x:c r="I1268" s="25" t="str"/>
      <x:c r="J1268" s="25" t="str"/>
      <x:c r="K1268" s="25" t="str">
        <x:v>automatic_screen_pass</x:v>
      </x:c>
      <x:c r="L1268" s="25" t="str">
        <x:v>accepted</x:v>
      </x:c>
      <x:c r="M1268" s="25" t="str">
        <x:v>no</x:v>
      </x:c>
      <x:c r="N1268" s="25" t="str">
        <x:v>saki_research/working_papers/bigio_mendez_patten_theory_payments_chain_crises.pdf</x:v>
      </x:c>
      <x:c r="O1268" s="25" t="str">
        <x:v>Guerrieri, Veronica and Guido Lorenzoni, “Liquidity and Trading Dynamics,” Econometrica, 2009,77(6), 1751–1790.1</x:v>
      </x:c>
    </x:row>
    <x:row r="1269" ht="48" customHeight="1">
      <x:c r="A1269" s="24" t="str">
        <x:v>W08-R020</x:v>
      </x:c>
      <x:c r="B1269" s="24" t="str">
        <x:v>W08</x:v>
      </x:c>
      <x:c r="C1269" s="26" t="n">
        <x:v>20</x:v>
      </x:c>
      <x:c r="D1269" s="26" t="n">
        <x:v>52</x:v>
      </x:c>
      <x:c r="E1269" s="26" t="n">
        <x:v>52</x:v>
      </x:c>
      <x:c r="F1269" s="26" t="str">
        <x:v>Guerrieri</x:v>
      </x:c>
      <x:c r="G1269" s="26" t="n">
        <x:v>2017</x:v>
      </x:c>
      <x:c r="H1269" s="25" t="str">
        <x:v>CreditCrises,PrecautionarySavings,andtheLiquidityTrap*</x:v>
      </x:c>
      <x:c r="I1269" s="25" t="str">
        <x:v>inherited_author_notation</x:v>
      </x:c>
      <x:c r="J1269" s="25" t="str"/>
      <x:c r="K1269" s="25" t="str">
        <x:v>prior_manual_sample</x:v>
      </x:c>
      <x:c r="L1269" s="25" t="str">
        <x:v>accepted</x:v>
      </x:c>
      <x:c r="M1269" s="25" t="str">
        <x:v>no</x:v>
      </x:c>
      <x:c r="N1269" s="25" t="str">
        <x:v>saki_research/working_papers/bigio_mendez_patten_theory_payments_chain_crises.pdf</x:v>
      </x:c>
      <x:c r="O1269" s="25" t="str">
        <x:v>and ,“CreditCrises,PrecautionarySavings,andtheLiquidityTrap*,”TheQuarterly Journal of Economics, 2017,132 (3), 1427–1467.1</x:v>
      </x:c>
    </x:row>
    <x:row r="1270" ht="48" customHeight="1">
      <x:c r="A1270" s="24" t="str">
        <x:v>W08-R021</x:v>
      </x:c>
      <x:c r="B1270" s="24" t="str">
        <x:v>W08</x:v>
      </x:c>
      <x:c r="C1270" s="26" t="n">
        <x:v>21</x:v>
      </x:c>
      <x:c r="D1270" s="26" t="n">
        <x:v>52</x:v>
      </x:c>
      <x:c r="E1270" s="26" t="n">
        <x:v>52</x:v>
      </x:c>
      <x:c r="F1270" s="26" t="str">
        <x:v>Guerrieri</x:v>
      </x:c>
      <x:c r="G1270" s="26" t="n">
        <x:v>2022</x:v>
      </x:c>
      <x:c r="H1270" s="25" t="str">
        <x:v>Macroeconomic Implications of Covid-19: Can Negative Supply Shocks Cause Demand Shortages?</x:v>
      </x:c>
      <x:c r="I1270" s="25" t="str">
        <x:v>inherited_author_notation</x:v>
      </x:c>
      <x:c r="J1270" s="25" t="str">
        <x:v>exhaustive_ai_audit_2026-09-17</x:v>
      </x:c>
      <x:c r="K1270" s="25" t="str">
        <x:v>exhaustive_visual_correction</x:v>
      </x:c>
      <x:c r="L1270" s="25" t="str">
        <x:v>corrected</x:v>
      </x:c>
      <x:c r="M1270" s="25" t="str">
        <x:v>no</x:v>
      </x:c>
      <x:c r="N1270" s="25" t="str">
        <x:v>saki_research/working_papers/bigio_mendez_patten_theory_payments_chain_crises.pdf</x:v>
      </x:c>
      <x:c r="O1270" s="25" t="str">
        <x:v>, , Ludwig Straub, and Ivan Werning, “Macroeconomic Implications of Covid-19: Can Negative Supply Shocks Cause Demand Shortages?,” American Economic Review, 2022.1</x:v>
      </x:c>
    </x:row>
    <x:row r="1271" ht="48" customHeight="1">
      <x:c r="A1271" s="24" t="str">
        <x:v>W08-R022</x:v>
      </x:c>
      <x:c r="B1271" s="24" t="str">
        <x:v>W08</x:v>
      </x:c>
      <x:c r="C1271" s="26" t="n">
        <x:v>22</x:v>
      </x:c>
      <x:c r="D1271" s="26" t="n">
        <x:v>52</x:v>
      </x:c>
      <x:c r="E1271" s="26" t="n">
        <x:v>52</x:v>
      </x:c>
      <x:c r="F1271" s="26" t="str">
        <x:v>Hardy</x:v>
      </x:c>
      <x:c r="G1271" s="26" t="n">
        <x:v>2022</x:v>
      </x:c>
      <x:c r="H1271" s="25" t="str">
        <x:v>Economic Stabilizers in Emerging Markets:The Case for Trade Credit</x:v>
      </x:c>
      <x:c r="I1271" s="25" t="str"/>
      <x:c r="J1271" s="25" t="str"/>
      <x:c r="K1271" s="25" t="str">
        <x:v>automatic_screen_pass</x:v>
      </x:c>
      <x:c r="L1271" s="25" t="str">
        <x:v>accepted</x:v>
      </x:c>
      <x:c r="M1271" s="25" t="str">
        <x:v>no</x:v>
      </x:c>
      <x:c r="N1271" s="25" t="str">
        <x:v>saki_research/working_papers/bigio_mendez_patten_theory_payments_chain_crises.pdf</x:v>
      </x:c>
      <x:c r="O1271" s="25" t="str">
        <x:v>Hardy, Bryan, Ina Simonovska, and Felipe E. Saffie, “Economic Stabilizers in Emerging Markets:The Case for Trade Credit,” 2022.1</x:v>
      </x:c>
    </x:row>
    <x:row r="1272" ht="48" customHeight="1">
      <x:c r="A1272" s="24" t="str">
        <x:v>W08-R023</x:v>
      </x:c>
      <x:c r="B1272" s="24" t="str">
        <x:v>W08</x:v>
      </x:c>
      <x:c r="C1272" s="26" t="n">
        <x:v>23</x:v>
      </x:c>
      <x:c r="D1272" s="26" t="n">
        <x:v>52</x:v>
      </x:c>
      <x:c r="E1272" s="26" t="n">
        <x:v>52</x:v>
      </x:c>
      <x:c r="F1272" s="26" t="str">
        <x:v>Jordà</x:v>
      </x:c>
      <x:c r="G1272" s="26" t="n">
        <x:v>2005</x:v>
      </x:c>
      <x:c r="H1272" s="25" t="str">
        <x:v>Estimation and inference of impulse responses by local projections</x:v>
      </x:c>
      <x:c r="I1272" s="25" t="str"/>
      <x:c r="J1272" s="25" t="str">
        <x:v>exhaustive_ai_audit_2026-09-17</x:v>
      </x:c>
      <x:c r="K1272" s="25" t="str">
        <x:v>exhaustive_visual_correction</x:v>
      </x:c>
      <x:c r="L1272" s="25" t="str">
        <x:v>corrected</x:v>
      </x:c>
      <x:c r="M1272" s="25" t="str">
        <x:v>no</x:v>
      </x:c>
      <x:c r="N1272" s="25" t="str">
        <x:v>saki_research/working_papers/bigio_mendez_patten_theory_payments_chain_crises.pdf</x:v>
      </x:c>
      <x:c r="O1272" s="25" t="str">
        <x:v>Jord`a, `Oscar, “Estimation and inference of impulse responses by local projections,” American economic review, 2005,95 (1), 161–182.2,1</x:v>
      </x:c>
    </x:row>
    <x:row r="1273" ht="48" customHeight="1">
      <x:c r="A1273" s="24" t="str">
        <x:v>W08-R024</x:v>
      </x:c>
      <x:c r="B1273" s="24" t="str">
        <x:v>W08</x:v>
      </x:c>
      <x:c r="C1273" s="26" t="n">
        <x:v>24</x:v>
      </x:c>
      <x:c r="D1273" s="26" t="n">
        <x:v>52</x:v>
      </x:c>
      <x:c r="E1273" s="26" t="n">
        <x:v>52</x:v>
      </x:c>
      <x:c r="F1273" s="26" t="str">
        <x:v>Jordà</x:v>
      </x:c>
      <x:c r="G1273" s="26" t="n">
        <x:v>2025</x:v>
      </x:c>
      <x:c r="H1273" s="25" t="str">
        <x:v>Local projections</x:v>
      </x:c>
      <x:c r="I1273" s="25" t="str">
        <x:v>inherited_author_notation</x:v>
      </x:c>
      <x:c r="J1273" s="25" t="str">
        <x:v>C-095</x:v>
      </x:c>
      <x:c r="K1273" s="25" t="str">
        <x:v>prior_manual_sample</x:v>
      </x:c>
      <x:c r="L1273" s="25" t="str">
        <x:v>accepted</x:v>
      </x:c>
      <x:c r="M1273" s="25" t="str">
        <x:v>no</x:v>
      </x:c>
      <x:c r="N1273" s="25" t="str">
        <x:v>saki_research/working_papers/bigio_mendez_patten_theory_payments_chain_crises.pdf</x:v>
      </x:c>
      <x:c r="O1273" s="25" t="str">
        <x:v>and Alan M Taylor, “Local projections,” Journal of Economic Literature, 2025, 63 (1), 59–110.2,1</x:v>
      </x:c>
    </x:row>
    <x:row r="1274" ht="48" customHeight="1">
      <x:c r="A1274" s="24" t="str">
        <x:v>W08-R025</x:v>
      </x:c>
      <x:c r="B1274" s="24" t="str">
        <x:v>W08</x:v>
      </x:c>
      <x:c r="C1274" s="26" t="n">
        <x:v>25</x:v>
      </x:c>
      <x:c r="D1274" s="26" t="n">
        <x:v>52</x:v>
      </x:c>
      <x:c r="E1274" s="26" t="n">
        <x:v>52</x:v>
      </x:c>
      <x:c r="F1274" s="26" t="str">
        <x:v>Karabarbounis</x:v>
      </x:c>
      <x:c r="G1274" s="26" t="n">
        <x:v>2021</x:v>
      </x:c>
      <x:c r="H1274" s="25" t="str">
        <x:v>The Macroeconomics of the Greek Depression</x:v>
      </x:c>
      <x:c r="I1274" s="25" t="str"/>
      <x:c r="J1274" s="25" t="str"/>
      <x:c r="K1274" s="25" t="str">
        <x:v>prior_manual_sample</x:v>
      </x:c>
      <x:c r="L1274" s="25" t="str">
        <x:v>accepted</x:v>
      </x:c>
      <x:c r="M1274" s="25" t="str">
        <x:v>no</x:v>
      </x:c>
      <x:c r="N1274" s="25" t="str">
        <x:v>saki_research/working_papers/bigio_mendez_patten_theory_payments_chain_crises.pdf</x:v>
      </x:c>
      <x:c r="O1274" s="25" t="str">
        <x:v>Karabarbounis, Loukas, Gabriel Chodorow-Reich, and Rohan Kekre, “The Macroeconomics of the Greek Depression,” 2021.1</x:v>
      </x:c>
    </x:row>
    <x:row r="1275" ht="48" customHeight="1">
      <x:c r="A1275" s="24" t="str">
        <x:v>W08-R026</x:v>
      </x:c>
      <x:c r="B1275" s="24" t="str">
        <x:v>W08</x:v>
      </x:c>
      <x:c r="C1275" s="26" t="n">
        <x:v>26</x:v>
      </x:c>
      <x:c r="D1275" s="26" t="n">
        <x:v>52</x:v>
      </x:c>
      <x:c r="E1275" s="26" t="n">
        <x:v>52</x:v>
      </x:c>
      <x:c r="F1275" s="26" t="str">
        <x:v>Kiyotaki</x:v>
      </x:c>
      <x:c r="G1275" s="26" t="n">
        <x:v>1997</x:v>
      </x:c>
      <x:c r="H1275" s="25" t="str">
        <x:v>CreditChains</x:v>
      </x:c>
      <x:c r="I1275" s="25" t="str"/>
      <x:c r="J1275" s="25" t="str"/>
      <x:c r="K1275" s="25" t="str">
        <x:v>prior_manual_sample</x:v>
      </x:c>
      <x:c r="L1275" s="25" t="str">
        <x:v>accepted</x:v>
      </x:c>
      <x:c r="M1275" s="25" t="str">
        <x:v>no</x:v>
      </x:c>
      <x:c r="N1275" s="25" t="str">
        <x:v>saki_research/working_papers/bigio_mendez_patten_theory_payments_chain_crises.pdf</x:v>
      </x:c>
      <x:c r="O1275" s="25" t="str">
        <x:v>Kiyotaki,NobuhiroandJohnMoore,“CreditChains,”1997. Publisher: LondonSchool of Economics.1</x:v>
      </x:c>
    </x:row>
    <x:row r="1276" ht="48" customHeight="1">
      <x:c r="A1276" s="24" t="str">
        <x:v>W08-R027</x:v>
      </x:c>
      <x:c r="B1276" s="24" t="str">
        <x:v>W08</x:v>
      </x:c>
      <x:c r="C1276" s="26" t="n">
        <x:v>27</x:v>
      </x:c>
      <x:c r="D1276" s="26" t="n">
        <x:v>52</x:v>
      </x:c>
      <x:c r="E1276" s="26" t="n">
        <x:v>52</x:v>
      </x:c>
      <x:c r="F1276" s="26" t="str">
        <x:v>Kiyotaki</x:v>
      </x:c>
      <x:c r="G1276" s="26" t="n">
        <x:v>1997</x:v>
      </x:c>
      <x:c r="H1276" s="25" t="str">
        <x:v>Credit Cycles</x:v>
      </x:c>
      <x:c r="I1276" s="25" t="str">
        <x:v>inherited_author_notation</x:v>
      </x:c>
      <x:c r="J1276" s="25" t="str"/>
      <x:c r="K1276" s="25" t="str">
        <x:v>prior_manual_sample</x:v>
      </x:c>
      <x:c r="L1276" s="25" t="str">
        <x:v>accepted</x:v>
      </x:c>
      <x:c r="M1276" s="25" t="str">
        <x:v>no</x:v>
      </x:c>
      <x:c r="N1276" s="25" t="str">
        <x:v>saki_research/working_papers/bigio_mendez_patten_theory_payments_chain_crises.pdf</x:v>
      </x:c>
      <x:c r="O1276" s="25" t="str">
        <x:v>and , “Credit Cycles,” Journal of Political Economy, 1997, 105 (2), 211–248. Publisher: The University of Chicago Press.4.2,5</x:v>
      </x:c>
    </x:row>
    <x:row r="1277" ht="48" customHeight="1">
      <x:c r="A1277" s="24" t="str">
        <x:v>W08-R028</x:v>
      </x:c>
      <x:c r="B1277" s="24" t="str">
        <x:v>W08</x:v>
      </x:c>
      <x:c r="C1277" s="26" t="n">
        <x:v>28</x:v>
      </x:c>
      <x:c r="D1277" s="26" t="n">
        <x:v>52</x:v>
      </x:c>
      <x:c r="E1277" s="26" t="n">
        <x:v>52</x:v>
      </x:c>
      <x:c r="F1277" s="26" t="str">
        <x:v>Kiyotaki</x:v>
      </x:c>
      <x:c r="G1277" s="26" t="n">
        <x:v>1989</x:v>
      </x:c>
      <x:c r="H1277" s="25" t="str">
        <x:v>On Money as a Medium of Exchange</x:v>
      </x:c>
      <x:c r="I1277" s="25" t="str">
        <x:v>inherited_author_notation</x:v>
      </x:c>
      <x:c r="J1277" s="25" t="str"/>
      <x:c r="K1277" s="25" t="str">
        <x:v>automatic_screen_pass</x:v>
      </x:c>
      <x:c r="L1277" s="25" t="str">
        <x:v>accepted</x:v>
      </x:c>
      <x:c r="M1277" s="25" t="str">
        <x:v>no</x:v>
      </x:c>
      <x:c r="N1277" s="25" t="str">
        <x:v>saki_research/working_papers/bigio_mendez_patten_theory_payments_chain_crises.pdf</x:v>
      </x:c>
      <x:c r="O1277" s="25" t="str">
        <x:v>and Randall Wright, “On Money as a Medium of Exchange,” Journal of Political Economy, 1989, 97(4), 927–954. Publisher: The University of Chicago Press.1</x:v>
      </x:c>
    </x:row>
    <x:row r="1278" ht="48" customHeight="1">
      <x:c r="A1278" s="24" t="str">
        <x:v>W08-R029</x:v>
      </x:c>
      <x:c r="B1278" s="24" t="str">
        <x:v>W08</x:v>
      </x:c>
      <x:c r="C1278" s="26" t="n">
        <x:v>29</x:v>
      </x:c>
      <x:c r="D1278" s="26" t="n">
        <x:v>52</x:v>
      </x:c>
      <x:c r="E1278" s="26" t="n">
        <x:v>52</x:v>
      </x:c>
      <x:c r="F1278" s="26" t="str">
        <x:v>Kopytov</x:v>
      </x:c>
      <x:c r="G1278" s="26" t="n">
        <x:v>2022</x:v>
      </x:c>
      <x:c r="H1278" s="25" t="str">
        <x:v>Endogenous Production Networks under Supply Chain Uncertainty</x:v>
      </x:c>
      <x:c r="I1278" s="25" t="str"/>
      <x:c r="J1278" s="25" t="str"/>
      <x:c r="K1278" s="25" t="str">
        <x:v>prior_manual_sample</x:v>
      </x:c>
      <x:c r="L1278" s="25" t="str">
        <x:v>accepted</x:v>
      </x:c>
      <x:c r="M1278" s="25" t="str">
        <x:v>no</x:v>
      </x:c>
      <x:c r="N1278" s="25" t="str">
        <x:v>saki_research/working_papers/bigio_mendez_patten_theory_payments_chain_crises.pdf</x:v>
      </x:c>
      <x:c r="O1278" s="25" t="str">
        <x:v>Kopytov, Alexandr, Bineet Mishra, Kristoffer Nimark, and Mathieu Taschereau- Dumouchel, “Endogenous Production Networks under Supply Chain Uncertainty,” 2022.1</x:v>
      </x:c>
    </x:row>
    <x:row r="1279" ht="48" customHeight="1">
      <x:c r="A1279" s="24" t="str">
        <x:v>W08-R030</x:v>
      </x:c>
      <x:c r="B1279" s="24" t="str">
        <x:v>W08</x:v>
      </x:c>
      <x:c r="C1279" s="26" t="n">
        <x:v>30</x:v>
      </x:c>
      <x:c r="D1279" s="26" t="n">
        <x:v>52</x:v>
      </x:c>
      <x:c r="E1279" s="26" t="n">
        <x:v>52</x:v>
      </x:c>
      <x:c r="F1279" s="26" t="str">
        <x:v>Krugman</x:v>
      </x:c>
      <x:c r="G1279" s="26" t="n">
        <x:v>1998</x:v>
      </x:c>
      <x:c r="H1279" s="25" t="str">
        <x:v>Baby-Sitting the Economy</x:v>
      </x:c>
      <x:c r="I1279" s="25" t="str"/>
      <x:c r="J1279" s="25" t="str"/>
      <x:c r="K1279" s="25" t="str">
        <x:v>automatic_screen_pass</x:v>
      </x:c>
      <x:c r="L1279" s="25" t="str">
        <x:v>accepted</x:v>
      </x:c>
      <x:c r="M1279" s="25" t="str">
        <x:v>no</x:v>
      </x:c>
      <x:c r="N1279" s="25" t="str">
        <x:v>saki_research/working_papers/bigio_mendez_patten_theory_payments_chain_crises.pdf</x:v>
      </x:c>
      <x:c r="O1279" s="25" t="str">
        <x:v>Krugman, Paul, “Baby-Sitting the Economy,” Slate, August 1998.1</x:v>
      </x:c>
    </x:row>
    <x:row r="1280" ht="48" customHeight="1">
      <x:c r="A1280" s="24" t="str">
        <x:v>W08-R031</x:v>
      </x:c>
      <x:c r="B1280" s="24" t="str">
        <x:v>W08</x:v>
      </x:c>
      <x:c r="C1280" s="26" t="n">
        <x:v>31</x:v>
      </x:c>
      <x:c r="D1280" s="26" t="n">
        <x:v>52</x:v>
      </x:c>
      <x:c r="E1280" s="26" t="n">
        <x:v>52</x:v>
      </x:c>
      <x:c r="F1280" s="26" t="str">
        <x:v>Lagos</x:v>
      </x:c>
      <x:c r="G1280" s="26" t="n">
        <x:v>2009</x:v>
      </x:c>
      <x:c r="H1280" s="25" t="str">
        <x:v>Liquidity in Asset Markets with Search Frictions</x:v>
      </x:c>
      <x:c r="I1280" s="25" t="str"/>
      <x:c r="J1280" s="25" t="str">
        <x:v>exhaustive_ai_audit_2026-09-17</x:v>
      </x:c>
      <x:c r="K1280" s="25" t="str">
        <x:v>exhaustive_visual_correction</x:v>
      </x:c>
      <x:c r="L1280" s="25" t="str">
        <x:v>corrected</x:v>
      </x:c>
      <x:c r="M1280" s="25" t="str">
        <x:v>no</x:v>
      </x:c>
      <x:c r="N1280" s="25" t="str">
        <x:v>saki_research/working_papers/bigio_mendez_patten_theory_payments_chain_crises.pdf</x:v>
      </x:c>
      <x:c r="O1280" s="25" t="str">
        <x:v>Lagos, Ricardo and Guillaume Rocheteau, “Liquidity in Asset Markets with Search Frictions,” Econometrica, 2009,77, 403–426.2</x:v>
      </x:c>
    </x:row>
    <x:row r="1281" ht="48" customHeight="1">
      <x:c r="A1281" s="24" t="str">
        <x:v>W08-R032</x:v>
      </x:c>
      <x:c r="B1281" s="24" t="str">
        <x:v>W08</x:v>
      </x:c>
      <x:c r="C1281" s="26" t="n">
        <x:v>32</x:v>
      </x:c>
      <x:c r="D1281" s="26" t="n">
        <x:v>52</x:v>
      </x:c>
      <x:c r="E1281" s="26" t="n">
        <x:v>52</x:v>
      </x:c>
      <x:c r="F1281" s="26" t="str">
        <x:v>Lagos</x:v>
      </x:c>
      <x:c r="G1281" s="26" t="n">
        <x:v>2005</x:v>
      </x:c>
      <x:c r="H1281" s="25" t="str">
        <x:v>Unified Framework for Monetary Theory and Policy Analysis</x:v>
      </x:c>
      <x:c r="I1281" s="25" t="str">
        <x:v>inherited_author_notation</x:v>
      </x:c>
      <x:c r="J1281" s="25" t="str">
        <x:v>exhaustive_ai_audit_2026-09-17</x:v>
      </x:c>
      <x:c r="K1281" s="25" t="str">
        <x:v>exhaustive_visual_correction</x:v>
      </x:c>
      <x:c r="L1281" s="25" t="str">
        <x:v>corrected</x:v>
      </x:c>
      <x:c r="M1281" s="25" t="str">
        <x:v>no</x:v>
      </x:c>
      <x:c r="N1281" s="25" t="str">
        <x:v>saki_research/working_papers/bigio_mendez_patten_theory_payments_chain_crises.pdf</x:v>
      </x:c>
      <x:c r="O1281" s="25" t="str">
        <x:v>andRandallWright,“UnifiedFrameworkforMonetaryTheoryandPolicyAnalysis,” Journal of Political Economy, 2005, 113(3), 463–484.1</x:v>
      </x:c>
    </x:row>
    <x:row r="1282" ht="48" customHeight="1">
      <x:c r="A1282" s="24" t="str">
        <x:v>W08-R033</x:v>
      </x:c>
      <x:c r="B1282" s="24" t="str">
        <x:v>W08</x:v>
      </x:c>
      <x:c r="C1282" s="26" t="n">
        <x:v>33</x:v>
      </x:c>
      <x:c r="D1282" s="26" t="n">
        <x:v>52</x:v>
      </x:c>
      <x:c r="E1282" s="26" t="n">
        <x:v>52</x:v>
      </x:c>
      <x:c r="F1282" s="26" t="str">
        <x:v>Lagos</x:v>
      </x:c>
      <x:c r="G1282" s="26" t="n">
        <x:v>2011</x:v>
      </x:c>
      <x:c r="H1282" s="25" t="str">
        <x:v>Crisesand Liquidityin OTC Markets</x:v>
      </x:c>
      <x:c r="I1282" s="25" t="str">
        <x:v>inherited_author_notation</x:v>
      </x:c>
      <x:c r="J1282" s="25" t="str"/>
      <x:c r="K1282" s="25" t="str">
        <x:v>automatic_screen_pass</x:v>
      </x:c>
      <x:c r="L1282" s="25" t="str">
        <x:v>accepted</x:v>
      </x:c>
      <x:c r="M1282" s="25" t="str">
        <x:v>no</x:v>
      </x:c>
      <x:c r="N1282" s="25" t="str">
        <x:v>saki_research/working_papers/bigio_mendez_patten_theory_payments_chain_crises.pdf</x:v>
      </x:c>
      <x:c r="O1282" s="25" t="str">
        <x:v>GuillaumeRocheteau, and Pierre-Olivier Weill, “Crisesand Liquidityin OTC Markets,” Journal of Economic Theory, 2011,146, 2169–2205.2</x:v>
      </x:c>
    </x:row>
    <x:row r="1283" ht="48" customHeight="1">
      <x:c r="A1283" s="24" t="str">
        <x:v>W08-R034</x:v>
      </x:c>
      <x:c r="B1283" s="24" t="str">
        <x:v>W08</x:v>
      </x:c>
      <x:c r="C1283" s="26" t="n">
        <x:v>34</x:v>
      </x:c>
      <x:c r="D1283" s="26" t="n">
        <x:v>52</x:v>
      </x:c>
      <x:c r="E1283" s="26" t="n">
        <x:v>52</x:v>
      </x:c>
      <x:c r="F1283" s="26" t="str">
        <x:v>La’O</x:v>
      </x:c>
      <x:c r="G1283" s="26" t="n">
        <x:v>2015</x:v>
      </x:c>
      <x:c r="H1283" s="25" t="str">
        <x:v>A Traffic Jam Theory of Recessions</x:v>
      </x:c>
      <x:c r="I1283" s="25" t="str"/>
      <x:c r="J1283" s="25" t="str"/>
      <x:c r="K1283" s="25" t="str">
        <x:v>automatic_screen_pass</x:v>
      </x:c>
      <x:c r="L1283" s="25" t="str">
        <x:v>accepted</x:v>
      </x:c>
      <x:c r="M1283" s="25" t="str">
        <x:v>no</x:v>
      </x:c>
      <x:c r="N1283" s="25" t="str">
        <x:v>saki_research/working_papers/bigio_mendez_patten_theory_payments_chain_crises.pdf</x:v>
      </x:c>
      <x:c r="O1283" s="25" t="str">
        <x:v>La’O, Jennifer, “A Traffic Jam Theory of Recessions,” 2015.1</x:v>
      </x:c>
    </x:row>
    <x:row r="1284" ht="48" customHeight="1">
      <x:c r="A1284" s="24" t="str">
        <x:v>W08-R035</x:v>
      </x:c>
      <x:c r="B1284" s="24" t="str">
        <x:v>W08</x:v>
      </x:c>
      <x:c r="C1284" s="26" t="n">
        <x:v>35</x:v>
      </x:c>
      <x:c r="D1284" s="26" t="n">
        <x:v>52</x:v>
      </x:c>
      <x:c r="E1284" s="26" t="n">
        <x:v>52</x:v>
      </x:c>
      <x:c r="F1284" s="26" t="str">
        <x:v>Li</x:v>
      </x:c>
      <x:c r="G1284" s="26" t="n">
        <x:v>2012</x:v>
      </x:c>
      <x:c r="H1284" s="25" t="str">
        <x:v>Liquidity and the Threat of Fraudulent Assets</x:v>
      </x:c>
      <x:c r="I1284" s="25" t="str"/>
      <x:c r="J1284" s="25" t="str"/>
      <x:c r="K1284" s="25" t="str">
        <x:v>automatic_screen_pass</x:v>
      </x:c>
      <x:c r="L1284" s="25" t="str">
        <x:v>accepted</x:v>
      </x:c>
      <x:c r="M1284" s="25" t="str">
        <x:v>no</x:v>
      </x:c>
      <x:c r="N1284" s="25" t="str">
        <x:v>saki_research/working_papers/bigio_mendez_patten_theory_payments_chain_crises.pdf</x:v>
      </x:c>
      <x:c r="O1284" s="25" t="str">
        <x:v>Li, Yiting, Guillaume Rocheteau, and Pierre-Olivier Weill, “Liquidity and the Threat of Fraudulent Assets,” Journal of Political Economy, 2012, 120, 815–846.2</x:v>
      </x:c>
    </x:row>
    <x:row r="1285" ht="48" customHeight="1">
      <x:c r="A1285" s="24" t="str">
        <x:v>W08-R036</x:v>
      </x:c>
      <x:c r="B1285" s="24" t="str">
        <x:v>W08</x:v>
      </x:c>
      <x:c r="C1285" s="26" t="n">
        <x:v>36</x:v>
      </x:c>
      <x:c r="D1285" s="26" t="n">
        <x:v>52</x:v>
      </x:c>
      <x:c r="E1285" s="26" t="n">
        <x:v>52</x:v>
      </x:c>
      <x:c r="F1285" s="26" t="str">
        <x:v>Lippi</x:v>
      </x:c>
      <x:c r="G1285" s="26" t="n">
        <x:v>2015</x:v>
      </x:c>
      <x:c r="H1285" s="25" t="str">
        <x:v>Optimal monetary policy with heterogeneous money holdings</x:v>
      </x:c>
      <x:c r="I1285" s="25" t="str"/>
      <x:c r="J1285" s="25" t="str"/>
      <x:c r="K1285" s="25" t="str">
        <x:v>automatic_screen_pass</x:v>
      </x:c>
      <x:c r="L1285" s="25" t="str">
        <x:v>accepted</x:v>
      </x:c>
      <x:c r="M1285" s="25" t="str">
        <x:v>no</x:v>
      </x:c>
      <x:c r="N1285" s="25" t="str">
        <x:v>saki_research/working_papers/bigio_mendez_patten_theory_payments_chain_crises.pdf</x:v>
      </x:c>
      <x:c r="O1285" s="25" t="str">
        <x:v>Lippi, Francesco, Stefania Ragni, and Nicholas Trachter, “Optimal monetary policy with heterogeneous money holdings,” Journal of Economic Theory, 2015, 159, 339 – 368.1</x:v>
      </x:c>
    </x:row>
    <x:row r="1286" ht="48" customHeight="1">
      <x:c r="A1286" s="24" t="str">
        <x:v>W08-R037</x:v>
      </x:c>
      <x:c r="B1286" s="24" t="str">
        <x:v>W08</x:v>
      </x:c>
      <x:c r="C1286" s="26" t="n">
        <x:v>37</x:v>
      </x:c>
      <x:c r="D1286" s="26" t="n">
        <x:v>53</x:v>
      </x:c>
      <x:c r="E1286" s="26" t="n">
        <x:v>53</x:v>
      </x:c>
      <x:c r="F1286" s="26" t="str">
        <x:v>Lucas</x:v>
      </x:c>
      <x:c r="G1286" s="26" t="n">
        <x:v>1987</x:v>
      </x:c>
      <x:c r="H1286" s="25" t="str">
        <x:v>Money and Interest in a Cash-in-Advance Economy</x:v>
      </x:c>
      <x:c r="I1286" s="25" t="str"/>
      <x:c r="J1286" s="25" t="str"/>
      <x:c r="K1286" s="25" t="str">
        <x:v>automatic_screen_pass</x:v>
      </x:c>
      <x:c r="L1286" s="25" t="str">
        <x:v>accepted</x:v>
      </x:c>
      <x:c r="M1286" s="25" t="str">
        <x:v>no</x:v>
      </x:c>
      <x:c r="N1286" s="25" t="str">
        <x:v>saki_research/working_papers/bigio_mendez_patten_theory_payments_chain_crises.pdf</x:v>
      </x:c>
      <x:c r="O1286" s="25" t="str">
        <x:v>Lucas, Robert E. and Nancy L. Stokey, “Money and Interest in a Cash-in-Advance Economy,” Econometrica, 1987, 55 (3), 491–513. Publisher: The Econometric Society.1,4.1</x:v>
      </x:c>
    </x:row>
    <x:row r="1287" ht="48" customHeight="1">
      <x:c r="A1287" s="24" t="str">
        <x:v>W08-R038</x:v>
      </x:c>
      <x:c r="B1287" s="24" t="str">
        <x:v>W08</x:v>
      </x:c>
      <x:c r="C1287" s="26" t="n">
        <x:v>38</x:v>
      </x:c>
      <x:c r="D1287" s="26" t="n">
        <x:v>53</x:v>
      </x:c>
      <x:c r="E1287" s="26" t="n">
        <x:v>53</x:v>
      </x:c>
      <x:c r="F1287" s="26" t="str">
        <x:v>Mendoza</x:v>
      </x:c>
      <x:c r="G1287" s="26" t="n">
        <x:v>2010</x:v>
      </x:c>
      <x:c r="H1287" s="25" t="str">
        <x:v>Sudden Stops, Financial Crises, and Leverage</x:v>
      </x:c>
      <x:c r="I1287" s="25" t="str"/>
      <x:c r="J1287" s="25" t="str"/>
      <x:c r="K1287" s="25" t="str">
        <x:v>automatic_screen_pass</x:v>
      </x:c>
      <x:c r="L1287" s="25" t="str">
        <x:v>accepted</x:v>
      </x:c>
      <x:c r="M1287" s="25" t="str">
        <x:v>no</x:v>
      </x:c>
      <x:c r="N1287" s="25" t="str">
        <x:v>saki_research/working_papers/bigio_mendez_patten_theory_payments_chain_crises.pdf</x:v>
      </x:c>
      <x:c r="O1287" s="25" t="str">
        <x:v>Mendoza, Enrique G., “Sudden Stops, Financial Crises, and Leverage,” American Economic Review, December 2010,100(5), 1941–66.1</x:v>
      </x:c>
    </x:row>
    <x:row r="1288" ht="48" customHeight="1">
      <x:c r="A1288" s="24" t="str">
        <x:v>W08-R039</x:v>
      </x:c>
      <x:c r="B1288" s="24" t="str">
        <x:v>W08</x:v>
      </x:c>
      <x:c r="C1288" s="26" t="n">
        <x:v>39</x:v>
      </x:c>
      <x:c r="D1288" s="26" t="n">
        <x:v>53</x:v>
      </x:c>
      <x:c r="E1288" s="26" t="n">
        <x:v>53</x:v>
      </x:c>
      <x:c r="F1288" s="26" t="str">
        <x:v>Meza</x:v>
      </x:c>
      <x:c r="G1288" s="26" t="n">
        <x:v>2005</x:v>
      </x:c>
      <x:c r="H1288" s="25" t="str">
        <x:v>Financial Crises: Still a Mystery</x:v>
      </x:c>
      <x:c r="I1288" s="25" t="str"/>
      <x:c r="J1288" s="25" t="str"/>
      <x:c r="K1288" s="25" t="str">
        <x:v>automatic_screen_pass</x:v>
      </x:c>
      <x:c r="L1288" s="25" t="str">
        <x:v>accepted</x:v>
      </x:c>
      <x:c r="M1288" s="25" t="str">
        <x:v>no</x:v>
      </x:c>
      <x:c r="N1288" s="25" t="str">
        <x:v>saki_research/working_papers/bigio_mendez_patten_theory_payments_chain_crises.pdf</x:v>
      </x:c>
      <x:c r="O1288" s="25" t="str">
        <x:v>Meza, Felipe and Erwan Quintin, “Financial Crises: Still a Mystery,” Technical Report FRB of Dallas, Southwest Economics, September/October 2005.1</x:v>
      </x:c>
    </x:row>
    <x:row r="1289" ht="48" customHeight="1">
      <x:c r="A1289" s="24" t="str">
        <x:v>W08-R040</x:v>
      </x:c>
      <x:c r="B1289" s="24" t="str">
        <x:v>W08</x:v>
      </x:c>
      <x:c r="C1289" s="26" t="n">
        <x:v>40</x:v>
      </x:c>
      <x:c r="D1289" s="26" t="n">
        <x:v>53</x:v>
      </x:c>
      <x:c r="E1289" s="26" t="n">
        <x:v>53</x:v>
      </x:c>
      <x:c r="F1289" s="26" t="str">
        <x:v>Meza</x:v>
      </x:c>
      <x:c r="G1289" s="26" t="n">
        <x:v>2007</x:v>
      </x:c>
      <x:c r="H1289" s="25" t="str">
        <x:v>FactorUtilizationandtheRealImpactofFinancialCrises</x:v>
      </x:c>
      <x:c r="I1289" s="25" t="str">
        <x:v>inherited_author_notation</x:v>
      </x:c>
      <x:c r="J1289" s="25" t="str"/>
      <x:c r="K1289" s="25" t="str">
        <x:v>automatic_screen_pass</x:v>
      </x:c>
      <x:c r="L1289" s="25" t="str">
        <x:v>accepted</x:v>
      </x:c>
      <x:c r="M1289" s="25" t="str">
        <x:v>no</x:v>
      </x:c>
      <x:c r="N1289" s="25" t="str">
        <x:v>saki_research/working_papers/bigio_mendez_patten_theory_payments_chain_crises.pdf</x:v>
      </x:c>
      <x:c r="O1289" s="25" t="str">
        <x:v>and ,“FactorUtilizationandtheRealImpactofFinancialCrises,” TheB.E.Journal of Macroeconomics, 2007,7 (1).1,1</x:v>
      </x:c>
    </x:row>
    <x:row r="1290" ht="48" customHeight="1">
      <x:c r="A1290" s="24" t="str">
        <x:v>W08-R041</x:v>
      </x:c>
      <x:c r="B1290" s="24" t="str">
        <x:v>W08</x:v>
      </x:c>
      <x:c r="C1290" s="26" t="n">
        <x:v>41</x:v>
      </x:c>
      <x:c r="D1290" s="26" t="n">
        <x:v>53</x:v>
      </x:c>
      <x:c r="E1290" s="26" t="n">
        <x:v>53</x:v>
      </x:c>
      <x:c r="F1290" s="26" t="str">
        <x:v>Méndez</x:v>
      </x:c>
      <x:c r="G1290" s="26" t="n">
        <x:v>2025</x:v>
      </x:c>
      <x:c r="H1290" s="25" t="str">
        <x:v>Voting on a Trade Agreement: Firm Networks and Attitudes Towards Openness</x:v>
      </x:c>
      <x:c r="I1290" s="25" t="str"/>
      <x:c r="J1290" s="25" t="str">
        <x:v>exhaustive_ai_audit_2026-09-17</x:v>
      </x:c>
      <x:c r="K1290" s="25" t="str">
        <x:v>exhaustive_visual_correction</x:v>
      </x:c>
      <x:c r="L1290" s="25" t="str">
        <x:v>corrected</x:v>
      </x:c>
      <x:c r="M1290" s="25" t="str">
        <x:v>no</x:v>
      </x:c>
      <x:c r="N1290" s="25" t="str">
        <x:v>saki_research/working_papers/bigio_mendez_patten_theory_payments_chain_crises.pdf</x:v>
      </x:c>
      <x:c r="O1290" s="25" t="str">
        <x:v>M ́endez, Esteban and Diana Van Patten, “Voting on a Trade Agreement: Firm Networks and Attitudes Towards Openness,” The Review of Economic Studies, 03 2025, p. rdaf005.5</x:v>
      </x:c>
    </x:row>
    <x:row r="1291" ht="48" customHeight="1">
      <x:c r="A1291" s="24" t="str">
        <x:v>W08-R042</x:v>
      </x:c>
      <x:c r="B1291" s="24" t="str">
        <x:v>W08</x:v>
      </x:c>
      <x:c r="C1291" s="26" t="n">
        <x:v>42</x:v>
      </x:c>
      <x:c r="D1291" s="26" t="n">
        <x:v>53</x:v>
      </x:c>
      <x:c r="E1291" s="26" t="n">
        <x:v>53</x:v>
      </x:c>
      <x:c r="F1291" s="26" t="str">
        <x:v>Nosal</x:v>
      </x:c>
      <x:c r="G1291" s="26" t="n">
        <x:v>2011</x:v>
      </x:c>
      <x:c r="H1291" s="25" t="str">
        <x:v>Money, Payment, and Liquidity</x:v>
      </x:c>
      <x:c r="I1291" s="25" t="str"/>
      <x:c r="J1291" s="25" t="str">
        <x:v>literal_citation_review_2026-09-16</x:v>
      </x:c>
      <x:c r="K1291" s="25" t="str">
        <x:v>automatic_screen_pass</x:v>
      </x:c>
      <x:c r="L1291" s="25" t="str">
        <x:v>accepted</x:v>
      </x:c>
      <x:c r="M1291" s="25" t="str">
        <x:v>no</x:v>
      </x:c>
      <x:c r="N1291" s="25" t="str">
        <x:v>saki_research/working_papers/bigio_mendez_patten_theory_payments_chain_crises.pdf</x:v>
      </x:c>
      <x:c r="O1291" s="25" t="str">
        <x:v>Nosal,EdandGuillaumeRocheteau,Money,Payment,andLiquidity,MITPress,2011.</x:v>
      </x:c>
    </x:row>
    <x:row r="1292" ht="48" customHeight="1">
      <x:c r="A1292" s="24" t="str">
        <x:v>W08-R043</x:v>
      </x:c>
      <x:c r="B1292" s="24" t="str">
        <x:v>W08</x:v>
      </x:c>
      <x:c r="C1292" s="26" t="n">
        <x:v>43</x:v>
      </x:c>
      <x:c r="D1292" s="26" t="n">
        <x:v>53</x:v>
      </x:c>
      <x:c r="E1292" s="26" t="n">
        <x:v>53</x:v>
      </x:c>
      <x:c r="F1292" s="26" t="str">
        <x:v>Oberfield</x:v>
      </x:c>
      <x:c r="G1292" s="26" t="n">
        <x:v>2013</x:v>
      </x:c>
      <x:c r="H1292" s="25" t="str">
        <x:v>Productivity and misallocation during a crisis: Evidence from the Chilean crisis of 1982</x:v>
      </x:c>
      <x:c r="I1292" s="25" t="str"/>
      <x:c r="J1292" s="25" t="str">
        <x:v>exhaustive_ai_audit_2026-09-17</x:v>
      </x:c>
      <x:c r="K1292" s="25" t="str">
        <x:v>exhaustive_visual_correction</x:v>
      </x:c>
      <x:c r="L1292" s="25" t="str">
        <x:v>corrected</x:v>
      </x:c>
      <x:c r="M1292" s="25" t="str">
        <x:v>no</x:v>
      </x:c>
      <x:c r="N1292" s="25" t="str">
        <x:v>saki_research/working_papers/bigio_mendez_patten_theory_payments_chain_crises.pdf</x:v>
      </x:c>
      <x:c r="O1292" s="25" t="str">
        <x:v>Oberfield, Ezra, “Productivity and misallocation during a crisis: Evidence from the Chilean crisis of 1982,” Review of Economic Dynamics, 2013, 16 (1), 100–119. Special issue: Misallocation and Productivity.1,1</x:v>
      </x:c>
    </x:row>
    <x:row r="1293" ht="48" customHeight="1">
      <x:c r="A1293" s="24" t="str">
        <x:v>W08-R044</x:v>
      </x:c>
      <x:c r="B1293" s="24" t="str">
        <x:v>W08</x:v>
      </x:c>
      <x:c r="C1293" s="26" t="n">
        <x:v>44</x:v>
      </x:c>
      <x:c r="D1293" s="26" t="n">
        <x:v>53</x:v>
      </x:c>
      <x:c r="E1293" s="26" t="n">
        <x:v>53</x:v>
      </x:c>
      <x:c r="F1293" s="26" t="str">
        <x:v>Oberfield</x:v>
      </x:c>
      <x:c r="G1293" s="26" t="n">
        <x:v>2018</x:v>
      </x:c>
      <x:c r="H1293" s="25" t="str">
        <x:v>A Theory of Input-Output Architecture</x:v>
      </x:c>
      <x:c r="I1293" s="25" t="str">
        <x:v>inherited_author_notation</x:v>
      </x:c>
      <x:c r="J1293" s="25" t="str">
        <x:v>exhaustive_ai_audit_2026-09-17</x:v>
      </x:c>
      <x:c r="K1293" s="25" t="str">
        <x:v>exhaustive_visual_correction</x:v>
      </x:c>
      <x:c r="L1293" s="25" t="str">
        <x:v>corrected</x:v>
      </x:c>
      <x:c r="M1293" s="25" t="str">
        <x:v>no</x:v>
      </x:c>
      <x:c r="N1293" s="25" t="str">
        <x:v>saki_research/working_papers/bigio_mendez_patten_theory_payments_chain_crises.pdf</x:v>
      </x:c>
      <x:c r="O1293" s="25" t="str">
        <x:v>, “A Theory of Input-Output Architecture,” Econometrica, 3 2018,86(2), 559–589.1</x:v>
      </x:c>
    </x:row>
    <x:row r="1294" ht="48" customHeight="1">
      <x:c r="A1294" s="24" t="str">
        <x:v>W08-R045</x:v>
      </x:c>
      <x:c r="B1294" s="24" t="str">
        <x:v>W08</x:v>
      </x:c>
      <x:c r="C1294" s="26" t="n">
        <x:v>45</x:v>
      </x:c>
      <x:c r="D1294" s="26" t="n">
        <x:v>53</x:v>
      </x:c>
      <x:c r="E1294" s="26" t="n">
        <x:v>53</x:v>
      </x:c>
      <x:c r="F1294" s="26" t="str">
        <x:v>Pratap</x:v>
      </x:c>
      <x:c r="G1294" s="26" t="n">
        <x:v>2012</x:v>
      </x:c>
      <x:c r="H1294" s="25" t="str">
        <x:v>Financialfrictionsandtotalfactorproductivity: Accounting for the real effects of financial crises</x:v>
      </x:c>
      <x:c r="I1294" s="25" t="str"/>
      <x:c r="J1294" s="25" t="str"/>
      <x:c r="K1294" s="25" t="str">
        <x:v>automatic_screen_pass</x:v>
      </x:c>
      <x:c r="L1294" s="25" t="str">
        <x:v>accepted</x:v>
      </x:c>
      <x:c r="M1294" s="25" t="str">
        <x:v>no</x:v>
      </x:c>
      <x:c r="N1294" s="25" t="str">
        <x:v>saki_research/working_papers/bigio_mendez_patten_theory_payments_chain_crises.pdf</x:v>
      </x:c>
      <x:c r="O1294" s="25" t="str">
        <x:v>Pratap,SangeetaandCarlosUrrutia,“Financialfrictionsandtotalfactorproductivity: Accounting for the real effects of financial crises,” Review of Economic Dynamics, 2012,15 (3), 336–358.1</x:v>
      </x:c>
    </x:row>
    <x:row r="1295" ht="48" customHeight="1">
      <x:c r="A1295" s="24" t="str">
        <x:v>W08-R046</x:v>
      </x:c>
      <x:c r="B1295" s="24" t="str">
        <x:v>W08</x:v>
      </x:c>
      <x:c r="C1295" s="26" t="n">
        <x:v>46</x:v>
      </x:c>
      <x:c r="D1295" s="26" t="n">
        <x:v>53</x:v>
      </x:c>
      <x:c r="E1295" s="26" t="n">
        <x:v>53</x:v>
      </x:c>
      <x:c r="F1295" s="26" t="str">
        <x:v>Rocheteau</x:v>
      </x:c>
      <x:c r="G1295" s="26" t="n">
        <x:v>2011</x:v>
      </x:c>
      <x:c r="H1295" s="25" t="str">
        <x:v>Payment and Liquidity under Adverse Selection</x:v>
      </x:c>
      <x:c r="I1295" s="25" t="str"/>
      <x:c r="J1295" s="25" t="str"/>
      <x:c r="K1295" s="25" t="str">
        <x:v>automatic_screen_pass</x:v>
      </x:c>
      <x:c r="L1295" s="25" t="str">
        <x:v>accepted</x:v>
      </x:c>
      <x:c r="M1295" s="25" t="str">
        <x:v>no</x:v>
      </x:c>
      <x:c r="N1295" s="25" t="str">
        <x:v>saki_research/working_papers/bigio_mendez_patten_theory_payments_chain_crises.pdf</x:v>
      </x:c>
      <x:c r="O1295" s="25" t="str">
        <x:v>Rocheteau, Guillaume, “Payment and Liquidity under Adverse Selection,” Journal of Monetary Economics, 2011, 58(191-205).2</x:v>
      </x:c>
    </x:row>
    <x:row r="1296" ht="48" customHeight="1">
      <x:c r="A1296" s="24" t="str">
        <x:v>W08-R047</x:v>
      </x:c>
      <x:c r="B1296" s="24" t="str">
        <x:v>W08</x:v>
      </x:c>
      <x:c r="C1296" s="26" t="n">
        <x:v>47</x:v>
      </x:c>
      <x:c r="D1296" s="26" t="n">
        <x:v>53</x:v>
      </x:c>
      <x:c r="E1296" s="26" t="n">
        <x:v>53</x:v>
      </x:c>
      <x:c r="F1296" s="26" t="str">
        <x:v>Rocheteau</x:v>
      </x:c>
      <x:c r="G1296" s="26" t="n">
        <x:v>2016</x:v>
      </x:c>
      <x:c r="H1296" s="25" t="str">
        <x:v>WorkingthroughtheDistribution: Money in the Short and Long Run</x:v>
      </x:c>
      <x:c r="I1296" s="25" t="str">
        <x:v>inherited_author_notation</x:v>
      </x:c>
      <x:c r="J1296" s="25" t="str"/>
      <x:c r="K1296" s="25" t="str">
        <x:v>automatic_screen_pass</x:v>
      </x:c>
      <x:c r="L1296" s="25" t="str">
        <x:v>accepted</x:v>
      </x:c>
      <x:c r="M1296" s="25" t="str">
        <x:v>no</x:v>
      </x:c>
      <x:c r="N1296" s="25" t="str">
        <x:v>saki_research/working_papers/bigio_mendez_patten_theory_payments_chain_crises.pdf</x:v>
      </x:c>
      <x:c r="O1296" s="25" t="str">
        <x:v>Tsz-NgaWong,andPierre-OlivierWeill,“WorkingthroughtheDistribution: Money in the Short and Long Run,” May 2016.1</x:v>
      </x:c>
    </x:row>
    <x:row r="1297" ht="48" customHeight="1">
      <x:c r="A1297" s="24" t="str">
        <x:v>W08-R048</x:v>
      </x:c>
      <x:c r="B1297" s="24" t="str">
        <x:v>W08</x:v>
      </x:c>
      <x:c r="C1297" s="26" t="n">
        <x:v>48</x:v>
      </x:c>
      <x:c r="D1297" s="26" t="n">
        <x:v>53</x:v>
      </x:c>
      <x:c r="E1297" s="26" t="n">
        <x:v>53</x:v>
      </x:c>
      <x:c r="F1297" s="26" t="str">
        <x:v>Shi</x:v>
      </x:c>
      <x:c r="G1297" s="26" t="n">
        <x:v>1997</x:v>
      </x:c>
      <x:c r="H1297" s="25" t="str">
        <x:v>A Divisible Search Model of Fiat Money</x:v>
      </x:c>
      <x:c r="I1297" s="25" t="str"/>
      <x:c r="J1297" s="25" t="str"/>
      <x:c r="K1297" s="25" t="str">
        <x:v>prior_manual_sample</x:v>
      </x:c>
      <x:c r="L1297" s="25" t="str">
        <x:v>accepted</x:v>
      </x:c>
      <x:c r="M1297" s="25" t="str">
        <x:v>no</x:v>
      </x:c>
      <x:c r="N1297" s="25" t="str">
        <x:v>saki_research/working_papers/bigio_mendez_patten_theory_payments_chain_crises.pdf</x:v>
      </x:c>
      <x:c r="O1297" s="25" t="str">
        <x:v>Shi, Shouyong, “A Divisible Search Model of Fiat Money,” Econometrica, 1997, 65, 75– 102.2</x:v>
      </x:c>
    </x:row>
    <x:row r="1298" ht="48" customHeight="1">
      <x:c r="A1298" s="24" t="str">
        <x:v>W08-R049</x:v>
      </x:c>
      <x:c r="B1298" s="24" t="str">
        <x:v>W08</x:v>
      </x:c>
      <x:c r="C1298" s="26" t="n">
        <x:v>49</x:v>
      </x:c>
      <x:c r="D1298" s="26" t="n">
        <x:v>53</x:v>
      </x:c>
      <x:c r="E1298" s="26" t="n">
        <x:v>53</x:v>
      </x:c>
      <x:c r="F1298" s="26" t="str">
        <x:v>Summers</x:v>
      </x:c>
      <x:c r="G1298" s="26" t="n">
        <x:v>1986</x:v>
      </x:c>
      <x:c r="H1298" s="25" t="str">
        <x:v>SomeSkepticalObservationsonRealBusinessCycleTheory</x:v>
      </x:c>
      <x:c r="I1298" s="25" t="str"/>
      <x:c r="J1298" s="25" t="str"/>
      <x:c r="K1298" s="25" t="str">
        <x:v>automatic_screen_pass</x:v>
      </x:c>
      <x:c r="L1298" s="25" t="str">
        <x:v>accepted</x:v>
      </x:c>
      <x:c r="M1298" s="25" t="str">
        <x:v>no</x:v>
      </x:c>
      <x:c r="N1298" s="25" t="str">
        <x:v>saki_research/working_papers/bigio_mendez_patten_theory_payments_chain_crises.pdf</x:v>
      </x:c>
      <x:c r="O1298" s="25" t="str">
        <x:v>Summers,LawrenceH.,“SomeSkepticalObservationsonRealBusinessCycleTheory,” Federal Reserve Bank of Minneapolis Quarterly Review, 1986.1</x:v>
      </x:c>
    </x:row>
    <x:row r="1299" ht="48" customHeight="1">
      <x:c r="A1299" s="24" t="str">
        <x:v>W08-R050</x:v>
      </x:c>
      <x:c r="B1299" s="24" t="str">
        <x:v>W08</x:v>
      </x:c>
      <x:c r="C1299" s="26" t="n">
        <x:v>50</x:v>
      </x:c>
      <x:c r="D1299" s="26" t="n">
        <x:v>53</x:v>
      </x:c>
      <x:c r="E1299" s="26" t="n">
        <x:v>53</x:v>
      </x:c>
      <x:c r="F1299" s="26" t="str">
        <x:v>Taschereau-Dumouchel</x:v>
      </x:c>
      <x:c r="G1299" s="26" t="n">
        <x:v>2022</x:v>
      </x:c>
      <x:c r="H1299" s="25" t="str">
        <x:v>Cascades and Fluctuations in an Economy with an Endogenous Production Network</x:v>
      </x:c>
      <x:c r="I1299" s="25" t="str"/>
      <x:c r="J1299" s="25" t="str"/>
      <x:c r="K1299" s="25" t="str">
        <x:v>automatic_screen_pass</x:v>
      </x:c>
      <x:c r="L1299" s="25" t="str">
        <x:v>accepted</x:v>
      </x:c>
      <x:c r="M1299" s="25" t="str">
        <x:v>no</x:v>
      </x:c>
      <x:c r="N1299" s="25" t="str">
        <x:v>saki_research/working_papers/bigio_mendez_patten_theory_payments_chain_crises.pdf</x:v>
      </x:c>
      <x:c r="O1299" s="25" t="str">
        <x:v>Taschereau-Dumouchel, Mathieu, “Cascades and Fluctuations in an Economy with an Endogenous Production Network,” 2022.1</x:v>
      </x:c>
    </x:row>
    <x:row r="1300" ht="48" customHeight="1">
      <x:c r="A1300" s="24" t="str">
        <x:v>W08-R051</x:v>
      </x:c>
      <x:c r="B1300" s="24" t="str">
        <x:v>W08</x:v>
      </x:c>
      <x:c r="C1300" s="26" t="n">
        <x:v>51</x:v>
      </x:c>
      <x:c r="D1300" s="26" t="n">
        <x:v>53</x:v>
      </x:c>
      <x:c r="E1300" s="26" t="n">
        <x:v>53</x:v>
      </x:c>
      <x:c r="F1300" s="26" t="str">
        <x:v>Townsend</x:v>
      </x:c>
      <x:c r="G1300" s="26" t="n">
        <x:v>1980</x:v>
      </x:c>
      <x:c r="H1300" s="25" t="str">
        <x:v>Models of Monetary Economies</x:v>
      </x:c>
      <x:c r="I1300" s="25" t="str"/>
      <x:c r="J1300" s="25" t="str"/>
      <x:c r="K1300" s="25" t="str">
        <x:v>automatic_screen_pass</x:v>
      </x:c>
      <x:c r="L1300" s="25" t="str">
        <x:v>accepted</x:v>
      </x:c>
      <x:c r="M1300" s="25" t="str">
        <x:v>no</x:v>
      </x:c>
      <x:c r="N1300" s="25" t="str">
        <x:v>saki_research/working_papers/bigio_mendez_patten_theory_payments_chain_crises.pdf</x:v>
      </x:c>
      <x:c r="O1300" s="25" t="str">
        <x:v>Townsend, Robert M., “Models of Monetary Economies,” 1980, pp. 265–303.1</x:v>
      </x:c>
    </x:row>
    <x:row r="1301" ht="48" customHeight="1">
      <x:c r="A1301" s="24" t="str">
        <x:v>W08-R052</x:v>
      </x:c>
      <x:c r="B1301" s="24" t="str">
        <x:v>W08</x:v>
      </x:c>
      <x:c r="C1301" s="26" t="n">
        <x:v>52</x:v>
      </x:c>
      <x:c r="D1301" s="26" t="n">
        <x:v>53</x:v>
      </x:c>
      <x:c r="E1301" s="26" t="n">
        <x:v>53</x:v>
      </x:c>
      <x:c r="F1301" s="26" t="str">
        <x:v>vonSchedvin</x:v>
      </x:c>
      <x:c r="G1301" s="26" t="n">
        <x:v>2015</x:v>
      </x:c>
      <x:c r="H1301" s="25" t="str">
        <x:v>TradeCreditandthePropagationofCorporateFailure: An Empirical Analysis</x:v>
      </x:c>
      <x:c r="I1301" s="25" t="str"/>
      <x:c r="J1301" s="25" t="str"/>
      <x:c r="K1301" s="25" t="str">
        <x:v>automatic_screen_pass</x:v>
      </x:c>
      <x:c r="L1301" s="25" t="str">
        <x:v>accepted</x:v>
      </x:c>
      <x:c r="M1301" s="25" t="str">
        <x:v>no</x:v>
      </x:c>
      <x:c r="N1301" s="25" t="str">
        <x:v>saki_research/working_papers/bigio_mendez_patten_theory_payments_chain_crises.pdf</x:v>
      </x:c>
      <x:c r="O1301" s="25" t="str">
        <x:v>vonSchedvin,ErikJacobsenTor;,“TradeCreditandthePropagationofCorporateFailure: An Empirical Analysis,” Econometrica, July 2015,83(4), 1315–1371.1</x:v>
      </x:c>
    </x:row>
    <x:row r="1302" ht="48" customHeight="1">
      <x:c r="A1302" s="24" t="str">
        <x:v>W08-R053</x:v>
      </x:c>
      <x:c r="B1302" s="24" t="str">
        <x:v>W08</x:v>
      </x:c>
      <x:c r="C1302" s="26" t="n">
        <x:v>53</x:v>
      </x:c>
      <x:c r="D1302" s="26" t="n">
        <x:v>53</x:v>
      </x:c>
      <x:c r="E1302" s="26" t="n">
        <x:v>53</x:v>
      </x:c>
      <x:c r="F1302" s="26" t="str">
        <x:v>Woodford</x:v>
      </x:c>
      <x:c r="G1302" s="26" t="n">
        <x:v>2022</x:v>
      </x:c>
      <x:c r="H1302" s="25" t="str">
        <x:v>Effective Demand Failures and the Limits of Monetary Stabilization Policy</x:v>
      </x:c>
      <x:c r="I1302" s="25" t="str"/>
      <x:c r="J1302" s="25" t="str"/>
      <x:c r="K1302" s="25" t="str">
        <x:v>automatic_screen_pass</x:v>
      </x:c>
      <x:c r="L1302" s="25" t="str">
        <x:v>accepted</x:v>
      </x:c>
      <x:c r="M1302" s="25" t="str">
        <x:v>no</x:v>
      </x:c>
      <x:c r="N1302" s="25" t="str">
        <x:v>saki_research/working_papers/bigio_mendez_patten_theory_payments_chain_crises.pdf</x:v>
      </x:c>
      <x:c r="O1302" s="25" t="str">
        <x:v>Woodford, Michael, “Effective Demand Failures and the Limits of Monetary Stabilization Policy,” forthcoming American Economic Review, 2022.1</x:v>
      </x:c>
    </x:row>
    <x:row r="1303" ht="48" customHeight="1">
      <x:c r="A1303" s="24" t="str">
        <x:v>W05-R001</x:v>
      </x:c>
      <x:c r="B1303" s="24" t="str">
        <x:v>W05</x:v>
      </x:c>
      <x:c r="C1303" s="26" t="n">
        <x:v>1</x:v>
      </x:c>
      <x:c r="D1303" s="26" t="n">
        <x:v>35</x:v>
      </x:c>
      <x:c r="E1303" s="26" t="n">
        <x:v>35</x:v>
      </x:c>
      <x:c r="F1303" s="26" t="str">
        <x:v>Aguiar</x:v>
      </x:c>
      <x:c r="G1303" s="26" t="n">
        <x:v>2006</x:v>
      </x:c>
      <x:c r="H1303" s="25" t="str">
        <x:v>Defaultable debt, interest rates and the current account</x:v>
      </x:c>
      <x:c r="I1303" s="25" t="str"/>
      <x:c r="J1303" s="25" t="str"/>
      <x:c r="K1303" s="25" t="str">
        <x:v>prior_manual_sample</x:v>
      </x:c>
      <x:c r="L1303" s="25" t="str">
        <x:v>accepted</x:v>
      </x:c>
      <x:c r="M1303" s="25" t="str">
        <x:v>no</x:v>
      </x:c>
      <x:c r="N1303" s="25" t="str">
        <x:v>saki_research/working_papers/bigio_nuno_decomposing_optimal_debt_maturity.pdf</x:v>
      </x:c>
      <x:c r="O1303" s="25" t="str">
        <x:v>Aguiar, Mark and Gita Gopinath, “Defaultable debt, interest rates and the current account,” Journal of International Economics, 2006,69(1), 64 – 83.4</x:v>
      </x:c>
    </x:row>
    <x:row r="1304" ht="48" customHeight="1">
      <x:c r="A1304" s="24" t="str">
        <x:v>W05-R002</x:v>
      </x:c>
      <x:c r="B1304" s="24" t="str">
        <x:v>W05</x:v>
      </x:c>
      <x:c r="C1304" s="26" t="n">
        <x:v>2</x:v>
      </x:c>
      <x:c r="D1304" s="26" t="n">
        <x:v>35</x:v>
      </x:c>
      <x:c r="E1304" s="26" t="n">
        <x:v>35</x:v>
      </x:c>
      <x:c r="F1304" s="26" t="str">
        <x:v>Aguiar</x:v>
      </x:c>
      <x:c r="G1304" s="26" t="n">
        <x:v>2013</x:v>
      </x:c>
      <x:c r="H1304" s="25" t="str">
        <x:v>Sovereign Debt: A Review</x:v>
      </x:c>
      <x:c r="I1304" s="25" t="str">
        <x:v>inherited_author_notation</x:v>
      </x:c>
      <x:c r="J1304" s="25" t="str">
        <x:v>exhaustive_ai_audit_2026-09-17</x:v>
      </x:c>
      <x:c r="K1304" s="25" t="str">
        <x:v>exhaustive_visual_correction</x:v>
      </x:c>
      <x:c r="L1304" s="25" t="str">
        <x:v>corrected</x:v>
      </x:c>
      <x:c r="M1304" s="25" t="str">
        <x:v>no</x:v>
      </x:c>
      <x:c r="N1304" s="25" t="str">
        <x:v>saki_research/working_papers/bigio_nuno_decomposing_optimal_debt_maturity.pdf</x:v>
      </x:c>
      <x:c r="O1304" s="25" t="str">
        <x:v>and Manuel Amador, “Sovereign Debt: A Review,” Technical Report, National Bureau of Economic Research August 2013.1</x:v>
      </x:c>
    </x:row>
    <x:row r="1305" ht="48" customHeight="1">
      <x:c r="A1305" s="24" t="str">
        <x:v>W05-R003</x:v>
      </x:c>
      <x:c r="B1305" s="24" t="str">
        <x:v>W05</x:v>
      </x:c>
      <x:c r="C1305" s="26" t="n">
        <x:v>3</x:v>
      </x:c>
      <x:c r="D1305" s="26" t="n">
        <x:v>35</x:v>
      </x:c>
      <x:c r="E1305" s="26" t="n">
        <x:v>35</x:v>
      </x:c>
      <x:c r="F1305" s="26" t="str">
        <x:v>Aguiar</x:v>
      </x:c>
      <x:c r="G1305" s="26"/>
      <x:c r="H1305" s="25" t="str">
        <x:v>Take the short route: Equilibrium default and debt maturity</x:v>
      </x:c>
      <x:c r="I1305" s="25" t="str">
        <x:v>inherited_author_notation; source_year_malformed; missing_year</x:v>
      </x:c>
      <x:c r="J1305" s="25" t="str">
        <x:v>exhaustive_ai_audit_2026-09-17</x:v>
      </x:c>
      <x:c r="K1305" s="25" t="str">
        <x:v>exhaustive_visual_correction</x:v>
      </x:c>
      <x:c r="L1305" s="25" t="str">
        <x:v>accepted_source_exception</x:v>
      </x:c>
      <x:c r="M1305" s="25" t="str">
        <x:v>no</x:v>
      </x:c>
      <x:c r="N1305" s="25" t="str">
        <x:v>saki_research/working_papers/bigio_nuno_decomposing_optimal_debt_maturity.pdf</x:v>
      </x:c>
      <x:c r="O1305" s="25" t="str">
        <x:v>, ,HugoHopenhayn,andIv ́anWerning,“Taketheshortroute: Equilibriumdefault and debt maturity,” Econometrica, 219,87(2), 423–462.1</x:v>
      </x:c>
    </x:row>
    <x:row r="1306" ht="48" customHeight="1">
      <x:c r="A1306" s="24" t="str">
        <x:v>W05-R004</x:v>
      </x:c>
      <x:c r="B1306" s="24" t="str">
        <x:v>W05</x:v>
      </x:c>
      <x:c r="C1306" s="26" t="n">
        <x:v>4</x:v>
      </x:c>
      <x:c r="D1306" s="26" t="n">
        <x:v>35</x:v>
      </x:c>
      <x:c r="E1306" s="26" t="n">
        <x:v>35</x:v>
      </x:c>
      <x:c r="F1306" s="26" t="str">
        <x:v>Ahn</x:v>
      </x:c>
      <x:c r="G1306" s="26" t="n">
        <x:v>2017</x:v>
      </x:c>
      <x:c r="H1306" s="25" t="str">
        <x:v>Micro Heterogeneity and Aggregate Consumption Dynamics</x:v>
      </x:c>
      <x:c r="I1306" s="25" t="str"/>
      <x:c r="J1306" s="25" t="str"/>
      <x:c r="K1306" s="25" t="str">
        <x:v>automatic_screen_pass</x:v>
      </x:c>
      <x:c r="L1306" s="25" t="str">
        <x:v>accepted</x:v>
      </x:c>
      <x:c r="M1306" s="25" t="str">
        <x:v>no</x:v>
      </x:c>
      <x:c r="N1306" s="25" t="str">
        <x:v>saki_research/working_papers/bigio_nuno_decomposing_optimal_debt_maturity.pdf</x:v>
      </x:c>
      <x:c r="O1306" s="25" t="str">
        <x:v>Ahn, S, Greg Kaplan, Benjamin Moll, Thomas Winberry, and Christian Wolf, “Micro Heterogeneity and Aggregate Consumption Dynamics,” NBER Macroeconomics Annual, forthcoming, 2017.1</x:v>
      </x:c>
    </x:row>
    <x:row r="1307" ht="48" customHeight="1">
      <x:c r="A1307" s="24" t="str">
        <x:v>W05-R005</x:v>
      </x:c>
      <x:c r="B1307" s="24" t="str">
        <x:v>W05</x:v>
      </x:c>
      <x:c r="C1307" s="26" t="n">
        <x:v>5</x:v>
      </x:c>
      <x:c r="D1307" s="26" t="n">
        <x:v>35</x:v>
      </x:c>
      <x:c r="E1307" s="26" t="n">
        <x:v>35</x:v>
      </x:c>
      <x:c r="F1307" s="26" t="str">
        <x:v>Aiyagari</x:v>
      </x:c>
      <x:c r="G1307" s="26" t="n">
        <x:v>2002</x:v>
      </x:c>
      <x:c r="H1307" s="25" t="str">
        <x:v>Optimal taxation without state-contingent debt</x:v>
      </x:c>
      <x:c r="I1307" s="25" t="str"/>
      <x:c r="J1307" s="25" t="str"/>
      <x:c r="K1307" s="25" t="str">
        <x:v>automatic_screen_pass</x:v>
      </x:c>
      <x:c r="L1307" s="25" t="str">
        <x:v>accepted</x:v>
      </x:c>
      <x:c r="M1307" s="25" t="str">
        <x:v>no</x:v>
      </x:c>
      <x:c r="N1307" s="25" t="str">
        <x:v>saki_research/working_papers/bigio_nuno_decomposing_optimal_debt_maturity.pdf</x:v>
      </x:c>
      <x:c r="O1307" s="25" t="str">
        <x:v>Aiyagari, S Rao, Albert Marcet, Thomas J Sargent, and Juha Sepp ̈al ̈a, “Optimal taxation without state-contingent debt,” Journal of Political Economy, 2002, 110 (6), 1220–1254.1</x:v>
      </x:c>
    </x:row>
    <x:row r="1308" ht="48" customHeight="1">
      <x:c r="A1308" s="24" t="str">
        <x:v>W05-R006</x:v>
      </x:c>
      <x:c r="B1308" s="24" t="str">
        <x:v>W05</x:v>
      </x:c>
      <x:c r="C1308" s="26" t="n">
        <x:v>6</x:v>
      </x:c>
      <x:c r="D1308" s="26" t="n">
        <x:v>35</x:v>
      </x:c>
      <x:c r="E1308" s="26" t="n">
        <x:v>35</x:v>
      </x:c>
      <x:c r="F1308" s="26" t="str">
        <x:v>Angeletos</x:v>
      </x:c>
      <x:c r="G1308" s="26" t="n">
        <x:v>2002</x:v>
      </x:c>
      <x:c r="H1308" s="25" t="str">
        <x:v>Fiscal policy with noncontingent debt and the optimal maturity structure</x:v>
      </x:c>
      <x:c r="I1308" s="25" t="str"/>
      <x:c r="J1308" s="25" t="str"/>
      <x:c r="K1308" s="25" t="str">
        <x:v>automatic_screen_pass</x:v>
      </x:c>
      <x:c r="L1308" s="25" t="str">
        <x:v>accepted</x:v>
      </x:c>
      <x:c r="M1308" s="25" t="str">
        <x:v>no</x:v>
      </x:c>
      <x:c r="N1308" s="25" t="str">
        <x:v>saki_research/working_papers/bigio_nuno_decomposing_optimal_debt_maturity.pdf</x:v>
      </x:c>
      <x:c r="O1308" s="25" t="str">
        <x:v>Angeletos, George-Marios, “Fiscal policy with noncontingent debt and the optimal maturity structure,” The Quarterly Journal of Economics, 2002, 117 (3), 1105–1131. 1,1,3.1,3.1,9</x:v>
      </x:c>
    </x:row>
    <x:row r="1309" ht="48" customHeight="1">
      <x:c r="A1309" s="24" t="str">
        <x:v>W05-R007</x:v>
      </x:c>
      <x:c r="B1309" s="24" t="str">
        <x:v>W05</x:v>
      </x:c>
      <x:c r="C1309" s="26" t="n">
        <x:v>7</x:v>
      </x:c>
      <x:c r="D1309" s="26" t="n">
        <x:v>35</x:v>
      </x:c>
      <x:c r="E1309" s="26" t="n">
        <x:v>35</x:v>
      </x:c>
      <x:c r="F1309" s="26" t="str">
        <x:v>Arellano</x:v>
      </x:c>
      <x:c r="G1309" s="26" t="n">
        <x:v>2008</x:v>
      </x:c>
      <x:c r="H1309" s="25" t="str">
        <x:v>Default Risk and Income Fluctuations in Emerging Economies</x:v>
      </x:c>
      <x:c r="I1309" s="25" t="str"/>
      <x:c r="J1309" s="25" t="str"/>
      <x:c r="K1309" s="25" t="str">
        <x:v>prior_manual_sample</x:v>
      </x:c>
      <x:c r="L1309" s="25" t="str">
        <x:v>accepted</x:v>
      </x:c>
      <x:c r="M1309" s="25" t="str">
        <x:v>no</x:v>
      </x:c>
      <x:c r="N1309" s="25" t="str">
        <x:v>saki_research/working_papers/bigio_nuno_decomposing_optimal_debt_maturity.pdf</x:v>
      </x:c>
      <x:c r="O1309" s="25" t="str">
        <x:v>Arellano, Cristina, “Default Risk and Income Fluctuations in Emerging Economies,” The American Economic Review, 2008, 98(3), 690–712.1,1</x:v>
      </x:c>
    </x:row>
    <x:row r="1310" ht="48" customHeight="1">
      <x:c r="A1310" s="24" t="str">
        <x:v>W05-R008</x:v>
      </x:c>
      <x:c r="B1310" s="24" t="str">
        <x:v>W05</x:v>
      </x:c>
      <x:c r="C1310" s="26" t="n">
        <x:v>8</x:v>
      </x:c>
      <x:c r="D1310" s="26" t="n">
        <x:v>35</x:v>
      </x:c>
      <x:c r="E1310" s="26" t="n">
        <x:v>35</x:v>
      </x:c>
      <x:c r="F1310" s="26" t="str">
        <x:v>Arellano</x:v>
      </x:c>
      <x:c r="G1310" s="26" t="n">
        <x:v>2012</x:v>
      </x:c>
      <x:c r="H1310" s="25" t="str">
        <x:v>Default and the Maturity Structure in Sovereign Bonds</x:v>
      </x:c>
      <x:c r="I1310" s="25" t="str">
        <x:v>inherited_author_notation</x:v>
      </x:c>
      <x:c r="J1310" s="25" t="str"/>
      <x:c r="K1310" s="25" t="str">
        <x:v>automatic_screen_pass</x:v>
      </x:c>
      <x:c r="L1310" s="25" t="str">
        <x:v>accepted</x:v>
      </x:c>
      <x:c r="M1310" s="25" t="str">
        <x:v>no</x:v>
      </x:c>
      <x:c r="N1310" s="25" t="str">
        <x:v>saki_research/working_papers/bigio_nuno_decomposing_optimal_debt_maturity.pdf</x:v>
      </x:c>
      <x:c r="O1310" s="25" t="str">
        <x:v>and Ananth Ramanarayanan, “Default and the Maturity Structure in Sovereign Bonds,” Journal of Political Economy, 2012, 120(2), pp. 187–232.1</x:v>
      </x:c>
    </x:row>
    <x:row r="1311" ht="48" customHeight="1">
      <x:c r="A1311" s="24" t="str">
        <x:v>W05-R009</x:v>
      </x:c>
      <x:c r="B1311" s="24" t="str">
        <x:v>W05</x:v>
      </x:c>
      <x:c r="C1311" s="26" t="n">
        <x:v>9</x:v>
      </x:c>
      <x:c r="D1311" s="26" t="n">
        <x:v>35</x:v>
      </x:c>
      <x:c r="E1311" s="26" t="n">
        <x:v>35</x:v>
      </x:c>
      <x:c r="F1311" s="26" t="str">
        <x:v>Auclert</x:v>
      </x:c>
      <x:c r="G1311" s="26" t="n">
        <x:v>2019</x:v>
      </x:c>
      <x:c r="H1311" s="25" t="str">
        <x:v>Using the Sequence-Space Jacobian to Solve and Estimate Heterogeneous-Agent Models</x:v>
      </x:c>
      <x:c r="I1311" s="25" t="str"/>
      <x:c r="J1311" s="25" t="str"/>
      <x:c r="K1311" s="25" t="str">
        <x:v>automatic_screen_pass</x:v>
      </x:c>
      <x:c r="L1311" s="25" t="str">
        <x:v>accepted</x:v>
      </x:c>
      <x:c r="M1311" s="25" t="str">
        <x:v>no</x:v>
      </x:c>
      <x:c r="N1311" s="25" t="str">
        <x:v>saki_research/working_papers/bigio_nuno_decomposing_optimal_debt_maturity.pdf</x:v>
      </x:c>
      <x:c r="O1311" s="25" t="str">
        <x:v>Auclert, Adrien, Bence Bard ́oczy, Matthew Rognlie, and Ludwig Straub, “Using the Sequence-Space Jacobian to Solve and Estimate Heterogeneous-Agent Models,” NBER Working Papers 26123, National Bureau of Economic Research, Inc July 2019. 5.3</x:v>
      </x:c>
    </x:row>
    <x:row r="1312" ht="48" customHeight="1">
      <x:c r="A1312" s="24" t="str">
        <x:v>W05-R010</x:v>
      </x:c>
      <x:c r="B1312" s="24" t="str">
        <x:v>W05</x:v>
      </x:c>
      <x:c r="C1312" s="26" t="n">
        <x:v>10</x:v>
      </x:c>
      <x:c r="D1312" s="26" t="n">
        <x:v>35</x:v>
      </x:c>
      <x:c r="E1312" s="26" t="n">
        <x:v>35</x:v>
      </x:c>
      <x:c r="F1312" s="26" t="str">
        <x:v>Barro</x:v>
      </x:c>
      <x:c r="G1312" s="26" t="n">
        <x:v>2003</x:v>
      </x:c>
      <x:c r="H1312" s="25" t="str">
        <x:v>Optimal Management of Indexed and Nominal Debtl</x:v>
      </x:c>
      <x:c r="I1312" s="25" t="str"/>
      <x:c r="J1312" s="25" t="str"/>
      <x:c r="K1312" s="25" t="str">
        <x:v>automatic_screen_pass</x:v>
      </x:c>
      <x:c r="L1312" s="25" t="str">
        <x:v>accepted</x:v>
      </x:c>
      <x:c r="M1312" s="25" t="str">
        <x:v>no</x:v>
      </x:c>
      <x:c r="N1312" s="25" t="str">
        <x:v>saki_research/working_papers/bigio_nuno_decomposing_optimal_debt_maturity.pdf</x:v>
      </x:c>
      <x:c r="O1312" s="25" t="str">
        <x:v>Barro, Robert, “Optimal Management of Indexed and Nominal Debtl,” Annals of Economics and Finance, 2003, 4, 1 – 15.1</x:v>
      </x:c>
    </x:row>
    <x:row r="1313" ht="48" customHeight="1">
      <x:c r="A1313" s="24" t="str">
        <x:v>W05-R011</x:v>
      </x:c>
      <x:c r="B1313" s="24" t="str">
        <x:v>W05</x:v>
      </x:c>
      <x:c r="C1313" s="26" t="n">
        <x:v>11</x:v>
      </x:c>
      <x:c r="D1313" s="26" t="n">
        <x:v>36</x:v>
      </x:c>
      <x:c r="E1313" s="26" t="n">
        <x:v>36</x:v>
      </x:c>
      <x:c r="F1313" s="26" t="str">
        <x:v>Barro</x:v>
      </x:c>
      <x:c r="G1313" s="26" t="n">
        <x:v>2010</x:v>
      </x:c>
      <x:c r="H1313" s="25" t="str">
        <x:v>Barro-Ursua Macroeconomic Data</x:v>
      </x:c>
      <x:c r="I1313" s="25" t="str">
        <x:v>inherited_author_notation</x:v>
      </x:c>
      <x:c r="J1313" s="25" t="str"/>
      <x:c r="K1313" s="25" t="str">
        <x:v>automatic_screen_pass</x:v>
      </x:c>
      <x:c r="L1313" s="25" t="str">
        <x:v>accepted</x:v>
      </x:c>
      <x:c r="M1313" s="25" t="str">
        <x:v>no</x:v>
      </x:c>
      <x:c r="N1313" s="25" t="str">
        <x:v>saki_research/working_papers/bigio_nuno_decomposing_optimal_debt_maturity.pdf</x:v>
      </x:c>
      <x:c r="O1313" s="25" t="str">
        <x:v>and Jos ́e Ursua, “Barro-Ursua Macroeconomic Data,” Technical Report, Harvard University 2010.4, ??</x:v>
      </x:c>
    </x:row>
    <x:row r="1314" ht="48" customHeight="1">
      <x:c r="A1314" s="24" t="str">
        <x:v>W05-R012</x:v>
      </x:c>
      <x:c r="B1314" s="24" t="str">
        <x:v>W05</x:v>
      </x:c>
      <x:c r="C1314" s="26" t="n">
        <x:v>12</x:v>
      </x:c>
      <x:c r="D1314" s="26" t="n">
        <x:v>36</x:v>
      </x:c>
      <x:c r="E1314" s="26" t="n">
        <x:v>36</x:v>
      </x:c>
      <x:c r="F1314" s="26" t="str">
        <x:v>Barro</x:v>
      </x:c>
      <x:c r="G1314" s="26" t="n">
        <x:v>2006</x:v>
      </x:c>
      <x:c r="H1314" s="25" t="str">
        <x:v>Rare Disasters and Asset Markets in the Twentieth Century</x:v>
      </x:c>
      <x:c r="I1314" s="25" t="str"/>
      <x:c r="J1314" s="25" t="str"/>
      <x:c r="K1314" s="25" t="str">
        <x:v>automatic_screen_pass</x:v>
      </x:c>
      <x:c r="L1314" s="25" t="str">
        <x:v>accepted</x:v>
      </x:c>
      <x:c r="M1314" s="25" t="str">
        <x:v>no</x:v>
      </x:c>
      <x:c r="N1314" s="25" t="str">
        <x:v>saki_research/working_papers/bigio_nuno_decomposing_optimal_debt_maturity.pdf</x:v>
      </x:c>
      <x:c r="O1314" s="25" t="str">
        <x:v>Barro, Robert J., “Rare Disasters and Asset Markets in the Twentieth Century,” The Quarterly Journal of Economics, 2006,121 (3), 823–866.2.2,4</x:v>
      </x:c>
    </x:row>
    <x:row r="1315" ht="48" customHeight="1">
      <x:c r="A1315" s="24" t="str">
        <x:v>W05-R013</x:v>
      </x:c>
      <x:c r="B1315" s="24" t="str">
        <x:v>W05</x:v>
      </x:c>
      <x:c r="C1315" s="26" t="n">
        <x:v>13</x:v>
      </x:c>
      <x:c r="D1315" s="26" t="n">
        <x:v>36</x:v>
      </x:c>
      <x:c r="E1315" s="26" t="n">
        <x:v>36</x:v>
      </x:c>
      <x:c r="F1315" s="26" t="str">
        <x:v>Bhandari</x:v>
      </x:c>
      <x:c r="G1315" s="26" t="n">
        <x:v>2017</x:v>
      </x:c>
      <x:c r="H1315" s="25" t="str">
        <x:v>Fiscal PolicyandDebtManagementwithIncompleteMarkets*</x:v>
      </x:c>
      <x:c r="I1315" s="25" t="str"/>
      <x:c r="J1315" s="25" t="str"/>
      <x:c r="K1315" s="25" t="str">
        <x:v>automatic_screen_pass</x:v>
      </x:c>
      <x:c r="L1315" s="25" t="str">
        <x:v>accepted</x:v>
      </x:c>
      <x:c r="M1315" s="25" t="str">
        <x:v>no</x:v>
      </x:c>
      <x:c r="N1315" s="25" t="str">
        <x:v>saki_research/working_papers/bigio_nuno_decomposing_optimal_debt_maturity.pdf</x:v>
      </x:c>
      <x:c r="O1315" s="25" t="str">
        <x:v>Bhandari, Anmol, David Evans, Mikhail Golosov, and Thomas J. Sargent, “Fiscal PolicyandDebtManagementwithIncompleteMarkets*,” TheQuarterlyJournalofEconomics, 2017, 132(2), 617–663.1</x:v>
      </x:c>
    </x:row>
    <x:row r="1316" ht="48" customHeight="1">
      <x:c r="A1316" s="24" t="str">
        <x:v>W05-R014</x:v>
      </x:c>
      <x:c r="B1316" s="24" t="str">
        <x:v>W05</x:v>
      </x:c>
      <x:c r="C1316" s="26" t="n">
        <x:v>14</x:v>
      </x:c>
      <x:c r="D1316" s="26" t="n">
        <x:v>36</x:v>
      </x:c>
      <x:c r="E1316" s="26" t="n">
        <x:v>36</x:v>
      </x:c>
      <x:c r="F1316" s="26" t="str">
        <x:v>Bigio</x:v>
      </x:c>
      <x:c r="G1316" s="26" t="n">
        <x:v>2022</x:v>
      </x:c>
      <x:c r="H1316" s="25" t="str">
        <x:v>Debt-Maturity Management with Liquidity Costs</x:v>
      </x:c>
      <x:c r="I1316" s="25" t="str"/>
      <x:c r="J1316" s="25" t="str"/>
      <x:c r="K1316" s="25" t="str">
        <x:v>automatic_screen_pass</x:v>
      </x:c>
      <x:c r="L1316" s="25" t="str">
        <x:v>accepted</x:v>
      </x:c>
      <x:c r="M1316" s="25" t="str">
        <x:v>no</x:v>
      </x:c>
      <x:c r="N1316" s="25" t="str">
        <x:v>saki_research/working_papers/bigio_nuno_decomposing_optimal_debt_maturity.pdf</x:v>
      </x:c>
      <x:c r="O1316" s="25" t="str">
        <x:v>Bigio, Saki, Galo Nuno, and Juan Passadore, “Debt-Maturity Management with Liquidity Costs,” 2022.1,1,2.1,2.1,3.1,11,3.2,4,4,2</x:v>
      </x:c>
    </x:row>
    <x:row r="1317" ht="48" customHeight="1">
      <x:c r="A1317" s="24" t="str">
        <x:v>W05-R015</x:v>
      </x:c>
      <x:c r="B1317" s="24" t="str">
        <x:v>W05</x:v>
      </x:c>
      <x:c r="C1317" s="26" t="n">
        <x:v>15</x:v>
      </x:c>
      <x:c r="D1317" s="26" t="n">
        <x:v>36</x:v>
      </x:c>
      <x:c r="E1317" s="26" t="n">
        <x:v>36</x:v>
      </x:c>
      <x:c r="F1317" s="26" t="str">
        <x:v>Bocola</x:v>
      </x:c>
      <x:c r="G1317" s="26" t="n">
        <x:v>2018</x:v>
      </x:c>
      <x:c r="H1317" s="25" t="str">
        <x:v>Self-Fulfilling Debt Crises: A Quantitative Analysis</x:v>
      </x:c>
      <x:c r="I1317" s="25" t="str"/>
      <x:c r="J1317" s="25" t="str"/>
      <x:c r="K1317" s="25" t="str">
        <x:v>automatic_screen_pass</x:v>
      </x:c>
      <x:c r="L1317" s="25" t="str">
        <x:v>accepted</x:v>
      </x:c>
      <x:c r="M1317" s="25" t="str">
        <x:v>no</x:v>
      </x:c>
      <x:c r="N1317" s="25" t="str">
        <x:v>saki_research/working_papers/bigio_nuno_decomposing_optimal_debt_maturity.pdf</x:v>
      </x:c>
      <x:c r="O1317" s="25" t="str">
        <x:v>Bocola, Luigi and Alessandro Dovis, “Self-Fulfilling Debt Crises: A Quantitative Analysis,” Working Paper, 2018.1</x:v>
      </x:c>
    </x:row>
    <x:row r="1318" ht="48" customHeight="1">
      <x:c r="A1318" s="24" t="str">
        <x:v>W05-R016</x:v>
      </x:c>
      <x:c r="B1318" s="24" t="str">
        <x:v>W05</x:v>
      </x:c>
      <x:c r="C1318" s="26" t="n">
        <x:v>16</x:v>
      </x:c>
      <x:c r="D1318" s="26" t="n">
        <x:v>36</x:v>
      </x:c>
      <x:c r="E1318" s="26" t="n">
        <x:v>36</x:v>
      </x:c>
      <x:c r="F1318" s="26" t="str">
        <x:v>Boppart</x:v>
      </x:c>
      <x:c r="G1318" s="26" t="n">
        <x:v>2018</x:v>
      </x:c>
      <x:c r="H1318" s="25" t="str">
        <x:v>Exploiting MIT shocks in heterogeneous-agent economies: the impulse response as a numerical derivative</x:v>
      </x:c>
      <x:c r="I1318" s="25" t="str"/>
      <x:c r="J1318" s="25" t="str">
        <x:v>fragment_split_2026-09-16</x:v>
      </x:c>
      <x:c r="K1318" s="25" t="str">
        <x:v>automatic_screen_pass</x:v>
      </x:c>
      <x:c r="L1318" s="25" t="str">
        <x:v>accepted</x:v>
      </x:c>
      <x:c r="M1318" s="25" t="str">
        <x:v>no</x:v>
      </x:c>
      <x:c r="N1318" s="25" t="str">
        <x:v>saki_research/working_papers/bigio_nuno_decomposing_optimal_debt_maturity.pdf</x:v>
      </x:c>
      <x:c r="O1318" s="25" t="str">
        <x:v>Boppart, Timo, Per Krusell, and Kurt Mitman, “Exploiting MIT shocks in heterogeneous-agent economies: the impulse response as a numerical derivative,” Journal of Economic Dynamics and Control, 2018,89(C), 68–92.1,5.3</x:v>
      </x:c>
    </x:row>
    <x:row r="1319" ht="48" customHeight="1">
      <x:c r="A1319" s="24" t="str">
        <x:v>W05-R017</x:v>
      </x:c>
      <x:c r="B1319" s="24" t="str">
        <x:v>W05</x:v>
      </x:c>
      <x:c r="C1319" s="26" t="n">
        <x:v>17</x:v>
      </x:c>
      <x:c r="D1319" s="26" t="n">
        <x:v>36</x:v>
      </x:c>
      <x:c r="E1319" s="26" t="n">
        <x:v>36</x:v>
      </x:c>
      <x:c r="F1319" s="26" t="str">
        <x:v>Breedon</x:v>
      </x:c>
      <x:c r="G1319" s="26" t="n">
        <x:v>2018</x:v>
      </x:c>
      <x:c r="H1319" s="25" t="str">
        <x:v>On the Transactions Costs of UK Quantitative Easing</x:v>
      </x:c>
      <x:c r="I1319" s="25" t="str"/>
      <x:c r="J1319" s="25" t="str">
        <x:v>fragment_split_2026-09-16</x:v>
      </x:c>
      <x:c r="K1319" s="25" t="str">
        <x:v>automatic_screen_pass</x:v>
      </x:c>
      <x:c r="L1319" s="25" t="str">
        <x:v>accepted</x:v>
      </x:c>
      <x:c r="M1319" s="25" t="str">
        <x:v>no</x:v>
      </x:c>
      <x:c r="N1319" s="25" t="str">
        <x:v>saki_research/working_papers/bigio_nuno_decomposing_optimal_debt_maturity.pdf</x:v>
      </x:c>
      <x:c r="O1319" s="25" t="str">
        <x:v>Breedon, “On the Transactions Costs of UK Quantitative Easing,” Journal of Banking and Finance, 2018,88, 347–356.2</x:v>
      </x:c>
    </x:row>
    <x:row r="1320" ht="48" customHeight="1">
      <x:c r="A1320" s="24" t="str">
        <x:v>W05-R018</x:v>
      </x:c>
      <x:c r="B1320" s="24" t="str">
        <x:v>W05</x:v>
      </x:c>
      <x:c r="C1320" s="26" t="n">
        <x:v>18</x:v>
      </x:c>
      <x:c r="D1320" s="26" t="n">
        <x:v>36</x:v>
      </x:c>
      <x:c r="E1320" s="26" t="n">
        <x:v>36</x:v>
      </x:c>
      <x:c r="F1320" s="26" t="str">
        <x:v>Buera</x:v>
      </x:c>
      <x:c r="G1320" s="26" t="n">
        <x:v>2004</x:v>
      </x:c>
      <x:c r="H1320" s="25" t="str">
        <x:v>Optimal maturity of government debt without state contingent bonds</x:v>
      </x:c>
      <x:c r="I1320" s="25" t="str"/>
      <x:c r="J1320" s="25" t="str"/>
      <x:c r="K1320" s="25" t="str">
        <x:v>automatic_screen_pass</x:v>
      </x:c>
      <x:c r="L1320" s="25" t="str">
        <x:v>accepted</x:v>
      </x:c>
      <x:c r="M1320" s="25" t="str">
        <x:v>no</x:v>
      </x:c>
      <x:c r="N1320" s="25" t="str">
        <x:v>saki_research/working_papers/bigio_nuno_decomposing_optimal_debt_maturity.pdf</x:v>
      </x:c>
      <x:c r="O1320" s="25" t="str">
        <x:v>Buera, Francisco and Juan Pablo Nicolini, “Optimal maturity of government debt without state contingent bonds,” Journal of Monetary Economics, 2004, 51 (3), 531– 554.1,1,3.1,3.1,9</x:v>
      </x:c>
    </x:row>
    <x:row r="1321" ht="48" customHeight="1">
      <x:c r="A1321" s="24" t="str">
        <x:v>W05-R019</x:v>
      </x:c>
      <x:c r="B1321" s="24" t="str">
        <x:v>W05</x:v>
      </x:c>
      <x:c r="C1321" s="26" t="n">
        <x:v>19</x:v>
      </x:c>
      <x:c r="D1321" s="26" t="n">
        <x:v>36</x:v>
      </x:c>
      <x:c r="E1321" s="26" t="n">
        <x:v>36</x:v>
      </x:c>
      <x:c r="F1321" s="26" t="str">
        <x:v>Bulow</x:v>
      </x:c>
      <x:c r="G1321" s="26" t="n">
        <x:v>1988</x:v>
      </x:c>
      <x:c r="H1321" s="25" t="str">
        <x:v>Sovereign Debt: Is To Forgive To Forget?</x:v>
      </x:c>
      <x:c r="I1321" s="25" t="str"/>
      <x:c r="J1321" s="25" t="str"/>
      <x:c r="K1321" s="25" t="str">
        <x:v>automatic_screen_pass</x:v>
      </x:c>
      <x:c r="L1321" s="25" t="str">
        <x:v>accepted</x:v>
      </x:c>
      <x:c r="M1321" s="25" t="str">
        <x:v>no</x:v>
      </x:c>
      <x:c r="N1321" s="25" t="str">
        <x:v>saki_research/working_papers/bigio_nuno_decomposing_optimal_debt_maturity.pdf</x:v>
      </x:c>
      <x:c r="O1321" s="25" t="str">
        <x:v>Bulow, Jeremy I. and Kenneth Rogoff, “Sovereign Debt: Is To Forgive To Forget?,” Working Paper 2623, National Bureau of Economic Research June 1988.1</x:v>
      </x:c>
    </x:row>
    <x:row r="1322" ht="48" customHeight="1">
      <x:c r="A1322" s="24" t="str">
        <x:v>W05-R020</x:v>
      </x:c>
      <x:c r="B1322" s="24" t="str">
        <x:v>W05</x:v>
      </x:c>
      <x:c r="C1322" s="26" t="n">
        <x:v>20</x:v>
      </x:c>
      <x:c r="D1322" s="26" t="n">
        <x:v>36</x:v>
      </x:c>
      <x:c r="E1322" s="26" t="n">
        <x:v>36</x:v>
      </x:c>
      <x:c r="F1322" s="26" t="str">
        <x:v>Calvo</x:v>
      </x:c>
      <x:c r="G1322" s="26" t="n">
        <x:v>1988</x:v>
      </x:c>
      <x:c r="H1322" s="25" t="str">
        <x:v>Servicingthepublicdebt: Theroleofexpectations</x:v>
      </x:c>
      <x:c r="I1322" s="25" t="str"/>
      <x:c r="J1322" s="25" t="str"/>
      <x:c r="K1322" s="25" t="str">
        <x:v>prior_manual_sample</x:v>
      </x:c>
      <x:c r="L1322" s="25" t="str">
        <x:v>accepted</x:v>
      </x:c>
      <x:c r="M1322" s="25" t="str">
        <x:v>no</x:v>
      </x:c>
      <x:c r="N1322" s="25" t="str">
        <x:v>saki_research/working_papers/bigio_nuno_decomposing_optimal_debt_maturity.pdf</x:v>
      </x:c>
      <x:c r="O1322" s="25" t="str">
        <x:v>Calvo,GuillermoA,“Servicingthepublicdebt: Theroleofexpectations,”TheAmerican Economic Review, 1988, pp. 647–661.1</x:v>
      </x:c>
    </x:row>
    <x:row r="1323" ht="48" customHeight="1">
      <x:c r="A1323" s="24" t="str">
        <x:v>W05-R021</x:v>
      </x:c>
      <x:c r="B1323" s="24" t="str">
        <x:v>W05</x:v>
      </x:c>
      <x:c r="C1323" s="26" t="n">
        <x:v>21</x:v>
      </x:c>
      <x:c r="D1323" s="26" t="n">
        <x:v>36</x:v>
      </x:c>
      <x:c r="E1323" s="26" t="n">
        <x:v>36</x:v>
      </x:c>
      <x:c r="F1323" s="26" t="str">
        <x:v>Cammack</x:v>
      </x:c>
      <x:c r="G1323" s="26" t="n">
        <x:v>1991</x:v>
      </x:c>
      <x:c r="H1323" s="25" t="str">
        <x:v>Evidence on Bidding Strategies and the Information in Treasury Bill Auctions</x:v>
      </x:c>
      <x:c r="I1323" s="25" t="str"/>
      <x:c r="J1323" s="25" t="str"/>
      <x:c r="K1323" s="25" t="str">
        <x:v>automatic_screen_pass</x:v>
      </x:c>
      <x:c r="L1323" s="25" t="str">
        <x:v>accepted</x:v>
      </x:c>
      <x:c r="M1323" s="25" t="str">
        <x:v>no</x:v>
      </x:c>
      <x:c r="N1323" s="25" t="str">
        <x:v>saki_research/working_papers/bigio_nuno_decomposing_optimal_debt_maturity.pdf</x:v>
      </x:c>
      <x:c r="O1323" s="25" t="str">
        <x:v>Cammack, Elizabeth B., “Evidence on Bidding Strategies and the Information in Treasury Bill Auctions,” Journal of Political Economy, 1991, 99(1), 100–130.2</x:v>
      </x:c>
    </x:row>
    <x:row r="1324" ht="48" customHeight="1">
      <x:c r="A1324" s="24" t="str">
        <x:v>W05-R022</x:v>
      </x:c>
      <x:c r="B1324" s="24" t="str">
        <x:v>W05</x:v>
      </x:c>
      <x:c r="C1324" s="26" t="n">
        <x:v>22</x:v>
      </x:c>
      <x:c r="D1324" s="26" t="n">
        <x:v>36</x:v>
      </x:c>
      <x:c r="E1324" s="26" t="n">
        <x:v>36</x:v>
      </x:c>
      <x:c r="F1324" s="26" t="str">
        <x:v>Chatterjee</x:v>
      </x:c>
      <x:c r="G1324" s="26" t="n">
        <x:v>2012</x:v>
      </x:c>
      <x:c r="H1324" s="25" t="str">
        <x:v>Maturity, indebtedness, and default risk</x:v>
      </x:c>
      <x:c r="I1324" s="25" t="str"/>
      <x:c r="J1324" s="25" t="str"/>
      <x:c r="K1324" s="25" t="str">
        <x:v>prior_manual_sample</x:v>
      </x:c>
      <x:c r="L1324" s="25" t="str">
        <x:v>accepted</x:v>
      </x:c>
      <x:c r="M1324" s="25" t="str">
        <x:v>no</x:v>
      </x:c>
      <x:c r="N1324" s="25" t="str">
        <x:v>saki_research/working_papers/bigio_nuno_decomposing_optimal_debt_maturity.pdf</x:v>
      </x:c>
      <x:c r="O1324" s="25" t="str">
        <x:v>Chatterjee, Satyajit and Burcu Eyigungor, “Maturity, indebtedness, and default risk,” The American Economic Review, 2012, 102(6), 2674–2699.1</x:v>
      </x:c>
    </x:row>
    <x:row r="1325" ht="48" customHeight="1">
      <x:c r="A1325" s="24" t="str">
        <x:v>W05-R023</x:v>
      </x:c>
      <x:c r="B1325" s="24" t="str">
        <x:v>W05</x:v>
      </x:c>
      <x:c r="C1325" s="26" t="n">
        <x:v>23</x:v>
      </x:c>
      <x:c r="D1325" s="26" t="n">
        <x:v>37</x:v>
      </x:c>
      <x:c r="E1325" s="26" t="n">
        <x:v>37</x:v>
      </x:c>
      <x:c r="F1325" s="26" t="str">
        <x:v>Chatterjee</x:v>
      </x:c>
      <x:c r="G1325" s="26" t="n">
        <x:v>2015</x:v>
      </x:c>
      <x:c r="H1325" s="25" t="str">
        <x:v>A seniority arrangement for sovereign debt</x:v>
      </x:c>
      <x:c r="I1325" s="25" t="str">
        <x:v>inherited_author_notation</x:v>
      </x:c>
      <x:c r="J1325" s="25" t="str"/>
      <x:c r="K1325" s="25" t="str">
        <x:v>automatic_screen_pass</x:v>
      </x:c>
      <x:c r="L1325" s="25" t="str">
        <x:v>accepted</x:v>
      </x:c>
      <x:c r="M1325" s="25" t="str">
        <x:v>no</x:v>
      </x:c>
      <x:c r="N1325" s="25" t="str">
        <x:v>saki_research/working_papers/bigio_nuno_decomposing_optimal_debt_maturity.pdf</x:v>
      </x:c>
      <x:c r="O1325" s="25" t="str">
        <x:v>and , “A seniority arrangement for sovereign debt,” The American Economic Review, 2015,105(12), 3740–3765.1</x:v>
      </x:c>
    </x:row>
    <x:row r="1326" ht="48" customHeight="1">
      <x:c r="A1326" s="24" t="str">
        <x:v>W05-R024</x:v>
      </x:c>
      <x:c r="B1326" s="24" t="str">
        <x:v>W05</x:v>
      </x:c>
      <x:c r="C1326" s="26" t="n">
        <x:v>24</x:v>
      </x:c>
      <x:c r="D1326" s="26" t="n">
        <x:v>37</x:v>
      </x:c>
      <x:c r="E1326" s="26" t="n">
        <x:v>37</x:v>
      </x:c>
      <x:c r="F1326" s="26" t="str">
        <x:v>Cole</x:v>
      </x:c>
      <x:c r="G1326" s="26" t="n">
        <x:v>2000</x:v>
      </x:c>
      <x:c r="H1326" s="25" t="str">
        <x:v>Self-Fulfilling Debt Crises</x:v>
      </x:c>
      <x:c r="I1326" s="25" t="str"/>
      <x:c r="J1326" s="25" t="str"/>
      <x:c r="K1326" s="25" t="str">
        <x:v>automatic_screen_pass</x:v>
      </x:c>
      <x:c r="L1326" s="25" t="str">
        <x:v>accepted</x:v>
      </x:c>
      <x:c r="M1326" s="25" t="str">
        <x:v>no</x:v>
      </x:c>
      <x:c r="N1326" s="25" t="str">
        <x:v>saki_research/working_papers/bigio_nuno_decomposing_optimal_debt_maturity.pdf</x:v>
      </x:c>
      <x:c r="O1326" s="25" t="str">
        <x:v>Cole, Harold L. and Timothy J. Kehoe, “Self-Fulfilling Debt Crises,” The Review of Economic Studies, 2000,67(1), pp. 91–116.1</x:v>
      </x:c>
    </x:row>
    <x:row r="1327" ht="48" customHeight="1">
      <x:c r="A1327" s="24" t="str">
        <x:v>W05-R025</x:v>
      </x:c>
      <x:c r="B1327" s="24" t="str">
        <x:v>W05</x:v>
      </x:c>
      <x:c r="C1327" s="26" t="n">
        <x:v>25</x:v>
      </x:c>
      <x:c r="D1327" s="26" t="n">
        <x:v>37</x:v>
      </x:c>
      <x:c r="E1327" s="26" t="n">
        <x:v>37</x:v>
      </x:c>
      <x:c r="F1327" s="26" t="str">
        <x:v>Davila</x:v>
      </x:c>
      <x:c r="G1327" s="26" t="n">
        <x:v>2022</x:v>
      </x:c>
      <x:c r="H1327" s="25" t="str">
        <x:v>Optimal Monetary Policy with Heterogeneous Agents: A Timeless Ramsey Approach</x:v>
      </x:c>
      <x:c r="I1327" s="25" t="str"/>
      <x:c r="J1327" s="25" t="str"/>
      <x:c r="K1327" s="25" t="str">
        <x:v>automatic_screen_pass</x:v>
      </x:c>
      <x:c r="L1327" s="25" t="str">
        <x:v>accepted</x:v>
      </x:c>
      <x:c r="M1327" s="25" t="str">
        <x:v>no</x:v>
      </x:c>
      <x:c r="N1327" s="25" t="str">
        <x:v>saki_research/working_papers/bigio_nuno_decomposing_optimal_debt_maturity.pdf</x:v>
      </x:c>
      <x:c r="O1327" s="25" t="str">
        <x:v>Davila, Eduardo and Andreas Schaab, “Optimal Monetary Policy with Heterogeneous Agents: A Timeless Ramsey Approach,” 2022.2.4</x:v>
      </x:c>
    </x:row>
    <x:row r="1328" ht="48" customHeight="1">
      <x:c r="A1328" s="24" t="str">
        <x:v>W05-R026</x:v>
      </x:c>
      <x:c r="B1328" s="24" t="str">
        <x:v>W05</x:v>
      </x:c>
      <x:c r="C1328" s="26" t="n">
        <x:v>26</x:v>
      </x:c>
      <x:c r="D1328" s="26" t="n">
        <x:v>37</x:v>
      </x:c>
      <x:c r="E1328" s="26" t="n">
        <x:v>37</x:v>
      </x:c>
      <x:c r="F1328" s="26" t="str">
        <x:v>Duffee</x:v>
      </x:c>
      <x:c r="G1328" s="26" t="n">
        <x:v>1996</x:v>
      </x:c>
      <x:c r="H1328" s="25" t="str">
        <x:v>Idiosyncratic Variation of Treasury Bill Yields</x:v>
      </x:c>
      <x:c r="I1328" s="25" t="str"/>
      <x:c r="J1328" s="25" t="str"/>
      <x:c r="K1328" s="25" t="str">
        <x:v>automatic_screen_pass</x:v>
      </x:c>
      <x:c r="L1328" s="25" t="str">
        <x:v>accepted</x:v>
      </x:c>
      <x:c r="M1328" s="25" t="str">
        <x:v>no</x:v>
      </x:c>
      <x:c r="N1328" s="25" t="str">
        <x:v>saki_research/working_papers/bigio_nuno_decomposing_optimal_debt_maturity.pdf</x:v>
      </x:c>
      <x:c r="O1328" s="25" t="str">
        <x:v>Duffee, Gregory R., “Idiosyncratic Variation of Treasury Bill Yields,” The Journal of Finance, 1996,51(2), 527–551.2</x:v>
      </x:c>
    </x:row>
    <x:row r="1329" ht="48" customHeight="1">
      <x:c r="A1329" s="24" t="str">
        <x:v>W05-R027</x:v>
      </x:c>
      <x:c r="B1329" s="24" t="str">
        <x:v>W05</x:v>
      </x:c>
      <x:c r="C1329" s="26" t="n">
        <x:v>27</x:v>
      </x:c>
      <x:c r="D1329" s="26" t="n">
        <x:v>37</x:v>
      </x:c>
      <x:c r="E1329" s="26" t="n">
        <x:v>37</x:v>
      </x:c>
      <x:c r="F1329" s="26" t="str">
        <x:v>Duffie</x:v>
      </x:c>
      <x:c r="G1329" s="26" t="n">
        <x:v>2010</x:v>
      </x:c>
      <x:c r="H1329" s="25" t="str">
        <x:v>Presidentialaddress: Assetpricedynamicswithslow-movingcapital</x:v>
      </x:c>
      <x:c r="I1329" s="25" t="str"/>
      <x:c r="J1329" s="25" t="str">
        <x:v>exhaustive_ai_audit_2026-09-17</x:v>
      </x:c>
      <x:c r="K1329" s="25" t="str">
        <x:v>exhaustive_visual_correction</x:v>
      </x:c>
      <x:c r="L1329" s="25" t="str">
        <x:v>corrected</x:v>
      </x:c>
      <x:c r="M1329" s="25" t="str">
        <x:v>no</x:v>
      </x:c>
      <x:c r="N1329" s="25" t="str">
        <x:v>saki_research/working_papers/bigio_nuno_decomposing_optimal_debt_maturity.pdf</x:v>
      </x:c>
      <x:c r="O1329" s="25" t="str">
        <x:v>Duffie,Darrell,“Presidentialaddress: Assetpricedynamicswithslow-movingcapital,” The Journal of finance, 2010,65 (4), 1237–1267.2</x:v>
      </x:c>
    </x:row>
    <x:row r="1330" ht="48" customHeight="1">
      <x:c r="A1330" s="24" t="str">
        <x:v>W05-R028</x:v>
      </x:c>
      <x:c r="B1330" s="24" t="str">
        <x:v>W05</x:v>
      </x:c>
      <x:c r="C1330" s="26" t="n">
        <x:v>28</x:v>
      </x:c>
      <x:c r="D1330" s="26" t="n">
        <x:v>37</x:v>
      </x:c>
      <x:c r="E1330" s="26" t="n">
        <x:v>37</x:v>
      </x:c>
      <x:c r="F1330" s="26" t="str">
        <x:v>Duffie</x:v>
      </x:c>
      <x:c r="G1330" s="26" t="n">
        <x:v>1985</x:v>
      </x:c>
      <x:c r="H1330" s="25" t="str">
        <x:v>Implementing Arrow-Debreu Equilibria by Continuous Trading of Few Long-Lived Securities</x:v>
      </x:c>
      <x:c r="I1330" s="25" t="str">
        <x:v>inherited_author_notation</x:v>
      </x:c>
      <x:c r="J1330" s="25" t="str">
        <x:v>exhaustive_ai_audit_2026-09-17</x:v>
      </x:c>
      <x:c r="K1330" s="25" t="str">
        <x:v>exhaustive_visual_correction</x:v>
      </x:c>
      <x:c r="L1330" s="25" t="str">
        <x:v>corrected</x:v>
      </x:c>
      <x:c r="M1330" s="25" t="str">
        <x:v>no</x:v>
      </x:c>
      <x:c r="N1330" s="25" t="str">
        <x:v>saki_research/working_papers/bigio_nuno_decomposing_optimal_debt_maturity.pdf</x:v>
      </x:c>
      <x:c r="O1330" s="25" t="str">
        <x:v>andChi-FuHuang,“ImplementingArrow-DebreuEquilibriabyContinuousTrading of Few Long-Lived Securities,” Econometrica, 1985,53(6), 1337–1356.1,3.1</x:v>
      </x:c>
    </x:row>
    <x:row r="1331" ht="48" customHeight="1">
      <x:c r="A1331" s="24" t="str">
        <x:v>W05-R029</x:v>
      </x:c>
      <x:c r="B1331" s="24" t="str">
        <x:v>W05</x:v>
      </x:c>
      <x:c r="C1331" s="26" t="n">
        <x:v>29</x:v>
      </x:c>
      <x:c r="D1331" s="26" t="n">
        <x:v>37</x:v>
      </x:c>
      <x:c r="E1331" s="26" t="n">
        <x:v>37</x:v>
      </x:c>
      <x:c r="F1331" s="26" t="str">
        <x:v>Eaton</x:v>
      </x:c>
      <x:c r="G1331" s="26" t="n">
        <x:v>1981</x:v>
      </x:c>
      <x:c r="H1331" s="25" t="str">
        <x:v>Debt with potential repudiation: Theoretical and empirical analysis</x:v>
      </x:c>
      <x:c r="I1331" s="25" t="str"/>
      <x:c r="J1331" s="25" t="str"/>
      <x:c r="K1331" s="25" t="str">
        <x:v>automatic_screen_pass</x:v>
      </x:c>
      <x:c r="L1331" s="25" t="str">
        <x:v>accepted</x:v>
      </x:c>
      <x:c r="M1331" s="25" t="str">
        <x:v>no</x:v>
      </x:c>
      <x:c r="N1331" s="25" t="str">
        <x:v>saki_research/working_papers/bigio_nuno_decomposing_optimal_debt_maturity.pdf</x:v>
      </x:c>
      <x:c r="O1331" s="25" t="str">
        <x:v>Eaton, Jonathan and Mark Gersovitz, “Debt with potential repudiation: Theoretical and empirical analysis,” The Review of Economic Studies, 1981,48(2), 289–309.1,1</x:v>
      </x:c>
    </x:row>
    <x:row r="1332" ht="48" customHeight="1">
      <x:c r="A1332" s="24" t="str">
        <x:v>W05-R030</x:v>
      </x:c>
      <x:c r="B1332" s="24" t="str">
        <x:v>W05</x:v>
      </x:c>
      <x:c r="C1332" s="26" t="n">
        <x:v>30</x:v>
      </x:c>
      <x:c r="D1332" s="26" t="n">
        <x:v>37</x:v>
      </x:c>
      <x:c r="E1332" s="26" t="n">
        <x:v>37</x:v>
      </x:c>
      <x:c r="F1332" s="26" t="str">
        <x:v>Faraglia</x:v>
      </x:c>
      <x:c r="G1332" s="26" t="n">
        <x:v>2018</x:v>
      </x:c>
      <x:c r="H1332" s="25" t="str">
        <x:v>Government Debt Management: The Long and the Short of It</x:v>
      </x:c>
      <x:c r="I1332" s="25" t="str"/>
      <x:c r="J1332" s="25" t="str"/>
      <x:c r="K1332" s="25" t="str">
        <x:v>automatic_screen_pass</x:v>
      </x:c>
      <x:c r="L1332" s="25" t="str">
        <x:v>accepted</x:v>
      </x:c>
      <x:c r="M1332" s="25" t="str">
        <x:v>no</x:v>
      </x:c>
      <x:c r="N1332" s="25" t="str">
        <x:v>saki_research/working_papers/bigio_nuno_decomposing_optimal_debt_maturity.pdf</x:v>
      </x:c>
      <x:c r="O1332" s="25" t="str">
        <x:v>Faraglia, Elisa, Albert Marcet, Rigas Oikonomou, and Andrew Scott, “Government Debt Management: The Long and the Short of It,” The Review of Economic Studies, 10 2018,86(6), 2554–2604.1,1,2.1,2.1,4</x:v>
      </x:c>
    </x:row>
    <x:row r="1333" ht="48" customHeight="1">
      <x:c r="A1333" s="24" t="str">
        <x:v>W05-R031</x:v>
      </x:c>
      <x:c r="B1333" s="24" t="str">
        <x:v>W05</x:v>
      </x:c>
      <x:c r="C1333" s="26" t="n">
        <x:v>31</x:v>
      </x:c>
      <x:c r="D1333" s="26" t="n">
        <x:v>37</x:v>
      </x:c>
      <x:c r="E1333" s="26" t="n">
        <x:v>37</x:v>
      </x:c>
      <x:c r="F1333" s="26" t="str">
        <x:v>Fleming</x:v>
      </x:c>
      <x:c r="G1333" s="26" t="n">
        <x:v>2002</x:v>
      </x:c>
      <x:c r="H1333" s="25" t="str">
        <x:v>Are Larger Treasury Issues More Liquid? Evidence from Bill Reopenings</x:v>
      </x:c>
      <x:c r="I1333" s="25" t="str"/>
      <x:c r="J1333" s="25" t="str"/>
      <x:c r="K1333" s="25" t="str">
        <x:v>automatic_screen_pass</x:v>
      </x:c>
      <x:c r="L1333" s="25" t="str">
        <x:v>accepted</x:v>
      </x:c>
      <x:c r="M1333" s="25" t="str">
        <x:v>no</x:v>
      </x:c>
      <x:c r="N1333" s="25" t="str">
        <x:v>saki_research/working_papers/bigio_nuno_decomposing_optimal_debt_maturity.pdf</x:v>
      </x:c>
      <x:c r="O1333" s="25" t="str">
        <x:v>Fleming, Michael J., “Are Larger Treasury Issues More Liquid? Evidence from Bill Reopenings,” Journal of Money, Credit and Banking, 2002,34(3), pp. 707–735.2</x:v>
      </x:c>
    </x:row>
    <x:row r="1334" ht="48" customHeight="1">
      <x:c r="A1334" s="24" t="str">
        <x:v>W05-R032</x:v>
      </x:c>
      <x:c r="B1334" s="24" t="str">
        <x:v>W05</x:v>
      </x:c>
      <x:c r="C1334" s="26" t="n">
        <x:v>32</x:v>
      </x:c>
      <x:c r="D1334" s="26" t="n">
        <x:v>37</x:v>
      </x:c>
      <x:c r="E1334" s="26" t="n">
        <x:v>37</x:v>
      </x:c>
      <x:c r="F1334" s="26" t="str">
        <x:v>Fleming</x:v>
      </x:c>
      <x:c r="G1334" s="26" t="n">
        <x:v>2008</x:v>
      </x:c>
      <x:c r="H1334" s="25" t="str">
        <x:v>How do Treasury Dealers Manage their Positions</x:v>
      </x:c>
      <x:c r="I1334" s="25" t="str">
        <x:v>inherited_author_notation</x:v>
      </x:c>
      <x:c r="J1334" s="25" t="str"/>
      <x:c r="K1334" s="25" t="str">
        <x:v>automatic_screen_pass</x:v>
      </x:c>
      <x:c r="L1334" s="25" t="str">
        <x:v>accepted</x:v>
      </x:c>
      <x:c r="M1334" s="25" t="str">
        <x:v>no</x:v>
      </x:c>
      <x:c r="N1334" s="25" t="str">
        <x:v>saki_research/working_papers/bigio_nuno_decomposing_optimal_debt_maturity.pdf</x:v>
      </x:c>
      <x:c r="O1334" s="25" t="str">
        <x:v>and Joshua V. Rosenberg, “How do Treasury Dealers Manage their Positions,” 2008. Frederal Reserva Bank of New York Staff Reports Staff Report no. 299.2</x:v>
      </x:c>
    </x:row>
    <x:row r="1335" ht="48" customHeight="1">
      <x:c r="A1335" s="24" t="str">
        <x:v>W05-R033</x:v>
      </x:c>
      <x:c r="B1335" s="24" t="str">
        <x:v>W05</x:v>
      </x:c>
      <x:c r="C1335" s="26" t="n">
        <x:v>33</x:v>
      </x:c>
      <x:c r="D1335" s="26" t="n">
        <x:v>37</x:v>
      </x:c>
      <x:c r="E1335" s="26" t="n">
        <x:v>37</x:v>
      </x:c>
      <x:c r="F1335" s="26" t="str">
        <x:v>Gabaix</x:v>
      </x:c>
      <x:c r="G1335" s="26" t="n">
        <x:v>2012</x:v>
      </x:c>
      <x:c r="H1335" s="25" t="str">
        <x:v>VariableRareDisasters: AnExactlySolvedFrameworkforTenPuzzles in Macro-Finance</x:v>
      </x:c>
      <x:c r="I1335" s="25" t="str"/>
      <x:c r="J1335" s="25" t="str"/>
      <x:c r="K1335" s="25" t="str">
        <x:v>automatic_screen_pass</x:v>
      </x:c>
      <x:c r="L1335" s="25" t="str">
        <x:v>accepted</x:v>
      </x:c>
      <x:c r="M1335" s="25" t="str">
        <x:v>no</x:v>
      </x:c>
      <x:c r="N1335" s="25" t="str">
        <x:v>saki_research/working_papers/bigio_nuno_decomposing_optimal_debt_maturity.pdf</x:v>
      </x:c>
      <x:c r="O1335" s="25" t="str">
        <x:v>Gabaix,Xavier,“VariableRareDisasters: AnExactlySolvedFrameworkforTenPuzzles in Macro-Finance,” Quarterly Journal of Economics, 2012,127(2), 645–700.2.2</x:v>
      </x:c>
    </x:row>
    <x:row r="1336" ht="48" customHeight="1">
      <x:c r="A1336" s="24" t="str">
        <x:v>W05-R034</x:v>
      </x:c>
      <x:c r="B1336" s="24" t="str">
        <x:v>W05</x:v>
      </x:c>
      <x:c r="C1336" s="26" t="n">
        <x:v>34</x:v>
      </x:c>
      <x:c r="D1336" s="26" t="n">
        <x:v>37</x:v>
      </x:c>
      <x:c r="E1336" s="26" t="n">
        <x:v>37</x:v>
      </x:c>
      <x:c r="F1336" s="26" t="str">
        <x:v>Green</x:v>
      </x:c>
      <x:c r="G1336" s="26" t="n">
        <x:v>2004</x:v>
      </x:c>
      <x:c r="H1336" s="25" t="str">
        <x:v>Economic News and the Impact of Trading on Bond Prices</x:v>
      </x:c>
      <x:c r="I1336" s="25" t="str"/>
      <x:c r="J1336" s="25" t="str"/>
      <x:c r="K1336" s="25" t="str">
        <x:v>automatic_screen_pass</x:v>
      </x:c>
      <x:c r="L1336" s="25" t="str">
        <x:v>accepted</x:v>
      </x:c>
      <x:c r="M1336" s="25" t="str">
        <x:v>no</x:v>
      </x:c>
      <x:c r="N1336" s="25" t="str">
        <x:v>saki_research/working_papers/bigio_nuno_decomposing_optimal_debt_maturity.pdf</x:v>
      </x:c>
      <x:c r="O1336" s="25" t="str">
        <x:v>Green, T. Clifton, “Economic News and the Impact of Trading on Bond Prices,” The Journal of Finance, 2004,59(3), 1201–1233.2</x:v>
      </x:c>
    </x:row>
    <x:row r="1337" ht="48" customHeight="1">
      <x:c r="A1337" s="24" t="str">
        <x:v>W05-R035</x:v>
      </x:c>
      <x:c r="B1337" s="24" t="str">
        <x:v>W05</x:v>
      </x:c>
      <x:c r="C1337" s="26" t="n">
        <x:v>35</x:v>
      </x:c>
      <x:c r="D1337" s="26" t="n">
        <x:v>38</x:v>
      </x:c>
      <x:c r="E1337" s="26" t="n">
        <x:v>38</x:v>
      </x:c>
      <x:c r="F1337" s="26" t="str">
        <x:v>Hatchondo</x:v>
      </x:c>
      <x:c r="G1337" s="26" t="n">
        <x:v>2009</x:v>
      </x:c>
      <x:c r="H1337" s="25" t="str">
        <x:v>Long-duration bonds and sovereign defaults</x:v>
      </x:c>
      <x:c r="I1337" s="25" t="str"/>
      <x:c r="J1337" s="25" t="str"/>
      <x:c r="K1337" s="25" t="str">
        <x:v>automatic_screen_pass</x:v>
      </x:c>
      <x:c r="L1337" s="25" t="str">
        <x:v>accepted</x:v>
      </x:c>
      <x:c r="M1337" s="25" t="str">
        <x:v>no</x:v>
      </x:c>
      <x:c r="N1337" s="25" t="str">
        <x:v>saki_research/working_papers/bigio_nuno_decomposing_optimal_debt_maturity.pdf</x:v>
      </x:c>
      <x:c r="O1337" s="25" t="str">
        <x:v>Hatchondo, Juan Carlos and Leonardo Martinez, “Long-duration bonds and sovereign defaults,” Journal of International Economics, 2009, 79(1), 117 – 125.1</x:v>
      </x:c>
    </x:row>
    <x:row r="1338" ht="48" customHeight="1">
      <x:c r="A1338" s="24" t="str">
        <x:v>W05-R036</x:v>
      </x:c>
      <x:c r="B1338" s="24" t="str">
        <x:v>W05</x:v>
      </x:c>
      <x:c r="C1338" s="26" t="n">
        <x:v>36</x:v>
      </x:c>
      <x:c r="D1338" s="26" t="n">
        <x:v>38</x:v>
      </x:c>
      <x:c r="E1338" s="26" t="n">
        <x:v>38</x:v>
      </x:c>
      <x:c r="F1338" s="26" t="str">
        <x:v>Hatchondo</x:v>
      </x:c>
      <x:c r="G1338" s="26" t="n">
        <x:v>2016</x:v>
      </x:c>
      <x:c r="H1338" s="25" t="str">
        <x:v>Debt dilution and sovereign default risk</x:v>
      </x:c>
      <x:c r="I1338" s="25" t="str">
        <x:v>inherited_author_notation</x:v>
      </x:c>
      <x:c r="J1338" s="25" t="str">
        <x:v>exhaustive_ai_audit_2026-09-17</x:v>
      </x:c>
      <x:c r="K1338" s="25" t="str">
        <x:v>exhaustive_visual_correction</x:v>
      </x:c>
      <x:c r="L1338" s="25" t="str">
        <x:v>corrected</x:v>
      </x:c>
      <x:c r="M1338" s="25" t="str">
        <x:v>no</x:v>
      </x:c>
      <x:c r="N1338" s="25" t="str">
        <x:v>saki_research/working_papers/bigio_nuno_decomposing_optimal_debt_maturity.pdf</x:v>
      </x:c>
      <x:c r="O1338" s="25" t="str">
        <x:v>, , and Cesar Sosa-Padilla, “Debt dilution and sovereign default risk,” Journal of Political Economy, 2016,124 (5), 1383–1422.1</x:v>
      </x:c>
    </x:row>
    <x:row r="1339" ht="48" customHeight="1">
      <x:c r="A1339" s="24" t="str">
        <x:v>W05-R037</x:v>
      </x:c>
      <x:c r="B1339" s="24" t="str">
        <x:v>W05</x:v>
      </x:c>
      <x:c r="C1339" s="26" t="n">
        <x:v>37</x:v>
      </x:c>
      <x:c r="D1339" s="26" t="n">
        <x:v>38</x:v>
      </x:c>
      <x:c r="E1339" s="26" t="n">
        <x:v>38</x:v>
      </x:c>
      <x:c r="F1339" s="26" t="str">
        <x:v>Krishnamurthy</x:v>
      </x:c>
      <x:c r="G1339" s="26" t="n">
        <x:v>2012</x:v>
      </x:c>
      <x:c r="H1339" s="25" t="str">
        <x:v>The aggregate demand for treasury debt</x:v>
      </x:c>
      <x:c r="I1339" s="25" t="str"/>
      <x:c r="J1339" s="25" t="str"/>
      <x:c r="K1339" s="25" t="str">
        <x:v>prior_manual_sample</x:v>
      </x:c>
      <x:c r="L1339" s="25" t="str">
        <x:v>accepted</x:v>
      </x:c>
      <x:c r="M1339" s="25" t="str">
        <x:v>no</x:v>
      </x:c>
      <x:c r="N1339" s="25" t="str">
        <x:v>saki_research/working_papers/bigio_nuno_decomposing_optimal_debt_maturity.pdf</x:v>
      </x:c>
      <x:c r="O1339" s="25" t="str">
        <x:v>Krishnamurthy, Arvind and Annette Vissing-Jorgensen, “The aggregate demand for treasury debt,” Journal of Political Economy, 2012,120(2), 233–267.2</x:v>
      </x:c>
    </x:row>
    <x:row r="1340" ht="48" customHeight="1">
      <x:c r="A1340" s="24" t="str">
        <x:v>W05-R038</x:v>
      </x:c>
      <x:c r="B1340" s="24" t="str">
        <x:v>W05</x:v>
      </x:c>
      <x:c r="C1340" s="26" t="n">
        <x:v>38</x:v>
      </x:c>
      <x:c r="D1340" s="26" t="n">
        <x:v>38</x:v>
      </x:c>
      <x:c r="E1340" s="26" t="n">
        <x:v>38</x:v>
      </x:c>
      <x:c r="F1340" s="26" t="str">
        <x:v>Krusell</x:v>
      </x:c>
      <x:c r="G1340" s="26" t="n">
        <x:v>1998</x:v>
      </x:c>
      <x:c r="H1340" s="25" t="str">
        <x:v>Income and wealth heterogeneity in the macroeconomy</x:v>
      </x:c>
      <x:c r="I1340" s="25" t="str"/>
      <x:c r="J1340" s="25" t="str"/>
      <x:c r="K1340" s="25" t="str">
        <x:v>prior_manual_sample</x:v>
      </x:c>
      <x:c r="L1340" s="25" t="str">
        <x:v>accepted</x:v>
      </x:c>
      <x:c r="M1340" s="25" t="str">
        <x:v>no</x:v>
      </x:c>
      <x:c r="N1340" s="25" t="str">
        <x:v>saki_research/working_papers/bigio_nuno_decomposing_optimal_debt_maturity.pdf</x:v>
      </x:c>
      <x:c r="O1340" s="25" t="str">
        <x:v>Krusell, Per and Anthony A Smith Jr, “Income and wealth heterogeneity in the macroeconomy,” Journal of political Economy, 1998,106 (5), 867–896.1,3.2</x:v>
      </x:c>
    </x:row>
    <x:row r="1341" ht="48" customHeight="1">
      <x:c r="A1341" s="24" t="str">
        <x:v>W05-R039</x:v>
      </x:c>
      <x:c r="B1341" s="24" t="str">
        <x:v>W05</x:v>
      </x:c>
      <x:c r="C1341" s="26" t="n">
        <x:v>39</x:v>
      </x:c>
      <x:c r="D1341" s="26" t="n">
        <x:v>38</x:v>
      </x:c>
      <x:c r="E1341" s="26" t="n">
        <x:v>38</x:v>
      </x:c>
      <x:c r="F1341" s="26" t="str">
        <x:v>Lucas</x:v>
      </x:c>
      <x:c r="G1341" s="26" t="n">
        <x:v>1983</x:v>
      </x:c>
      <x:c r="H1341" s="25" t="str">
        <x:v>Optimal fiscal and monetary policy in an economy without capital</x:v>
      </x:c>
      <x:c r="I1341" s="25" t="str"/>
      <x:c r="J1341" s="25" t="str"/>
      <x:c r="K1341" s="25" t="str">
        <x:v>automatic_screen_pass</x:v>
      </x:c>
      <x:c r="L1341" s="25" t="str">
        <x:v>accepted</x:v>
      </x:c>
      <x:c r="M1341" s="25" t="str">
        <x:v>no</x:v>
      </x:c>
      <x:c r="N1341" s="25" t="str">
        <x:v>saki_research/working_papers/bigio_nuno_decomposing_optimal_debt_maturity.pdf</x:v>
      </x:c>
      <x:c r="O1341" s="25" t="str">
        <x:v>Lucas, Robert E and Nancy L Stokey, “Optimal fiscal and monetary policy in an economy without capital,” Journal of monetary Economics, 1983, 12(1), 55–93.1</x:v>
      </x:c>
    </x:row>
    <x:row r="1342" ht="48" customHeight="1">
      <x:c r="A1342" s="24" t="str">
        <x:v>W05-R040</x:v>
      </x:c>
      <x:c r="B1342" s="24" t="str">
        <x:v>W05</x:v>
      </x:c>
      <x:c r="C1342" s="26" t="n">
        <x:v>40</x:v>
      </x:c>
      <x:c r="D1342" s="26" t="n">
        <x:v>38</x:v>
      </x:c>
      <x:c r="E1342" s="26" t="n">
        <x:v>38</x:v>
      </x:c>
      <x:c r="F1342" s="26" t="str">
        <x:v>Lustig</x:v>
      </x:c>
      <x:c r="G1342" s="26" t="n">
        <x:v>2008</x:v>
      </x:c>
      <x:c r="H1342" s="25" t="str">
        <x:v>Fiscal hedging with nominal assets</x:v>
      </x:c>
      <x:c r="I1342" s="25" t="str"/>
      <x:c r="J1342" s="25" t="str"/>
      <x:c r="K1342" s="25" t="str">
        <x:v>automatic_screen_pass</x:v>
      </x:c>
      <x:c r="L1342" s="25" t="str">
        <x:v>accepted</x:v>
      </x:c>
      <x:c r="M1342" s="25" t="str">
        <x:v>no</x:v>
      </x:c>
      <x:c r="N1342" s="25" t="str">
        <x:v>saki_research/working_papers/bigio_nuno_decomposing_optimal_debt_maturity.pdf</x:v>
      </x:c>
      <x:c r="O1342" s="25" t="str">
        <x:v>Lustig, Hanno, Christopher Sleet, and Sevin Yeltekin, “Fiscal hedging with nominal assets,” Journal of Monetary Economics, May 2008, 55(4), 710–727.1</x:v>
      </x:c>
    </x:row>
    <x:row r="1343" ht="48" customHeight="1">
      <x:c r="A1343" s="24" t="str">
        <x:v>W05-R041</x:v>
      </x:c>
      <x:c r="B1343" s="24" t="str">
        <x:v>W05</x:v>
      </x:c>
      <x:c r="C1343" s="26" t="n">
        <x:v>41</x:v>
      </x:c>
      <x:c r="D1343" s="26" t="n">
        <x:v>38</x:v>
      </x:c>
      <x:c r="E1343" s="26" t="n">
        <x:v>38</x:v>
      </x:c>
      <x:c r="F1343" s="26" t="str">
        <x:v>Pasquariello</x:v>
      </x:c>
      <x:c r="G1343" s="26" t="n">
        <x:v>2009</x:v>
      </x:c>
      <x:c r="H1343" s="25" t="str">
        <x:v>The on-the-run liquidity phenomenon</x:v>
      </x:c>
      <x:c r="I1343" s="25" t="str"/>
      <x:c r="J1343" s="25" t="str"/>
      <x:c r="K1343" s="25" t="str">
        <x:v>automatic_screen_pass</x:v>
      </x:c>
      <x:c r="L1343" s="25" t="str">
        <x:v>accepted</x:v>
      </x:c>
      <x:c r="M1343" s="25" t="str">
        <x:v>no</x:v>
      </x:c>
      <x:c r="N1343" s="25" t="str">
        <x:v>saki_research/working_papers/bigio_nuno_decomposing_optimal_debt_maturity.pdf</x:v>
      </x:c>
      <x:c r="O1343" s="25" t="str">
        <x:v>Pasquariello, Paolo and Clara Vega, “The on-the-run liquidity phenomenon,” Journal of Financial Economics, 2009,92(1), 1 – 24.2</x:v>
      </x:c>
    </x:row>
    <x:row r="1344" ht="48" customHeight="1">
      <x:c r="A1344" s="24" t="str">
        <x:v>W05-R042</x:v>
      </x:c>
      <x:c r="B1344" s="24" t="str">
        <x:v>W05</x:v>
      </x:c>
      <x:c r="C1344" s="26" t="n">
        <x:v>42</x:v>
      </x:c>
      <x:c r="D1344" s="26" t="n">
        <x:v>38</x:v>
      </x:c>
      <x:c r="E1344" s="26" t="n">
        <x:v>38</x:v>
      </x:c>
      <x:c r="F1344" s="26" t="str">
        <x:v>Pelizzon</x:v>
      </x:c>
      <x:c r="G1344" s="26" t="n">
        <x:v>2016</x:v>
      </x:c>
      <x:c r="H1344" s="25" t="str">
        <x:v>Sovereign credit risk, liquidity, and European Central Bank intervention: Deus ex machina?</x:v>
      </x:c>
      <x:c r="I1344" s="25" t="str"/>
      <x:c r="J1344" s="25" t="str"/>
      <x:c r="K1344" s="25" t="str">
        <x:v>automatic_screen_pass</x:v>
      </x:c>
      <x:c r="L1344" s="25" t="str">
        <x:v>accepted</x:v>
      </x:c>
      <x:c r="M1344" s="25" t="str">
        <x:v>no</x:v>
      </x:c>
      <x:c r="N1344" s="25" t="str">
        <x:v>saki_research/working_papers/bigio_nuno_decomposing_optimal_debt_maturity.pdf</x:v>
      </x:c>
      <x:c r="O1344" s="25" t="str">
        <x:v>Pelizzon, Loriana, Marti G Subrahmanyam, Davide Tomio, and Jun Uno, “Sovereign credit risk, liquidity, and European Central Bank intervention: Deus ex machina?,” Journal of Financial Economics, 2016,122(1), 86–115.2</x:v>
      </x:c>
    </x:row>
    <x:row r="1345" ht="48" customHeight="1">
      <x:c r="A1345" s="24" t="str">
        <x:v>W05-R043</x:v>
      </x:c>
      <x:c r="B1345" s="24" t="str">
        <x:v>W05</x:v>
      </x:c>
      <x:c r="C1345" s="26" t="n">
        <x:v>43</x:v>
      </x:c>
      <x:c r="D1345" s="26" t="n">
        <x:v>38</x:v>
      </x:c>
      <x:c r="E1345" s="26" t="n">
        <x:v>38</x:v>
      </x:c>
      <x:c r="F1345" s="26" t="str">
        <x:v>Reinhart</x:v>
      </x:c>
      <x:c r="G1345" s="26" t="n">
        <x:v>2009</x:v>
      </x:c>
      <x:c r="H1345" s="25" t="str">
        <x:v>This time is different: Eight centuries of financial folly</x:v>
      </x:c>
      <x:c r="I1345" s="25" t="str"/>
      <x:c r="J1345" s="25" t="str">
        <x:v>local_citation_grammar_v3</x:v>
      </x:c>
      <x:c r="K1345" s="25" t="str">
        <x:v>prior_manual_sample</x:v>
      </x:c>
      <x:c r="L1345" s="25" t="str">
        <x:v>accepted</x:v>
      </x:c>
      <x:c r="M1345" s="25" t="str">
        <x:v>no</x:v>
      </x:c>
      <x:c r="N1345" s="25" t="str">
        <x:v>saki_research/working_papers/bigio_nuno_decomposing_optimal_debt_maturity.pdf</x:v>
      </x:c>
      <x:c r="O1345" s="25" t="str">
        <x:v>Reinhart, Carmen M and Kenneth S Rogoff, This time is different: Eight centuries of financial folly, Princeton University Press, 2009.4</x:v>
      </x:c>
    </x:row>
    <x:row r="1346" ht="48" customHeight="1">
      <x:c r="A1346" s="24" t="str">
        <x:v>W05-R044</x:v>
      </x:c>
      <x:c r="B1346" s="24" t="str">
        <x:v>W05</x:v>
      </x:c>
      <x:c r="C1346" s="26" t="n">
        <x:v>44</x:v>
      </x:c>
      <x:c r="D1346" s="26" t="n">
        <x:v>38</x:v>
      </x:c>
      <x:c r="E1346" s="26" t="n">
        <x:v>38</x:v>
      </x:c>
      <x:c r="F1346" s="26" t="str">
        <x:v>Reiter</x:v>
      </x:c>
      <x:c r="G1346" s="26" t="n">
        <x:v>2009</x:v>
      </x:c>
      <x:c r="H1346" s="25" t="str">
        <x:v>Solving heterogeneous-agent models by projection and perturbation</x:v>
      </x:c>
      <x:c r="I1346" s="25" t="str"/>
      <x:c r="J1346" s="25" t="str"/>
      <x:c r="K1346" s="25" t="str">
        <x:v>automatic_screen_pass</x:v>
      </x:c>
      <x:c r="L1346" s="25" t="str">
        <x:v>accepted</x:v>
      </x:c>
      <x:c r="M1346" s="25" t="str">
        <x:v>no</x:v>
      </x:c>
      <x:c r="N1346" s="25" t="str">
        <x:v>saki_research/working_papers/bigio_nuno_decomposing_optimal_debt_maturity.pdf</x:v>
      </x:c>
      <x:c r="O1346" s="25" t="str">
        <x:v>Reiter, Michael, “Solving heterogeneous-agent models by projection and perturbation,” Journal of Economic Dynamics and Control, 2009,33(3), 649–665.1,3.2</x:v>
      </x:c>
    </x:row>
    <x:row r="1347" ht="48" customHeight="1">
      <x:c r="A1347" s="24" t="str">
        <x:v>W05-R045</x:v>
      </x:c>
      <x:c r="B1347" s="24" t="str">
        <x:v>W05</x:v>
      </x:c>
      <x:c r="C1347" s="26" t="n">
        <x:v>45</x:v>
      </x:c>
      <x:c r="D1347" s="26" t="n">
        <x:v>38</x:v>
      </x:c>
      <x:c r="E1347" s="26" t="n">
        <x:v>38</x:v>
      </x:c>
      <x:c r="F1347" s="26" t="str">
        <x:v>Spindt</x:v>
      </x:c>
      <x:c r="G1347" s="26" t="n">
        <x:v>1992</x:v>
      </x:c>
      <x:c r="H1347" s="25" t="str">
        <x:v>AreUStreasurybillsunderpricedintheprimary market?</x:v>
      </x:c>
      <x:c r="I1347" s="25" t="str"/>
      <x:c r="J1347" s="25" t="str"/>
      <x:c r="K1347" s="25" t="str">
        <x:v>automatic_screen_pass</x:v>
      </x:c>
      <x:c r="L1347" s="25" t="str">
        <x:v>accepted</x:v>
      </x:c>
      <x:c r="M1347" s="25" t="str">
        <x:v>no</x:v>
      </x:c>
      <x:c r="N1347" s="25" t="str">
        <x:v>saki_research/working_papers/bigio_nuno_decomposing_optimal_debt_maturity.pdf</x:v>
      </x:c>
      <x:c r="O1347" s="25" t="str">
        <x:v>Spindt,PaulA.andRichardW.Stolz,“AreUStreasurybillsunderpricedintheprimary market?,” Journal of Banking &amp; Finance, 1992,16 (5), 891 – 908.2</x:v>
      </x:c>
    </x:row>
    <x:row r="1348" ht="48" customHeight="1">
      <x:c r="A1348" s="24" t="str">
        <x:v>W05-R046</x:v>
      </x:c>
      <x:c r="B1348" s="24" t="str">
        <x:v>W05</x:v>
      </x:c>
      <x:c r="C1348" s="26" t="n">
        <x:v>46</x:v>
      </x:c>
      <x:c r="D1348" s="26" t="n">
        <x:v>38</x:v>
      </x:c>
      <x:c r="E1348" s="26" t="n">
        <x:v>38</x:v>
      </x:c>
      <x:c r="F1348" s="26" t="str">
        <x:v>Valaitis</x:v>
      </x:c>
      <x:c r="G1348" s="26" t="n">
        <x:v>2022</x:v>
      </x:c>
      <x:c r="H1348" s="25" t="str">
        <x:v>AMachineLearningProjectionMethodfor Macro-FinanceModels</x:v>
      </x:c>
      <x:c r="I1348" s="25" t="str"/>
      <x:c r="J1348" s="25" t="str"/>
      <x:c r="K1348" s="25" t="str">
        <x:v>prior_manual_sample</x:v>
      </x:c>
      <x:c r="L1348" s="25" t="str">
        <x:v>accepted</x:v>
      </x:c>
      <x:c r="M1348" s="25" t="str">
        <x:v>no</x:v>
      </x:c>
      <x:c r="N1348" s="25" t="str">
        <x:v>saki_research/working_papers/bigio_nuno_decomposing_optimal_debt_maturity.pdf</x:v>
      </x:c>
      <x:c r="O1348" s="25" t="str">
        <x:v>Valaitis,VytautasandAlessandroT.Villa,“AMachineLearningProjectionMethodfor Macro-FinanceModels,” 2022.6</x:v>
      </x:c>
    </x:row>
    <x:row r="1349" ht="48" customHeight="1">
      <x:c r="A1349" s="24" t="str">
        <x:v>W05-R047</x:v>
      </x:c>
      <x:c r="B1349" s="24" t="str">
        <x:v>W05</x:v>
      </x:c>
      <x:c r="C1349" s="26" t="n">
        <x:v>47</x:v>
      </x:c>
      <x:c r="D1349" s="26" t="n">
        <x:v>39</x:v>
      </x:c>
      <x:c r="E1349" s="26" t="n">
        <x:v>39</x:v>
      </x:c>
      <x:c r="F1349" s="26" t="str">
        <x:v>Vayanos</x:v>
      </x:c>
      <x:c r="G1349" s="26" t="n">
        <x:v>2021</x:v>
      </x:c>
      <x:c r="H1349" s="25" t="str">
        <x:v>APreferred-HabitatModel ofthe TermStructure of Interest Rates</x:v>
      </x:c>
      <x:c r="I1349" s="25" t="str"/>
      <x:c r="J1349" s="25" t="str"/>
      <x:c r="K1349" s="25" t="str">
        <x:v>automatic_screen_pass</x:v>
      </x:c>
      <x:c r="L1349" s="25" t="str">
        <x:v>accepted</x:v>
      </x:c>
      <x:c r="M1349" s="25" t="str">
        <x:v>no</x:v>
      </x:c>
      <x:c r="N1349" s="25" t="str">
        <x:v>saki_research/working_papers/bigio_nuno_decomposing_optimal_debt_maturity.pdf</x:v>
      </x:c>
      <x:c r="O1349" s="25" t="str">
        <x:v>Vayanos, Dimitri andJean-Luc Vila, “APreferred-HabitatModel ofthe TermStructure of Interest Rates,” Econometrica, January 2021,89(1), 77–112.5.2,6</x:v>
      </x:c>
    </x:row>
    <x:row r="1350" ht="48" customHeight="1">
      <x:c r="A1350" s="24" t="str">
        <x:v>W05-R048</x:v>
      </x:c>
      <x:c r="B1350" s="24" t="str">
        <x:v>W05</x:v>
      </x:c>
      <x:c r="C1350" s="26" t="n">
        <x:v>48</x:v>
      </x:c>
      <x:c r="D1350" s="26" t="n">
        <x:v>39</x:v>
      </x:c>
      <x:c r="E1350" s="26" t="n">
        <x:v>39</x:v>
      </x:c>
      <x:c r="F1350" s="26" t="str">
        <x:v>Vayanos</x:v>
      </x:c>
      <x:c r="G1350" s="26" t="n">
        <x:v>2013</x:v>
      </x:c>
      <x:c r="H1350" s="25" t="str">
        <x:v>Market Liquidity: Theory and Empirical Evidence</x:v>
      </x:c>
      <x:c r="I1350" s="25" t="str"/>
      <x:c r="J1350" s="25" t="str"/>
      <x:c r="K1350" s="25" t="str">
        <x:v>automatic_screen_pass</x:v>
      </x:c>
      <x:c r="L1350" s="25" t="str">
        <x:v>accepted</x:v>
      </x:c>
      <x:c r="M1350" s="25" t="str">
        <x:v>no</x:v>
      </x:c>
      <x:c r="N1350" s="25" t="str">
        <x:v>saki_research/working_papers/bigio_nuno_decomposing_optimal_debt_maturity.pdf</x:v>
      </x:c>
      <x:c r="O1350" s="25" t="str">
        <x:v>Vayanos, Dimitry and Jiang Wang, “Market Liquidity: Theory and Empirical Evidence,” in George Constantinides, Milton Harris, and Rene Stulz, eds., Handbook of the Economics of Finance, 2013, chapter 19.2</x:v>
      </x:c>
    </x:row>
    <x:row r="1351" ht="48" customHeight="1">
      <x:c r="A1351" s="24" t="str">
        <x:v>W05-R049</x:v>
      </x:c>
      <x:c r="B1351" s="24" t="str">
        <x:v>W05</x:v>
      </x:c>
      <x:c r="C1351" s="26" t="n">
        <x:v>49</x:v>
      </x:c>
      <x:c r="D1351" s="26" t="n">
        <x:v>39</x:v>
      </x:c>
      <x:c r="E1351" s="26" t="n">
        <x:v>39</x:v>
      </x:c>
      <x:c r="F1351" s="26" t="str">
        <x:v>Wang</x:v>
      </x:c>
      <x:c r="G1351" s="26" t="n">
        <x:v>2016</x:v>
      </x:c>
      <x:c r="H1351" s="25" t="str">
        <x:v>Optimal consumption and savings with stochastic income and recursive utility</x:v>
      </x:c>
      <x:c r="I1351" s="25" t="str"/>
      <x:c r="J1351" s="25" t="str"/>
      <x:c r="K1351" s="25" t="str">
        <x:v>automatic_screen_pass</x:v>
      </x:c>
      <x:c r="L1351" s="25" t="str">
        <x:v>accepted</x:v>
      </x:c>
      <x:c r="M1351" s="25" t="str">
        <x:v>no</x:v>
      </x:c>
      <x:c r="N1351" s="25" t="str">
        <x:v>saki_research/working_papers/bigio_nuno_decomposing_optimal_debt_maturity.pdf</x:v>
      </x:c>
      <x:c r="O1351" s="25" t="str">
        <x:v>Wang, Chong, Neng Wang, and Jinqiang Yang, “Optimal consumption and savings with stochastic income and recursive utility,” Journal of Economic Theory, 2016, 165, 292 – 331.3.1</x:v>
      </x:c>
    </x:row>
    <x:row r="1352" ht="48" customHeight="1">
      <x:c r="A1352" s="24" t="str">
        <x:v>W05-R050</x:v>
      </x:c>
      <x:c r="B1352" s="24" t="str">
        <x:v>W05</x:v>
      </x:c>
      <x:c r="C1352" s="26" t="n">
        <x:v>50</x:v>
      </x:c>
      <x:c r="D1352" s="26" t="n">
        <x:v>39</x:v>
      </x:c>
      <x:c r="E1352" s="26" t="n">
        <x:v>39</x:v>
      </x:c>
      <x:c r="F1352" s="26" t="str">
        <x:v>Zame</x:v>
      </x:c>
      <x:c r="G1352" s="26" t="n">
        <x:v>1993</x:v>
      </x:c>
      <x:c r="H1352" s="25" t="str">
        <x:v>Efficiency and the Role of Default When Security Markets are Incomplete</x:v>
      </x:c>
      <x:c r="I1352" s="25" t="str"/>
      <x:c r="J1352" s="25" t="str"/>
      <x:c r="K1352" s="25" t="str">
        <x:v>automatic_screen_pass</x:v>
      </x:c>
      <x:c r="L1352" s="25" t="str">
        <x:v>accepted</x:v>
      </x:c>
      <x:c r="M1352" s="25" t="str">
        <x:v>no</x:v>
      </x:c>
      <x:c r="N1352" s="25" t="str">
        <x:v>saki_research/working_papers/bigio_nuno_decomposing_optimal_debt_maturity.pdf</x:v>
      </x:c>
      <x:c r="O1352" s="25" t="str">
        <x:v>Zame, William R., “Efficiency and the Role of Default When Security Markets are Incomplete,” The American Economic Review, 1993, 83(5), 1142–1164.3.2</x:v>
      </x:c>
    </x:row>
    <x:row r="1353" ht="48" customHeight="1">
      <x:c r="A1353" s="24" t="str">
        <x:v>W02-R001</x:v>
      </x:c>
      <x:c r="B1353" s="24" t="str">
        <x:v>W02</x:v>
      </x:c>
      <x:c r="C1353" s="26" t="n">
        <x:v>1</x:v>
      </x:c>
      <x:c r="D1353" s="26" t="n">
        <x:v>41</x:v>
      </x:c>
      <x:c r="E1353" s="26" t="n">
        <x:v>41</x:v>
      </x:c>
      <x:c r="F1353" s="26" t="str">
        <x:v>Achdou</x:v>
      </x:c>
      <x:c r="G1353" s="26" t="n">
        <x:v>2021</x:v>
      </x:c>
      <x:c r="H1353" s="25" t="str">
        <x:v>Income and Wealth Distribution in Macroeconomics: A Continuous-Time Approach</x:v>
      </x:c>
      <x:c r="I1353" s="25" t="str"/>
      <x:c r="J1353" s="25" t="str"/>
      <x:c r="K1353" s="25" t="str">
        <x:v>automatic_screen_pass</x:v>
      </x:c>
      <x:c r="L1353" s="25" t="str">
        <x:v>accepted</x:v>
      </x:c>
      <x:c r="M1353" s="25" t="str">
        <x:v>no</x:v>
      </x:c>
      <x:c r="N1353" s="25" t="str">
        <x:v>saki_research/working_papers/bigio_sannikov_model_credit_money_interest_prices.pdf</x:v>
      </x:c>
      <x:c r="O1353" s="25" t="str">
        <x:v>Achdou, Yves, Jiequn Han, Jean-Michel Lasry, Pierre-Louis Lions, and Benjamin Moll, “Income and Wealth Distribution in Macroeconomics: A Continuous-Time Approach,” The Review of Economic Studies, 04 2021, 89 (1), 45–86.</x:v>
      </x:c>
    </x:row>
    <x:row r="1354" ht="48" customHeight="1">
      <x:c r="A1354" s="24" t="str">
        <x:v>W02-R002</x:v>
      </x:c>
      <x:c r="B1354" s="24" t="str">
        <x:v>W02</x:v>
      </x:c>
      <x:c r="C1354" s="26" t="n">
        <x:v>2</x:v>
      </x:c>
      <x:c r="D1354" s="26" t="n">
        <x:v>41</x:v>
      </x:c>
      <x:c r="E1354" s="26" t="n">
        <x:v>41</x:v>
      </x:c>
      <x:c r="F1354" s="26" t="str">
        <x:v>Afonso</x:v>
      </x:c>
      <x:c r="G1354" s="26" t="n">
        <x:v>2014</x:v>
      </x:c>
      <x:c r="H1354" s="25" t="str">
        <x:v>An Empirical Study of Trade Dynamics in the Fed Funds Market</x:v>
      </x:c>
      <x:c r="I1354" s="25" t="str"/>
      <x:c r="J1354" s="25" t="str"/>
      <x:c r="K1354" s="25" t="str">
        <x:v>automatic_screen_pass</x:v>
      </x:c>
      <x:c r="L1354" s="25" t="str">
        <x:v>accepted</x:v>
      </x:c>
      <x:c r="M1354" s="25" t="str">
        <x:v>no</x:v>
      </x:c>
      <x:c r="N1354" s="25" t="str">
        <x:v>saki_research/working_papers/bigio_sannikov_model_credit_money_interest_prices.pdf</x:v>
      </x:c>
      <x:c r="O1354" s="25" t="str">
        <x:v>Afonso, Gara and Ricardo Lagos, “An Empirical Study of Trade Dynamics in the Fed Funds Market,” 2014. Federal Reserve Bank of Minneapolis Research Department, Working Paper 708.</x:v>
      </x:c>
    </x:row>
    <x:row r="1355" ht="48" customHeight="1">
      <x:c r="A1355" s="24" t="str">
        <x:v>W02-R003</x:v>
      </x:c>
      <x:c r="B1355" s="24" t="str">
        <x:v>W02</x:v>
      </x:c>
      <x:c r="C1355" s="26" t="n">
        <x:v>3</x:v>
      </x:c>
      <x:c r="D1355" s="26" t="n">
        <x:v>41</x:v>
      </x:c>
      <x:c r="E1355" s="26" t="n">
        <x:v>41</x:v>
      </x:c>
      <x:c r="F1355" s="26" t="str">
        <x:v>Afonso</x:v>
      </x:c>
      <x:c r="G1355" s="26" t="n">
        <x:v>2015</x:v>
      </x:c>
      <x:c r="H1355" s="25" t="str">
        <x:v>Trade Dynamics in the Market for Federal Funds</x:v>
      </x:c>
      <x:c r="I1355" s="25" t="str">
        <x:v>inherited_author_notation</x:v>
      </x:c>
      <x:c r="J1355" s="25" t="str"/>
      <x:c r="K1355" s="25" t="str">
        <x:v>automatic_screen_pass</x:v>
      </x:c>
      <x:c r="L1355" s="25" t="str">
        <x:v>accepted</x:v>
      </x:c>
      <x:c r="M1355" s="25" t="str">
        <x:v>no</x:v>
      </x:c>
      <x:c r="N1355" s="25" t="str">
        <x:v>saki_research/working_papers/bigio_sannikov_model_credit_money_interest_prices.pdf</x:v>
      </x:c>
      <x:c r="O1355" s="25" t="str">
        <x:v>and , “Trade Dynamics in the Market for Federal Funds,” Econometrica, 2015, 83 (1), 263–313.</x:v>
      </x:c>
    </x:row>
    <x:row r="1356" ht="48" customHeight="1">
      <x:c r="A1356" s="24" t="str">
        <x:v>W02-R004</x:v>
      </x:c>
      <x:c r="B1356" s="24" t="str">
        <x:v>W02</x:v>
      </x:c>
      <x:c r="C1356" s="26" t="n">
        <x:v>4</x:v>
      </x:c>
      <x:c r="D1356" s="26" t="n">
        <x:v>41</x:v>
      </x:c>
      <x:c r="E1356" s="26" t="n">
        <x:v>41</x:v>
      </x:c>
      <x:c r="F1356" s="26" t="str">
        <x:v>Aiyagari</x:v>
      </x:c>
      <x:c r="G1356" s="26" t="n">
        <x:v>1998</x:v>
      </x:c>
      <x:c r="H1356" s="25" t="str">
        <x:v>The optimum quantity of debt</x:v>
      </x:c>
      <x:c r="I1356" s="25" t="str"/>
      <x:c r="J1356" s="25" t="str"/>
      <x:c r="K1356" s="25" t="str">
        <x:v>prior_manual_sample</x:v>
      </x:c>
      <x:c r="L1356" s="25" t="str">
        <x:v>accepted</x:v>
      </x:c>
      <x:c r="M1356" s="25" t="str">
        <x:v>no</x:v>
      </x:c>
      <x:c r="N1356" s="25" t="str">
        <x:v>saki_research/working_papers/bigio_sannikov_model_credit_money_interest_prices.pdf</x:v>
      </x:c>
      <x:c r="O1356" s="25" t="str">
        <x:v>Aiyagari, S. and Ellen McGrattan, “The optimum quantity of debt,” Journal of Monetary Economics, 1998, 42 (3), 447–469.</x:v>
      </x:c>
    </x:row>
    <x:row r="1357" ht="48" customHeight="1">
      <x:c r="A1357" s="24" t="str">
        <x:v>W02-R005</x:v>
      </x:c>
      <x:c r="B1357" s="24" t="str">
        <x:v>W02</x:v>
      </x:c>
      <x:c r="C1357" s="26" t="n">
        <x:v>5</x:v>
      </x:c>
      <x:c r="D1357" s="26" t="n">
        <x:v>41</x:v>
      </x:c>
      <x:c r="E1357" s="26" t="n">
        <x:v>41</x:v>
      </x:c>
      <x:c r="F1357" s="26" t="str">
        <x:v>Aiyagari</x:v>
      </x:c>
      <x:c r="G1357" s="26" t="n">
        <x:v>1994</x:v>
      </x:c>
      <x:c r="H1357" s="25" t="str">
        <x:v>Uninsured Idiosyncratic Risk and Aggregate Saving</x:v>
      </x:c>
      <x:c r="I1357" s="25" t="str"/>
      <x:c r="J1357" s="25" t="str"/>
      <x:c r="K1357" s="25" t="str">
        <x:v>prior_manual_sample</x:v>
      </x:c>
      <x:c r="L1357" s="25" t="str">
        <x:v>accepted</x:v>
      </x:c>
      <x:c r="M1357" s="25" t="str">
        <x:v>no</x:v>
      </x:c>
      <x:c r="N1357" s="25" t="str">
        <x:v>saki_research/working_papers/bigio_sannikov_model_credit_money_interest_prices.pdf</x:v>
      </x:c>
      <x:c r="O1357" s="25" t="str">
        <x:v>Aiyagari, S. Rao, “Uninsured Idiosyncratic Risk and Aggregate Saving,” The Quarterly Journal of Economics, 1994, 109 (3), 659–684.</x:v>
      </x:c>
    </x:row>
    <x:row r="1358" ht="48" customHeight="1">
      <x:c r="A1358" s="24" t="str">
        <x:v>W02-R006</x:v>
      </x:c>
      <x:c r="B1358" s="24" t="str">
        <x:v>W02</x:v>
      </x:c>
      <x:c r="C1358" s="26" t="n">
        <x:v>6</x:v>
      </x:c>
      <x:c r="D1358" s="26" t="n">
        <x:v>41</x:v>
      </x:c>
      <x:c r="E1358" s="26" t="n">
        <x:v>41</x:v>
      </x:c>
      <x:c r="F1358" s="26" t="str">
        <x:v>Arce</x:v>
      </x:c>
      <x:c r="G1358" s="26" t="n">
        <x:v>2020</x:v>
      </x:c>
      <x:c r="H1358" s="25" t="str">
        <x:v>A large central bankbalancesheet? FloorvscorridorsystemsinaNewKeynesianenvironment</x:v>
      </x:c>
      <x:c r="I1358" s="25" t="str"/>
      <x:c r="J1358" s="25" t="str"/>
      <x:c r="K1358" s="25" t="str">
        <x:v>prior_manual_sample</x:v>
      </x:c>
      <x:c r="L1358" s="25" t="str">
        <x:v>accepted</x:v>
      </x:c>
      <x:c r="M1358" s="25" t="str">
        <x:v>no</x:v>
      </x:c>
      <x:c r="N1358" s="25" t="str">
        <x:v>saki_research/working_papers/bigio_sannikov_model_credit_money_interest_prices.pdf</x:v>
      </x:c>
      <x:c r="O1358" s="25" t="str">
        <x:v>Arce, Oscar, Galo Nuno, Dominik Thaler, and Carlos Thomas, “A large central bankbalancesheet? FloorvscorridorsystemsinaNewKeynesianenvironment,” Journal of monetary economics, 2020, 114, 350–367.</x:v>
      </x:c>
    </x:row>
    <x:row r="1359" ht="48" customHeight="1">
      <x:c r="A1359" s="24" t="str">
        <x:v>W02-R007</x:v>
      </x:c>
      <x:c r="B1359" s="24" t="str">
        <x:v>W02</x:v>
      </x:c>
      <x:c r="C1359" s="26" t="n">
        <x:v>7</x:v>
      </x:c>
      <x:c r="D1359" s="26" t="n">
        <x:v>41</x:v>
      </x:c>
      <x:c r="E1359" s="26" t="n">
        <x:v>41</x:v>
      </x:c>
      <x:c r="F1359" s="26" t="str">
        <x:v>Ashcraft</x:v>
      </x:c>
      <x:c r="G1359" s="26" t="n">
        <x:v>2007</x:v>
      </x:c>
      <x:c r="H1359" s="25" t="str">
        <x:v>Systemic Illiquidity in the Federal Funds Market</x:v>
      </x:c>
      <x:c r="I1359" s="25" t="str"/>
      <x:c r="J1359" s="25" t="str"/>
      <x:c r="K1359" s="25" t="str">
        <x:v>automatic_screen_pass</x:v>
      </x:c>
      <x:c r="L1359" s="25" t="str">
        <x:v>accepted</x:v>
      </x:c>
      <x:c r="M1359" s="25" t="str">
        <x:v>no</x:v>
      </x:c>
      <x:c r="N1359" s="25" t="str">
        <x:v>saki_research/working_papers/bigio_sannikov_model_credit_money_interest_prices.pdf</x:v>
      </x:c>
      <x:c r="O1359" s="25" t="str">
        <x:v>Ashcraft, Adam B. and Darrell Duffie, “Systemic Illiquidity in the Federal Funds Market,” American Economic Review, 2007, 97 (2), 221–225.</x:v>
      </x:c>
    </x:row>
    <x:row r="1360" ht="48" customHeight="1">
      <x:c r="A1360" s="24" t="str">
        <x:v>W02-R008</x:v>
      </x:c>
      <x:c r="B1360" s="24" t="str">
        <x:v>W02</x:v>
      </x:c>
      <x:c r="C1360" s="26" t="n">
        <x:v>8</x:v>
      </x:c>
      <x:c r="D1360" s="26" t="n">
        <x:v>41</x:v>
      </x:c>
      <x:c r="E1360" s="26" t="n">
        <x:v>41</x:v>
      </x:c>
      <x:c r="F1360" s="26" t="str">
        <x:v>Auclert</x:v>
      </x:c>
      <x:c r="G1360" s="26" t="n">
        <x:v>2019</x:v>
      </x:c>
      <x:c r="H1360" s="25" t="str">
        <x:v>Monetary policy and the redistribution channel</x:v>
      </x:c>
      <x:c r="I1360" s="25" t="str"/>
      <x:c r="J1360" s="25" t="str"/>
      <x:c r="K1360" s="25" t="str">
        <x:v>prior_manual_sample</x:v>
      </x:c>
      <x:c r="L1360" s="25" t="str">
        <x:v>accepted</x:v>
      </x:c>
      <x:c r="M1360" s="25" t="str">
        <x:v>no</x:v>
      </x:c>
      <x:c r="N1360" s="25" t="str">
        <x:v>saki_research/working_papers/bigio_sannikov_model_credit_money_interest_prices.pdf</x:v>
      </x:c>
      <x:c r="O1360" s="25" t="str">
        <x:v>Auclert, Adrien, “Monetary policy and the redistribution channel,” American Economic Review, 2019, 109 (6), 2333–67.</x:v>
      </x:c>
    </x:row>
    <x:row r="1361" ht="48" customHeight="1">
      <x:c r="A1361" s="24" t="str">
        <x:v>W02-R009</x:v>
      </x:c>
      <x:c r="B1361" s="24" t="str">
        <x:v>W02</x:v>
      </x:c>
      <x:c r="C1361" s="26" t="n">
        <x:v>9</x:v>
      </x:c>
      <x:c r="D1361" s="26" t="n">
        <x:v>41</x:v>
      </x:c>
      <x:c r="E1361" s="26" t="n">
        <x:v>41</x:v>
      </x:c>
      <x:c r="F1361" s="26" t="str">
        <x:v>Barro</x:v>
      </x:c>
      <x:c r="G1361" s="26" t="n">
        <x:v>2012</x:v>
      </x:c>
      <x:c r="H1361" s="25" t="str">
        <x:v>Rare macroeconomic disasters</x:v>
      </x:c>
      <x:c r="I1361" s="25" t="str"/>
      <x:c r="J1361" s="25" t="str"/>
      <x:c r="K1361" s="25" t="str">
        <x:v>automatic_screen_pass</x:v>
      </x:c>
      <x:c r="L1361" s="25" t="str">
        <x:v>accepted</x:v>
      </x:c>
      <x:c r="M1361" s="25" t="str">
        <x:v>no</x:v>
      </x:c>
      <x:c r="N1361" s="25" t="str">
        <x:v>saki_research/working_papers/bigio_sannikov_model_credit_money_interest_prices.pdf</x:v>
      </x:c>
      <x:c r="O1361" s="25" t="str">
        <x:v>Barro, Robert J and Jos ́e F Urs ́ua, “Rare macroeconomic disasters,” Annual Review of Economics, 2012, 4 (1), 83–109.</x:v>
      </x:c>
    </x:row>
    <x:row r="1362" ht="48" customHeight="1">
      <x:c r="A1362" s="24" t="str">
        <x:v>W02-R010</x:v>
      </x:c>
      <x:c r="B1362" s="24" t="str">
        <x:v>W02</x:v>
      </x:c>
      <x:c r="C1362" s="26" t="n">
        <x:v>10</x:v>
      </x:c>
      <x:c r="D1362" s="26" t="n">
        <x:v>41</x:v>
      </x:c>
      <x:c r="E1362" s="26" t="n">
        <x:v>41</x:v>
      </x:c>
      <x:c r="F1362" s="26" t="str">
        <x:v>Benigno</x:v>
      </x:c>
      <x:c r="G1362" s="26" t="n">
        <x:v>2021</x:v>
      </x:c>
      <x:c r="H1362" s="25" t="str">
        <x:v>Interest, Reserves and Prices</x:v>
      </x:c>
      <x:c r="I1362" s="25" t="str"/>
      <x:c r="J1362" s="25" t="str"/>
      <x:c r="K1362" s="25" t="str">
        <x:v>prior_manual_sample</x:v>
      </x:c>
      <x:c r="L1362" s="25" t="str">
        <x:v>accepted</x:v>
      </x:c>
      <x:c r="M1362" s="25" t="str">
        <x:v>no</x:v>
      </x:c>
      <x:c r="N1362" s="25" t="str">
        <x:v>saki_research/working_papers/bigio_sannikov_model_credit_money_interest_prices.pdf</x:v>
      </x:c>
      <x:c r="O1362" s="25" t="str">
        <x:v>Benigno, Gianluca and Pierpaolo Benigno, “Interest, Reserves and Prices,” 2021.</x:v>
      </x:c>
    </x:row>
    <x:row r="1363" ht="48" customHeight="1">
      <x:c r="A1363" s="24" t="str">
        <x:v>W02-R011</x:v>
      </x:c>
      <x:c r="B1363" s="24" t="str">
        <x:v>W02</x:v>
      </x:c>
      <x:c r="C1363" s="26" t="n">
        <x:v>11</x:v>
      </x:c>
      <x:c r="D1363" s="26" t="n">
        <x:v>41</x:v>
      </x:c>
      <x:c r="E1363" s="26" t="n">
        <x:v>41</x:v>
      </x:c>
      <x:c r="F1363" s="26" t="str">
        <x:v>Berentsen</x:v>
      </x:c>
      <x:c r="G1363" s="26" t="n">
        <x:v>2007</x:v>
      </x:c>
      <x:c r="H1363" s="25" t="str">
        <x:v>Money,credit and banking</x:v>
      </x:c>
      <x:c r="I1363" s="25" t="str"/>
      <x:c r="J1363" s="25" t="str"/>
      <x:c r="K1363" s="25" t="str">
        <x:v>prior_manual_sample</x:v>
      </x:c>
      <x:c r="L1363" s="25" t="str">
        <x:v>accepted</x:v>
      </x:c>
      <x:c r="M1363" s="25" t="str">
        <x:v>no</x:v>
      </x:c>
      <x:c r="N1363" s="25" t="str">
        <x:v>saki_research/working_papers/bigio_sannikov_model_credit_money_interest_prices.pdf</x:v>
      </x:c>
      <x:c r="O1363" s="25" t="str">
        <x:v>Berentsen,Aleksander,GabrieleCamera,andChristopherWaller,“Money,credit and banking,” Journal of Economic Theory, 2007, 135 (1), 171–195.</x:v>
      </x:c>
    </x:row>
    <x:row r="1364" ht="48" customHeight="1">
      <x:c r="A1364" s="24" t="str">
        <x:v>W02-R012</x:v>
      </x:c>
      <x:c r="B1364" s="24" t="str">
        <x:v>W02</x:v>
      </x:c>
      <x:c r="C1364" s="26" t="n">
        <x:v>12</x:v>
      </x:c>
      <x:c r="D1364" s="26" t="n">
        <x:v>41</x:v>
      </x:c>
      <x:c r="E1364" s="26" t="n">
        <x:v>41</x:v>
      </x:c>
      <x:c r="F1364" s="26" t="str">
        <x:v>Bewley</x:v>
      </x:c>
      <x:c r="G1364" s="26" t="n">
        <x:v>1983</x:v>
      </x:c>
      <x:c r="H1364" s="25" t="str">
        <x:v>A Difficulty with the Optimum Quantity of Money</x:v>
      </x:c>
      <x:c r="I1364" s="25" t="str"/>
      <x:c r="J1364" s="25" t="str"/>
      <x:c r="K1364" s="25" t="str">
        <x:v>automatic_screen_pass</x:v>
      </x:c>
      <x:c r="L1364" s="25" t="str">
        <x:v>accepted</x:v>
      </x:c>
      <x:c r="M1364" s="25" t="str">
        <x:v>no</x:v>
      </x:c>
      <x:c r="N1364" s="25" t="str">
        <x:v>saki_research/working_papers/bigio_sannikov_model_credit_money_interest_prices.pdf</x:v>
      </x:c>
      <x:c r="O1364" s="25" t="str">
        <x:v>Bewley, Truman, “A Difficulty with the Optimum Quantity of Money,” Econometrica, 1983, 51 (5), 1485–1504.</x:v>
      </x:c>
    </x:row>
    <x:row r="1365" ht="48" customHeight="1">
      <x:c r="A1365" s="24" t="str">
        <x:v>W02-R013</x:v>
      </x:c>
      <x:c r="B1365" s="24" t="str">
        <x:v>W02</x:v>
      </x:c>
      <x:c r="C1365" s="26" t="n">
        <x:v>13</x:v>
      </x:c>
      <x:c r="D1365" s="26" t="n">
        <x:v>42</x:v>
      </x:c>
      <x:c r="E1365" s="26" t="n">
        <x:v>42</x:v>
      </x:c>
      <x:c r="F1365" s="26" t="str">
        <x:v>Bhandari</x:v>
      </x:c>
      <x:c r="G1365" s="26" t="n">
        <x:v>2021</x:v>
      </x:c>
      <x:c r="H1365" s="25" t="str">
        <x:v>Inequality,BusinessCycles,andMonetary-FiscalPolicy</x:v>
      </x:c>
      <x:c r="I1365" s="25" t="str"/>
      <x:c r="J1365" s="25" t="str"/>
      <x:c r="K1365" s="25" t="str">
        <x:v>automatic_screen_pass</x:v>
      </x:c>
      <x:c r="L1365" s="25" t="str">
        <x:v>accepted</x:v>
      </x:c>
      <x:c r="M1365" s="25" t="str">
        <x:v>no</x:v>
      </x:c>
      <x:c r="N1365" s="25" t="str">
        <x:v>saki_research/working_papers/bigio_sannikov_model_credit_money_interest_prices.pdf</x:v>
      </x:c>
      <x:c r="O1365" s="25" t="str">
        <x:v>Bhandari, Anmol, David Evans, Mikhail Golosov, and Thomas J. Sargent, “Inequality,BusinessCycles,andMonetary-FiscalPolicy,” Econometrica,2021, 89(6),2559– 2599.</x:v>
      </x:c>
    </x:row>
    <x:row r="1366" ht="48" customHeight="1">
      <x:c r="A1366" s="24" t="str">
        <x:v>W02-R014</x:v>
      </x:c>
      <x:c r="B1366" s="24" t="str">
        <x:v>W02</x:v>
      </x:c>
      <x:c r="C1366" s="26" t="n">
        <x:v>14</x:v>
      </x:c>
      <x:c r="D1366" s="26" t="n">
        <x:v>42</x:v>
      </x:c>
      <x:c r="E1366" s="26" t="n">
        <x:v>42</x:v>
      </x:c>
      <x:c r="F1366" s="26" t="str">
        <x:v>Bianchi</x:v>
      </x:c>
      <x:c r="G1366" s="26" t="n">
        <x:v>2017</x:v>
      </x:c>
      <x:c r="H1366" s="25" t="str">
        <x:v>Portfolio Theory with Settlement Frictions</x:v>
      </x:c>
      <x:c r="I1366" s="25" t="str"/>
      <x:c r="J1366" s="25" t="str"/>
      <x:c r="K1366" s="25" t="str">
        <x:v>automatic_screen_pass</x:v>
      </x:c>
      <x:c r="L1366" s="25" t="str">
        <x:v>accepted</x:v>
      </x:c>
      <x:c r="M1366" s="25" t="str">
        <x:v>no</x:v>
      </x:c>
      <x:c r="N1366" s="25" t="str">
        <x:v>saki_research/working_papers/bigio_sannikov_model_credit_money_interest_prices.pdf</x:v>
      </x:c>
      <x:c r="O1366" s="25" t="str">
        <x:v>Bianchi, Javier and Saki Bigio, “Portfolio Theory with Settlement Frictions,” 2017. Mimeo, Federal Reserve Bank of Minneapolis.</x:v>
      </x:c>
    </x:row>
    <x:row r="1367" ht="48" customHeight="1">
      <x:c r="A1367" s="24" t="str">
        <x:v>W02-R015</x:v>
      </x:c>
      <x:c r="B1367" s="24" t="str">
        <x:v>W02</x:v>
      </x:c>
      <x:c r="C1367" s="26" t="n">
        <x:v>15</x:v>
      </x:c>
      <x:c r="D1367" s="26" t="n">
        <x:v>42</x:v>
      </x:c>
      <x:c r="E1367" s="26" t="n">
        <x:v>42</x:v>
      </x:c>
      <x:c r="F1367" s="26" t="str">
        <x:v>Bianchi</x:v>
      </x:c>
      <x:c r="G1367" s="26" t="n">
        <x:v>2022</x:v>
      </x:c>
      <x:c r="H1367" s="25" t="str">
        <x:v>Banks, liquidity management, and monetary policy</x:v>
      </x:c>
      <x:c r="I1367" s="25" t="str">
        <x:v>inherited_author_notation</x:v>
      </x:c>
      <x:c r="J1367" s="25" t="str"/>
      <x:c r="K1367" s="25" t="str">
        <x:v>automatic_screen_pass</x:v>
      </x:c>
      <x:c r="L1367" s="25" t="str">
        <x:v>accepted</x:v>
      </x:c>
      <x:c r="M1367" s="25" t="str">
        <x:v>no</x:v>
      </x:c>
      <x:c r="N1367" s="25" t="str">
        <x:v>saki_research/working_papers/bigio_sannikov_model_credit_money_interest_prices.pdf</x:v>
      </x:c>
      <x:c r="O1367" s="25" t="str">
        <x:v>and , “Banks, liquidity management, and monetary policy,” Econometrica, 2022, 90 (1), 391–454.</x:v>
      </x:c>
    </x:row>
    <x:row r="1368" ht="48" customHeight="1">
      <x:c r="A1368" s="24" t="str">
        <x:v>W02-R016</x:v>
      </x:c>
      <x:c r="B1368" s="24" t="str">
        <x:v>W02</x:v>
      </x:c>
      <x:c r="C1368" s="26" t="n">
        <x:v>16</x:v>
      </x:c>
      <x:c r="D1368" s="26" t="n">
        <x:v>42</x:v>
      </x:c>
      <x:c r="E1368" s="26" t="n">
        <x:v>42</x:v>
      </x:c>
      <x:c r="F1368" s="26" t="str">
        <x:v>Bigio</x:v>
      </x:c>
      <x:c r="G1368" s="26" t="n">
        <x:v>2020</x:v>
      </x:c>
      <x:c r="H1368" s="25" t="str">
        <x:v>Transfers vs credit policy: Macroeconomic policy trade-offs during covid-19</x:v>
      </x:c>
      <x:c r="I1368" s="25" t="str"/>
      <x:c r="J1368" s="25" t="str"/>
      <x:c r="K1368" s="25" t="str">
        <x:v>automatic_screen_pass</x:v>
      </x:c>
      <x:c r="L1368" s="25" t="str">
        <x:v>accepted</x:v>
      </x:c>
      <x:c r="M1368" s="25" t="str">
        <x:v>no</x:v>
      </x:c>
      <x:c r="N1368" s="25" t="str">
        <x:v>saki_research/working_papers/bigio_sannikov_model_credit_money_interest_prices.pdf</x:v>
      </x:c>
      <x:c r="O1368" s="25" t="str">
        <x:v>Bigio, Saki, Mengbo Zhang, and Eduardo Zilberman, “Transfers vs credit policy: Macroeconomic policy trade-offs during covid-19,” Technical Report, National Bureau of Economic Research 2020.</x:v>
      </x:c>
    </x:row>
    <x:row r="1369" ht="48" customHeight="1">
      <x:c r="A1369" s="24" t="str">
        <x:v>W02-R017</x:v>
      </x:c>
      <x:c r="B1369" s="24" t="str">
        <x:v>W02</x:v>
      </x:c>
      <x:c r="C1369" s="26" t="n">
        <x:v>17</x:v>
      </x:c>
      <x:c r="D1369" s="26" t="n">
        <x:v>42</x:v>
      </x:c>
      <x:c r="E1369" s="26" t="n">
        <x:v>42</x:v>
      </x:c>
      <x:c r="F1369" s="26" t="str">
        <x:v>Bilbiie</x:v>
      </x:c>
      <x:c r="G1369" s="26" t="n">
        <x:v>2020</x:v>
      </x:c>
      <x:c r="H1369" s="25" t="str">
        <x:v>Monetary Policy and Heterogeneity: An Analytical Framework</x:v>
      </x:c>
      <x:c r="I1369" s="25" t="str"/>
      <x:c r="J1369" s="25" t="str"/>
      <x:c r="K1369" s="25" t="str">
        <x:v>automatic_screen_pass</x:v>
      </x:c>
      <x:c r="L1369" s="25" t="str">
        <x:v>accepted</x:v>
      </x:c>
      <x:c r="M1369" s="25" t="str">
        <x:v>no</x:v>
      </x:c>
      <x:c r="N1369" s="25" t="str">
        <x:v>saki_research/working_papers/bigio_sannikov_model_credit_money_interest_prices.pdf</x:v>
      </x:c>
      <x:c r="O1369" s="25" t="str">
        <x:v>Bilbiie, Florin O., “Monetary Policy and Heterogeneity: An Analytical Framework,” 2020.</x:v>
      </x:c>
    </x:row>
    <x:row r="1370" ht="48" customHeight="1">
      <x:c r="A1370" s="24" t="str">
        <x:v>W02-R018</x:v>
      </x:c>
      <x:c r="B1370" s="24" t="str">
        <x:v>W02</x:v>
      </x:c>
      <x:c r="C1370" s="26" t="n">
        <x:v>18</x:v>
      </x:c>
      <x:c r="D1370" s="26" t="n">
        <x:v>42</x:v>
      </x:c>
      <x:c r="E1370" s="26" t="n">
        <x:v>42</x:v>
      </x:c>
      <x:c r="F1370" s="26" t="str">
        <x:v>Bindseil</x:v>
      </x:c>
      <x:c r="G1370" s="26" t="n">
        <x:v>2014</x:v>
      </x:c>
      <x:c r="H1370" s="25" t="str">
        <x:v>ISBN-10: 0198716907</x:v>
      </x:c>
      <x:c r="I1370" s="25" t="str"/>
      <x:c r="J1370" s="25" t="str">
        <x:v>local_citation_grammar_v3</x:v>
      </x:c>
      <x:c r="K1370" s="25" t="str">
        <x:v>prior_manual_sample</x:v>
      </x:c>
      <x:c r="L1370" s="25" t="str">
        <x:v>accepted</x:v>
      </x:c>
      <x:c r="M1370" s="25" t="str">
        <x:v>no</x:v>
      </x:c>
      <x:c r="N1370" s="25" t="str">
        <x:v>saki_research/working_papers/bigio_sannikov_model_credit_money_interest_prices.pdf</x:v>
      </x:c>
      <x:c r="O1370" s="25" t="str">
        <x:v>Bindseil, Ulrich, Monetary Policy Operations and the Financial System, first edition ed., Oxford University Press, 2014. ISBN-10: 0198716907.</x:v>
      </x:c>
    </x:row>
    <x:row r="1371" ht="48" customHeight="1">
      <x:c r="A1371" s="24" t="str">
        <x:v>W02-R019</x:v>
      </x:c>
      <x:c r="B1371" s="24" t="str">
        <x:v>W02</x:v>
      </x:c>
      <x:c r="C1371" s="26" t="n">
        <x:v>19</x:v>
      </x:c>
      <x:c r="D1371" s="26" t="n">
        <x:v>42</x:v>
      </x:c>
      <x:c r="E1371" s="26" t="n">
        <x:v>42</x:v>
      </x:c>
      <x:c r="F1371" s="26" t="str">
        <x:v>Blanchard</x:v>
      </x:c>
      <x:c r="G1371" s="26" t="n">
        <x:v>2010</x:v>
      </x:c>
      <x:c r="H1371" s="25" t="str">
        <x:v>Labor Markets and Monetary Policy: A New Keynesian Model with Unemployment</x:v>
      </x:c>
      <x:c r="I1371" s="25" t="str"/>
      <x:c r="J1371" s="25" t="str"/>
      <x:c r="K1371" s="25" t="str">
        <x:v>automatic_screen_pass</x:v>
      </x:c>
      <x:c r="L1371" s="25" t="str">
        <x:v>accepted</x:v>
      </x:c>
      <x:c r="M1371" s="25" t="str">
        <x:v>no</x:v>
      </x:c>
      <x:c r="N1371" s="25" t="str">
        <x:v>saki_research/working_papers/bigio_sannikov_model_credit_money_interest_prices.pdf</x:v>
      </x:c>
      <x:c r="O1371" s="25" t="str">
        <x:v>Blanchard, Olivier and Jordi Gali, “Labor Markets and Monetary Policy: A New Keynesian Model with Unemployment,” American Economic Journal: Macroeconomics, April 2010, 2 (2), 1–30.</x:v>
      </x:c>
    </x:row>
    <x:row r="1372" ht="48" customHeight="1">
      <x:c r="A1372" s="24" t="str">
        <x:v>W02-R020</x:v>
      </x:c>
      <x:c r="B1372" s="24" t="str">
        <x:v>W02</x:v>
      </x:c>
      <x:c r="C1372" s="26" t="n">
        <x:v>20</x:v>
      </x:c>
      <x:c r="D1372" s="26" t="n">
        <x:v>42</x:v>
      </x:c>
      <x:c r="E1372" s="26" t="n">
        <x:v>42</x:v>
      </x:c>
      <x:c r="F1372" s="26" t="str">
        <x:v>Brunnermeier</x:v>
      </x:c>
      <x:c r="G1372" s="26" t="n">
        <x:v>2012</x:v>
      </x:c>
      <x:c r="H1372" s="25" t="str">
        <x:v>The I-Theory of Money</x:v>
      </x:c>
      <x:c r="I1372" s="25" t="str"/>
      <x:c r="J1372" s="25" t="str"/>
      <x:c r="K1372" s="25" t="str">
        <x:v>automatic_screen_pass</x:v>
      </x:c>
      <x:c r="L1372" s="25" t="str">
        <x:v>accepted</x:v>
      </x:c>
      <x:c r="M1372" s="25" t="str">
        <x:v>no</x:v>
      </x:c>
      <x:c r="N1372" s="25" t="str">
        <x:v>saki_research/working_papers/bigio_sannikov_model_credit_money_interest_prices.pdf</x:v>
      </x:c>
      <x:c r="O1372" s="25" t="str">
        <x:v>Brunnermeier, Markus K. and Yuliy Sannikov, “The I-Theory of Money,” 2012.</x:v>
      </x:c>
    </x:row>
    <x:row r="1373" ht="48" customHeight="1">
      <x:c r="A1373" s="24" t="str">
        <x:v>W02-R021</x:v>
      </x:c>
      <x:c r="B1373" s="24" t="str">
        <x:v>W02</x:v>
      </x:c>
      <x:c r="C1373" s="26" t="n">
        <x:v>21</x:v>
      </x:c>
      <x:c r="D1373" s="26" t="n">
        <x:v>42</x:v>
      </x:c>
      <x:c r="E1373" s="26" t="n">
        <x:v>42</x:v>
      </x:c>
      <x:c r="F1373" s="26" t="str">
        <x:v>Buera</x:v>
      </x:c>
      <x:c r="G1373" s="26" t="n">
        <x:v>2020</x:v>
      </x:c>
      <x:c r="H1373" s="25" t="str">
        <x:v>Liquidity traps and monetary policy: Managing a credit crunch</x:v>
      </x:c>
      <x:c r="I1373" s="25" t="str"/>
      <x:c r="J1373" s="25" t="str"/>
      <x:c r="K1373" s="25" t="str">
        <x:v>automatic_screen_pass</x:v>
      </x:c>
      <x:c r="L1373" s="25" t="str">
        <x:v>accepted</x:v>
      </x:c>
      <x:c r="M1373" s="25" t="str">
        <x:v>no</x:v>
      </x:c>
      <x:c r="N1373" s="25" t="str">
        <x:v>saki_research/working_papers/bigio_sannikov_model_credit_money_interest_prices.pdf</x:v>
      </x:c>
      <x:c r="O1373" s="25" t="str">
        <x:v>Buera, Francisco J and Juan Pablo Nicolini, “Liquidity traps and monetary policy: Managing a credit crunch,” American Economic Journal: Macroeconomics, 2020, 12 (3), 110–38.</x:v>
      </x:c>
    </x:row>
    <x:row r="1374" ht="48" customHeight="1">
      <x:c r="A1374" s="24" t="str">
        <x:v>W02-R022</x:v>
      </x:c>
      <x:c r="B1374" s="24" t="str">
        <x:v>W02</x:v>
      </x:c>
      <x:c r="C1374" s="26" t="n">
        <x:v>22</x:v>
      </x:c>
      <x:c r="D1374" s="26" t="n">
        <x:v>42</x:v>
      </x:c>
      <x:c r="E1374" s="26" t="n">
        <x:v>42</x:v>
      </x:c>
      <x:c r="F1374" s="26" t="str">
        <x:v>Caballero</x:v>
      </x:c>
      <x:c r="G1374" s="26" t="n">
        <x:v>1998</x:v>
      </x:c>
      <x:c r="H1374" s="25" t="str">
        <x:v>The Macroeconomics of Specificity</x:v>
      </x:c>
      <x:c r="I1374" s="25" t="str"/>
      <x:c r="J1374" s="25" t="str"/>
      <x:c r="K1374" s="25" t="str">
        <x:v>prior_manual_sample</x:v>
      </x:c>
      <x:c r="L1374" s="25" t="str">
        <x:v>accepted</x:v>
      </x:c>
      <x:c r="M1374" s="25" t="str">
        <x:v>no</x:v>
      </x:c>
      <x:c r="N1374" s="25" t="str">
        <x:v>saki_research/working_papers/bigio_sannikov_model_credit_money_interest_prices.pdf</x:v>
      </x:c>
      <x:c r="O1374" s="25" t="str">
        <x:v>Caballero, Ricardo J. and Mohamad L. Hammour, “The Macroeconomics of Specificity,” The Journal of Political Economy, 1998, 106 (4), 724–767.</x:v>
      </x:c>
    </x:row>
    <x:row r="1375" ht="48" customHeight="1">
      <x:c r="A1375" s="24" t="str">
        <x:v>W02-R023</x:v>
      </x:c>
      <x:c r="B1375" s="24" t="str">
        <x:v>W02</x:v>
      </x:c>
      <x:c r="C1375" s="26" t="n">
        <x:v>23</x:v>
      </x:c>
      <x:c r="D1375" s="26" t="n">
        <x:v>42</x:v>
      </x:c>
      <x:c r="E1375" s="26" t="n">
        <x:v>42</x:v>
      </x:c>
      <x:c r="F1375" s="26" t="str">
        <x:v>Challe</x:v>
      </x:c>
      <x:c r="G1375" s="26" t="n">
        <x:v>2020</x:v>
      </x:c>
      <x:c r="H1375" s="25" t="str">
        <x:v>Uninsured Unemployment Risk and Optimal Monetary Policy in a Zero-Liquidity Economy</x:v>
      </x:c>
      <x:c r="I1375" s="25" t="str"/>
      <x:c r="J1375" s="25" t="str"/>
      <x:c r="K1375" s="25" t="str">
        <x:v>automatic_screen_pass</x:v>
      </x:c>
      <x:c r="L1375" s="25" t="str">
        <x:v>accepted</x:v>
      </x:c>
      <x:c r="M1375" s="25" t="str">
        <x:v>no</x:v>
      </x:c>
      <x:c r="N1375" s="25" t="str">
        <x:v>saki_research/working_papers/bigio_sannikov_model_credit_money_interest_prices.pdf</x:v>
      </x:c>
      <x:c r="O1375" s="25" t="str">
        <x:v>Challe, Edouard, “Uninsured Unemployment Risk and Optimal Monetary Policy in a Zero-Liquidity Economy,” American Economic Journal: Macroeconomics, April 2020, 12 (2), 241–83.</x:v>
      </x:c>
    </x:row>
    <x:row r="1376" ht="48" customHeight="1">
      <x:c r="A1376" s="24" t="str">
        <x:v>W02-R024</x:v>
      </x:c>
      <x:c r="B1376" s="24" t="str">
        <x:v>W02</x:v>
      </x:c>
      <x:c r="C1376" s="26" t="n">
        <x:v>24</x:v>
      </x:c>
      <x:c r="D1376" s="26" t="n">
        <x:v>42</x:v>
      </x:c>
      <x:c r="E1376" s="26" t="n">
        <x:v>42</x:v>
      </x:c>
      <x:c r="F1376" s="26" t="str">
        <x:v>Chetty</x:v>
      </x:c>
      <x:c r="G1376" s="26" t="n">
        <x:v>2007</x:v>
      </x:c>
      <x:c r="H1376" s="25" t="str">
        <x:v>Consumption Commitments and Risk Preferences*</x:v>
      </x:c>
      <x:c r="I1376" s="25" t="str"/>
      <x:c r="J1376" s="25" t="str"/>
      <x:c r="K1376" s="25" t="str">
        <x:v>automatic_screen_pass</x:v>
      </x:c>
      <x:c r="L1376" s="25" t="str">
        <x:v>accepted</x:v>
      </x:c>
      <x:c r="M1376" s="25" t="str">
        <x:v>no</x:v>
      </x:c>
      <x:c r="N1376" s="25" t="str">
        <x:v>saki_research/working_papers/bigio_sannikov_model_credit_money_interest_prices.pdf</x:v>
      </x:c>
      <x:c r="O1376" s="25" t="str">
        <x:v>Chetty, Raj and Adam Szeidl, “Consumption Commitments and Risk Preferences*,” The Quarterly Journal of Economics, 05 2007, 122 (2), 831–877.</x:v>
      </x:c>
    </x:row>
    <x:row r="1377" ht="48" customHeight="1">
      <x:c r="A1377" s="24" t="str">
        <x:v>W02-R025</x:v>
      </x:c>
      <x:c r="B1377" s="24" t="str">
        <x:v>W02</x:v>
      </x:c>
      <x:c r="C1377" s="26" t="n">
        <x:v>25</x:v>
      </x:c>
      <x:c r="D1377" s="26" t="n">
        <x:v>43</x:v>
      </x:c>
      <x:c r="E1377" s="26" t="n">
        <x:v>43</x:v>
      </x:c>
      <x:c r="F1377" s="26" t="str">
        <x:v>Christiano</x:v>
      </x:c>
      <x:c r="G1377" s="26" t="n">
        <x:v>2011</x:v>
      </x:c>
      <x:c r="H1377" s="25" t="str">
        <x:v>Introducing financial frictions and unemployment into a small open economy model</x:v>
      </x:c>
      <x:c r="I1377" s="25" t="str"/>
      <x:c r="J1377" s="25" t="str"/>
      <x:c r="K1377" s="25" t="str">
        <x:v>automatic_screen_pass</x:v>
      </x:c>
      <x:c r="L1377" s="25" t="str">
        <x:v>accepted</x:v>
      </x:c>
      <x:c r="M1377" s="25" t="str">
        <x:v>no</x:v>
      </x:c>
      <x:c r="N1377" s="25" t="str">
        <x:v>saki_research/working_papers/bigio_sannikov_model_credit_money_interest_prices.pdf</x:v>
      </x:c>
      <x:c r="O1377" s="25" t="str">
        <x:v>Christiano, Lawrence J., Mathias Trabandt, and Karl Walentin, “Introducing financial frictions and unemployment into a small open economy model,” Journal of Economic Dynamics and Control, 2011, 35 (12), 1999–2041.</x:v>
      </x:c>
    </x:row>
    <x:row r="1378" ht="48" customHeight="1">
      <x:c r="A1378" s="24" t="str">
        <x:v>W02-R026</x:v>
      </x:c>
      <x:c r="B1378" s="24" t="str">
        <x:v>W02</x:v>
      </x:c>
      <x:c r="C1378" s="26" t="n">
        <x:v>26</x:v>
      </x:c>
      <x:c r="D1378" s="26" t="n">
        <x:v>43</x:v>
      </x:c>
      <x:c r="E1378" s="26" t="n">
        <x:v>43</x:v>
      </x:c>
      <x:c r="F1378" s="26" t="str">
        <x:v>Coeurdacier</x:v>
      </x:c>
      <x:c r="G1378" s="26" t="n">
        <x:v>2011</x:v>
      </x:c>
      <x:c r="H1378" s="25" t="str">
        <x:v>The Risky Steady State</x:v>
      </x:c>
      <x:c r="I1378" s="25" t="str"/>
      <x:c r="J1378" s="25" t="str"/>
      <x:c r="K1378" s="25" t="str">
        <x:v>automatic_screen_pass</x:v>
      </x:c>
      <x:c r="L1378" s="25" t="str">
        <x:v>accepted</x:v>
      </x:c>
      <x:c r="M1378" s="25" t="str">
        <x:v>no</x:v>
      </x:c>
      <x:c r="N1378" s="25" t="str">
        <x:v>saki_research/working_papers/bigio_sannikov_model_credit_money_interest_prices.pdf</x:v>
      </x:c>
      <x:c r="O1378" s="25" t="str">
        <x:v>Coeurdacier, Nicolas, H ́el ́ene Rey, and Pablo Winant, “The Risky Steady State,” American Economic Review, May 2011, 101 (3), 398–401.</x:v>
      </x:c>
    </x:row>
    <x:row r="1379" ht="48" customHeight="1">
      <x:c r="A1379" s="24" t="str">
        <x:v>W02-R027</x:v>
      </x:c>
      <x:c r="B1379" s="24" t="str">
        <x:v>W02</x:v>
      </x:c>
      <x:c r="C1379" s="26" t="n">
        <x:v>27</x:v>
      </x:c>
      <x:c r="D1379" s="26" t="n">
        <x:v>43</x:v>
      </x:c>
      <x:c r="E1379" s="26" t="n">
        <x:v>43</x:v>
      </x:c>
      <x:c r="F1379" s="26" t="str">
        <x:v>Curdia</x:v>
      </x:c>
      <x:c r="G1379" s="26" t="n">
        <x:v>2016</x:v>
      </x:c>
      <x:c r="H1379" s="25" t="str">
        <x:v>Credit Frictions and Optimal Monetary Policy</x:v>
      </x:c>
      <x:c r="I1379" s="25" t="str"/>
      <x:c r="J1379" s="25" t="str"/>
      <x:c r="K1379" s="25" t="str">
        <x:v>automatic_screen_pass</x:v>
      </x:c>
      <x:c r="L1379" s="25" t="str">
        <x:v>accepted</x:v>
      </x:c>
      <x:c r="M1379" s="25" t="str">
        <x:v>no</x:v>
      </x:c>
      <x:c r="N1379" s="25" t="str">
        <x:v>saki_research/working_papers/bigio_sannikov_model_credit_money_interest_prices.pdf</x:v>
      </x:c>
      <x:c r="O1379" s="25" t="str">
        <x:v>Curdia, Vasco and Michael Woodford, “Credit Frictions and Optimal Monetary Policy,” Journal of Monetary Economics, 2016, 84, 30–65.</x:v>
      </x:c>
    </x:row>
    <x:row r="1380" ht="48" customHeight="1">
      <x:c r="A1380" s="24" t="str">
        <x:v>W02-R028</x:v>
      </x:c>
      <x:c r="B1380" s="24" t="str">
        <x:v>W02</x:v>
      </x:c>
      <x:c r="C1380" s="26" t="n">
        <x:v>28</x:v>
      </x:c>
      <x:c r="D1380" s="26" t="n">
        <x:v>43</x:v>
      </x:c>
      <x:c r="E1380" s="26" t="n">
        <x:v>43</x:v>
      </x:c>
      <x:c r="F1380" s="26" t="str">
        <x:v>Davis</x:v>
      </x:c>
      <x:c r="G1380" s="26" t="n">
        <x:v>2006</x:v>
      </x:c>
      <x:c r="H1380" s="25" t="str">
        <x:v>The Flow Approach to Labor Markets: New Data Sources and Micro-Macro Links</x:v>
      </x:c>
      <x:c r="I1380" s="25" t="str"/>
      <x:c r="J1380" s="25" t="str">
        <x:v>exhaustive_ai_audit_2026-09-17</x:v>
      </x:c>
      <x:c r="K1380" s="25" t="str">
        <x:v>exhaustive_visual_correction</x:v>
      </x:c>
      <x:c r="L1380" s="25" t="str">
        <x:v>corrected</x:v>
      </x:c>
      <x:c r="M1380" s="25" t="str">
        <x:v>no</x:v>
      </x:c>
      <x:c r="N1380" s="25" t="str">
        <x:v>saki_research/working_papers/bigio_sannikov_model_credit_money_interest_prices.pdf</x:v>
      </x:c>
      <x:c r="O1380" s="25" t="str">
        <x:v>Davis, StevenJ., R.JasonFaberman, andJohnHaltiwanger, “TheFlowApproach toLaborMarkets: NewDataSourcesandMicro-MacroLinks,” The Journal of Economic Perspectives, 2006, 20 (3), 3–26.</x:v>
      </x:c>
    </x:row>
    <x:row r="1381" ht="48" customHeight="1">
      <x:c r="A1381" s="24" t="str">
        <x:v>W02-R029</x:v>
      </x:c>
      <x:c r="B1381" s="24" t="str">
        <x:v>W02</x:v>
      </x:c>
      <x:c r="C1381" s="26" t="n">
        <x:v>29</x:v>
      </x:c>
      <x:c r="D1381" s="26" t="n">
        <x:v>43</x:v>
      </x:c>
      <x:c r="E1381" s="26" t="n">
        <x:v>43</x:v>
      </x:c>
      <x:c r="F1381" s="26" t="str">
        <x:v>Van den Heuvel</x:v>
      </x:c>
      <x:c r="G1381" s="26" t="n">
        <x:v>2002</x:v>
      </x:c>
      <x:c r="H1381" s="25" t="str">
        <x:v>The Bank Capital Channel of Monetary Policy</x:v>
      </x:c>
      <x:c r="I1381" s="25" t="str"/>
      <x:c r="J1381" s="25" t="str">
        <x:v>exhaustive_ai_audit_2026-09-17</x:v>
      </x:c>
      <x:c r="K1381" s="25" t="str">
        <x:v>exhaustive_visual_correction</x:v>
      </x:c>
      <x:c r="L1381" s="25" t="str">
        <x:v>corrected</x:v>
      </x:c>
      <x:c r="M1381" s="25" t="str">
        <x:v>no</x:v>
      </x:c>
      <x:c r="N1381" s="25" t="str">
        <x:v>saki_research/working_papers/bigio_sannikov_model_credit_money_interest_prices.pdf</x:v>
      </x:c>
      <x:c r="O1381" s="25" t="str">
        <x:v>den Heuvel, Skander J. Van, “The Bank Capital Channel of Monetary Policy,” 2002.</x:v>
      </x:c>
    </x:row>
    <x:row r="1382" ht="48" customHeight="1">
      <x:c r="A1382" s="24" t="str">
        <x:v>W02-R030</x:v>
      </x:c>
      <x:c r="B1382" s="24" t="str">
        <x:v>W02</x:v>
      </x:c>
      <x:c r="C1382" s="26" t="n">
        <x:v>30</x:v>
      </x:c>
      <x:c r="D1382" s="26" t="n">
        <x:v>43</x:v>
      </x:c>
      <x:c r="E1382" s="26" t="n">
        <x:v>43</x:v>
      </x:c>
      <x:c r="F1382" s="26" t="str">
        <x:v>Lucas</x:v>
      </x:c>
      <x:c r="G1382" s="26" t="n">
        <x:v>1987</x:v>
      </x:c>
      <x:c r="H1382" s="25" t="str">
        <x:v>Money and Interest in a Cash-in-Advance Economy</x:v>
      </x:c>
      <x:c r="I1382" s="25" t="str"/>
      <x:c r="J1382" s="25" t="str">
        <x:v>exhaustive_ai_audit_2026-09-17</x:v>
      </x:c>
      <x:c r="K1382" s="25" t="str">
        <x:v>exhaustive_visual_correction</x:v>
      </x:c>
      <x:c r="L1382" s="25" t="str">
        <x:v>corrected</x:v>
      </x:c>
      <x:c r="M1382" s="25" t="str">
        <x:v>no</x:v>
      </x:c>
      <x:c r="N1382" s="25" t="str">
        <x:v>saki_research/working_papers/bigio_sannikov_model_credit_money_interest_prices.pdf</x:v>
      </x:c>
      <x:c r="O1382" s="25" t="str">
        <x:v>E.,Jr.LucasRobertandNancyL.Stokey,“MoneyandInterestinaCash-in-Advance Economy,” Econometrica, 1987, 55 (3), pp. 491–513.</x:v>
      </x:c>
    </x:row>
    <x:row r="1383" ht="48" customHeight="1">
      <x:c r="A1383" s="24" t="str">
        <x:v>W02-R031</x:v>
      </x:c>
      <x:c r="B1383" s="24" t="str">
        <x:v>W02</x:v>
      </x:c>
      <x:c r="C1383" s="26" t="n">
        <x:v>31</x:v>
      </x:c>
      <x:c r="D1383" s="26" t="n">
        <x:v>43</x:v>
      </x:c>
      <x:c r="E1383" s="26" t="n">
        <x:v>43</x:v>
      </x:c>
      <x:c r="F1383" s="26" t="str">
        <x:v>Eggertsson</x:v>
      </x:c>
      <x:c r="G1383" s="26" t="n">
        <x:v>2012</x:v>
      </x:c>
      <x:c r="H1383" s="25" t="str">
        <x:v>Debt, Deleveraging, and the Liquidity Trap: A Fisher-Minsky-Koo Approach</x:v>
      </x:c>
      <x:c r="I1383" s="25" t="str"/>
      <x:c r="J1383" s="25" t="str"/>
      <x:c r="K1383" s="25" t="str">
        <x:v>automatic_screen_pass</x:v>
      </x:c>
      <x:c r="L1383" s="25" t="str">
        <x:v>accepted</x:v>
      </x:c>
      <x:c r="M1383" s="25" t="str">
        <x:v>no</x:v>
      </x:c>
      <x:c r="N1383" s="25" t="str">
        <x:v>saki_research/working_papers/bigio_sannikov_model_credit_money_interest_prices.pdf</x:v>
      </x:c>
      <x:c r="O1383" s="25" t="str">
        <x:v>Eggertsson, Gauti B. and Paul Krugman, “Debt, Deleveraging, and the Liquidity Trap: A Fisher-Minsky-Koo Approach,” The Quarterly Journal of Economics, 07 2012, 127 (3), 1469–1513.</x:v>
      </x:c>
    </x:row>
    <x:row r="1384" ht="48" customHeight="1">
      <x:c r="A1384" s="24" t="str">
        <x:v>W02-R032</x:v>
      </x:c>
      <x:c r="B1384" s="24" t="str">
        <x:v>W02</x:v>
      </x:c>
      <x:c r="C1384" s="26" t="n">
        <x:v>32</x:v>
      </x:c>
      <x:c r="D1384" s="26" t="n">
        <x:v>43</x:v>
      </x:c>
      <x:c r="E1384" s="26" t="n">
        <x:v>43</x:v>
      </x:c>
      <x:c r="F1384" s="26" t="str">
        <x:v>Eggertsson</x:v>
      </x:c>
      <x:c r="G1384" s="26" t="n">
        <x:v>2019</x:v>
      </x:c>
      <x:c r="H1384" s="25" t="str">
        <x:v>Negative Nominal Interest Rates and the Bank Lending Channel</x:v>
      </x:c>
      <x:c r="I1384" s="25" t="str">
        <x:v>inherited_author_notation</x:v>
      </x:c>
      <x:c r="J1384" s="25" t="str"/>
      <x:c r="K1384" s="25" t="str">
        <x:v>automatic_screen_pass</x:v>
      </x:c>
      <x:c r="L1384" s="25" t="str">
        <x:v>accepted</x:v>
      </x:c>
      <x:c r="M1384" s="25" t="str">
        <x:v>no</x:v>
      </x:c>
      <x:c r="N1384" s="25" t="str">
        <x:v>saki_research/working_papers/bigio_sannikov_model_credit_money_interest_prices.pdf</x:v>
      </x:c>
      <x:c r="O1384" s="25" t="str">
        <x:v>Ragnar E. Juelsrud, Lawrence H. Summers, and Ella Getz Wold, “Negative Nominal Interest Rates and the Bank Lending Channel,” 2019. NBER Working Paper No. 25416.</x:v>
      </x:c>
    </x:row>
    <x:row r="1385" ht="48" customHeight="1">
      <x:c r="A1385" s="24" t="str">
        <x:v>W02-R033</x:v>
      </x:c>
      <x:c r="B1385" s="24" t="str">
        <x:v>W02</x:v>
      </x:c>
      <x:c r="C1385" s="26" t="n">
        <x:v>33</x:v>
      </x:c>
      <x:c r="D1385" s="26" t="n">
        <x:v>43</x:v>
      </x:c>
      <x:c r="E1385" s="26" t="n">
        <x:v>43</x:v>
      </x:c>
      <x:c r="F1385" s="26" t="str">
        <x:v>Farhi</x:v>
      </x:c>
      <x:c r="G1385" s="26" t="n">
        <x:v>2016</x:v>
      </x:c>
      <x:c r="H1385" s="25" t="str">
        <x:v>A Theory of Macroprudential Policies in the Presence of Nominal Rigidities</x:v>
      </x:c>
      <x:c r="I1385" s="25" t="str"/>
      <x:c r="J1385" s="25" t="str"/>
      <x:c r="K1385" s="25" t="str">
        <x:v>automatic_screen_pass</x:v>
      </x:c>
      <x:c r="L1385" s="25" t="str">
        <x:v>accepted</x:v>
      </x:c>
      <x:c r="M1385" s="25" t="str">
        <x:v>no</x:v>
      </x:c>
      <x:c r="N1385" s="25" t="str">
        <x:v>saki_research/working_papers/bigio_sannikov_model_credit_money_interest_prices.pdf</x:v>
      </x:c>
      <x:c r="O1385" s="25" t="str">
        <x:v>Farhi, Emmanuel and Iv ́an Werning, “A Theory of Macroprudential Policies in the Presence of Nominal Rigidities,” Econometrica, 2016, 84 (5), 1645–1704. Lead article.</x:v>
      </x:c>
    </x:row>
    <x:row r="1386" ht="48" customHeight="1">
      <x:c r="A1386" s="24" t="str">
        <x:v>W02-R034</x:v>
      </x:c>
      <x:c r="B1386" s="24" t="str">
        <x:v>W02</x:v>
      </x:c>
      <x:c r="C1386" s="26" t="n">
        <x:v>34</x:v>
      </x:c>
      <x:c r="D1386" s="26" t="n">
        <x:v>43</x:v>
      </x:c>
      <x:c r="E1386" s="26" t="n">
        <x:v>43</x:v>
      </x:c>
      <x:c r="F1386" s="26" t="str">
        <x:v>Fiore</x:v>
      </x:c>
      <x:c r="G1386" s="26" t="n">
        <x:v>2018</x:v>
      </x:c>
      <x:c r="H1386" s="25" t="str">
        <x:v>Money Markets, Collateral and Monetary Policy</x:v>
      </x:c>
      <x:c r="I1386" s="25" t="str"/>
      <x:c r="J1386" s="25" t="str"/>
      <x:c r="K1386" s="25" t="str">
        <x:v>automatic_screen_pass</x:v>
      </x:c>
      <x:c r="L1386" s="25" t="str">
        <x:v>accepted</x:v>
      </x:c>
      <x:c r="M1386" s="25" t="str">
        <x:v>no</x:v>
      </x:c>
      <x:c r="N1386" s="25" t="str">
        <x:v>saki_research/working_papers/bigio_sannikov_model_credit_money_interest_prices.pdf</x:v>
      </x:c>
      <x:c r="O1386" s="25" t="str">
        <x:v>Fiore, Fiorella De, Marie Hoerova, and Harald Uhlig, “Money Markets, Collateral and Monetary Policy,” 2018. BFI Working Paper 2018-79.</x:v>
      </x:c>
    </x:row>
    <x:row r="1387" ht="48" customHeight="1">
      <x:c r="A1387" s="24" t="str">
        <x:v>W02-R035</x:v>
      </x:c>
      <x:c r="B1387" s="24" t="str">
        <x:v>W02</x:v>
      </x:c>
      <x:c r="C1387" s="26" t="n">
        <x:v>35</x:v>
      </x:c>
      <x:c r="D1387" s="26" t="n">
        <x:v>43</x:v>
      </x:c>
      <x:c r="E1387" s="26" t="n">
        <x:v>43</x:v>
      </x:c>
      <x:c r="F1387" s="26" t="str">
        <x:v>Gertler</x:v>
      </x:c>
      <x:c r="G1387" s="26" t="n">
        <x:v>2009</x:v>
      </x:c>
      <x:c r="H1387" s="25" t="str">
        <x:v>Unemployment Fluctuations with Staggered Nash Wage Bargaining</x:v>
      </x:c>
      <x:c r="I1387" s="25" t="str"/>
      <x:c r="J1387" s="25" t="str"/>
      <x:c r="K1387" s="25" t="str">
        <x:v>automatic_screen_pass</x:v>
      </x:c>
      <x:c r="L1387" s="25" t="str">
        <x:v>accepted</x:v>
      </x:c>
      <x:c r="M1387" s="25" t="str">
        <x:v>no</x:v>
      </x:c>
      <x:c r="N1387" s="25" t="str">
        <x:v>saki_research/working_papers/bigio_sannikov_model_credit_money_interest_prices.pdf</x:v>
      </x:c>
      <x:c r="O1387" s="25" t="str">
        <x:v>Gertler, Mark and Antonella Trigari, “Unemployment Fluctuations with Staggered Nash Wage Bargaining,” Journal of Political Economy, 2009, 117 (1), 38–86.</x:v>
      </x:c>
    </x:row>
    <x:row r="1388" ht="48" customHeight="1">
      <x:c r="A1388" s="24" t="str">
        <x:v>W02-R036</x:v>
      </x:c>
      <x:c r="B1388" s="24" t="str">
        <x:v>W02</x:v>
      </x:c>
      <x:c r="C1388" s="26" t="n">
        <x:v>36</x:v>
      </x:c>
      <x:c r="D1388" s="26" t="n">
        <x:v>43</x:v>
      </x:c>
      <x:c r="E1388" s="26" t="n">
        <x:v>43</x:v>
      </x:c>
      <x:c r="F1388" s="26" t="str">
        <x:v>Greenwald</x:v>
      </x:c>
      <x:c r="G1388" s="26" t="n">
        <x:v>2018</x:v>
      </x:c>
      <x:c r="H1388" s="25" t="str">
        <x:v>Themortgagecreditchannelofmacroeconomictransmission</x:v>
      </x:c>
      <x:c r="I1388" s="25" t="str"/>
      <x:c r="J1388" s="25" t="str"/>
      <x:c r="K1388" s="25" t="str">
        <x:v>automatic_screen_pass</x:v>
      </x:c>
      <x:c r="L1388" s="25" t="str">
        <x:v>accepted</x:v>
      </x:c>
      <x:c r="M1388" s="25" t="str">
        <x:v>no</x:v>
      </x:c>
      <x:c r="N1388" s="25" t="str">
        <x:v>saki_research/working_papers/bigio_sannikov_model_credit_money_interest_prices.pdf</x:v>
      </x:c>
      <x:c r="O1388" s="25" t="str">
        <x:v>Greenwald,Daniel,“Themortgagecreditchannelofmacroeconomictransmission,”2018.</x:v>
      </x:c>
    </x:row>
    <x:row r="1389" ht="48" customHeight="1">
      <x:c r="A1389" s="24" t="str">
        <x:v>W02-R037</x:v>
      </x:c>
      <x:c r="B1389" s="24" t="str">
        <x:v>W02</x:v>
      </x:c>
      <x:c r="C1389" s="26" t="n">
        <x:v>37</x:v>
      </x:c>
      <x:c r="D1389" s="26" t="n">
        <x:v>43</x:v>
      </x:c>
      <x:c r="E1389" s="26" t="n">
        <x:v>43</x:v>
      </x:c>
      <x:c r="F1389" s="26" t="str">
        <x:v>Gu</x:v>
      </x:c>
      <x:c r="G1389" s="26" t="n">
        <x:v>2013</x:v>
      </x:c>
      <x:c r="H1389" s="25" t="str">
        <x:v>Banking: A New Monetarist Approach</x:v>
      </x:c>
      <x:c r="I1389" s="25" t="str"/>
      <x:c r="J1389" s="25" t="str"/>
      <x:c r="K1389" s="25" t="str">
        <x:v>automatic_screen_pass</x:v>
      </x:c>
      <x:c r="L1389" s="25" t="str">
        <x:v>accepted</x:v>
      </x:c>
      <x:c r="M1389" s="25" t="str">
        <x:v>no</x:v>
      </x:c>
      <x:c r="N1389" s="25" t="str">
        <x:v>saki_research/working_papers/bigio_sannikov_model_credit_money_interest_prices.pdf</x:v>
      </x:c>
      <x:c r="O1389" s="25" t="str">
        <x:v>Gu, Chao, Fabrizio Mattesini, Cyril Monnet, and Randall Wright, “Banking: A New Monetarist Approach,” The Review of Economic Studies, 2013, 80 (2), 636–662.</x:v>
      </x:c>
    </x:row>
    <x:row r="1390" ht="48" customHeight="1">
      <x:c r="A1390" s="24" t="str">
        <x:v>W02-R038</x:v>
      </x:c>
      <x:c r="B1390" s="24" t="str">
        <x:v>W02</x:v>
      </x:c>
      <x:c r="C1390" s="26" t="n">
        <x:v>38</x:v>
      </x:c>
      <x:c r="D1390" s="26" t="n">
        <x:v>44</x:v>
      </x:c>
      <x:c r="E1390" s="26" t="n">
        <x:v>44</x:v>
      </x:c>
      <x:c r="F1390" s="26" t="str">
        <x:v>Guerrieri</x:v>
      </x:c>
      <x:c r="G1390" s="26" t="n">
        <x:v>2017</x:v>
      </x:c>
      <x:c r="H1390" s="25" t="str">
        <x:v>CreditCrises, PrecautionarySavings, and the Liquidity Trap*</x:v>
      </x:c>
      <x:c r="I1390" s="25" t="str"/>
      <x:c r="J1390" s="25" t="str"/>
      <x:c r="K1390" s="25" t="str">
        <x:v>automatic_screen_pass</x:v>
      </x:c>
      <x:c r="L1390" s="25" t="str">
        <x:v>accepted</x:v>
      </x:c>
      <x:c r="M1390" s="25" t="str">
        <x:v>no</x:v>
      </x:c>
      <x:c r="N1390" s="25" t="str">
        <x:v>saki_research/working_papers/bigio_sannikov_model_credit_money_interest_prices.pdf</x:v>
      </x:c>
      <x:c r="O1390" s="25" t="str">
        <x:v>Guerrieri, VeronicaandGuidoLorenzoni, “CreditCrises, PrecautionarySavings, and the Liquidity Trap*,” The Quarterly Journal of Economics, 03 2017, 132 (3), 1427–1467.</x:v>
      </x:c>
    </x:row>
    <x:row r="1391" ht="48" customHeight="1">
      <x:c r="A1391" s="24" t="str">
        <x:v>W02-R039</x:v>
      </x:c>
      <x:c r="B1391" s="24" t="str">
        <x:v>W02</x:v>
      </x:c>
      <x:c r="C1391" s="26" t="n">
        <x:v>39</x:v>
      </x:c>
      <x:c r="D1391" s="26" t="n">
        <x:v>44</x:v>
      </x:c>
      <x:c r="E1391" s="26" t="n">
        <x:v>44</x:v>
      </x:c>
      <x:c r="F1391" s="26" t="str">
        <x:v>Guerrieri</x:v>
      </x:c>
      <x:c r="G1391" s="26" t="n">
        <x:v>2022</x:v>
      </x:c>
      <x:c r="H1391" s="25" t="str">
        <x:v>MacroeconomicImplicationsofCOVID-19: Can Negative Supply Shocks Cause Demand Shortages?</x:v>
      </x:c>
      <x:c r="I1391" s="25" t="str"/>
      <x:c r="J1391" s="25" t="str"/>
      <x:c r="K1391" s="25" t="str">
        <x:v>prior_manual_sample</x:v>
      </x:c>
      <x:c r="L1391" s="25" t="str">
        <x:v>accepted</x:v>
      </x:c>
      <x:c r="M1391" s="25" t="str">
        <x:v>no</x:v>
      </x:c>
      <x:c r="N1391" s="25" t="str">
        <x:v>saki_research/working_papers/bigio_sannikov_model_credit_money_interest_prices.pdf</x:v>
      </x:c>
      <x:c r="O1391" s="25" t="str">
        <x:v>, ,LudwigStraub,andIv ́anWerning,“MacroeconomicImplicationsofCOVID-19: Can Negative Supply Shocks Cause Demand Shortages?,” American Economic Review, May 2022, 112 (5), 1437–74.</x:v>
      </x:c>
    </x:row>
    <x:row r="1392" ht="48" customHeight="1">
      <x:c r="A1392" s="24" t="str">
        <x:v>W02-R040</x:v>
      </x:c>
      <x:c r="B1392" s="24" t="str">
        <x:v>W02</x:v>
      </x:c>
      <x:c r="C1392" s="26" t="n">
        <x:v>40</x:v>
      </x:c>
      <x:c r="D1392" s="26" t="n">
        <x:v>44</x:v>
      </x:c>
      <x:c r="E1392" s="26" t="n">
        <x:v>44</x:v>
      </x:c>
      <x:c r="F1392" s="26" t="str">
        <x:v>Heider</x:v>
      </x:c>
      <x:c r="G1392" s="26" t="n">
        <x:v>2019</x:v>
      </x:c>
      <x:c r="H1392" s="25" t="str">
        <x:v>LifebelowZero: BankLending under Negative Policy Rates</x:v>
      </x:c>
      <x:c r="I1392" s="25" t="str"/>
      <x:c r="J1392" s="25" t="str"/>
      <x:c r="K1392" s="25" t="str">
        <x:v>automatic_screen_pass</x:v>
      </x:c>
      <x:c r="L1392" s="25" t="str">
        <x:v>accepted</x:v>
      </x:c>
      <x:c r="M1392" s="25" t="str">
        <x:v>no</x:v>
      </x:c>
      <x:c r="N1392" s="25" t="str">
        <x:v>saki_research/working_papers/bigio_sannikov_model_credit_money_interest_prices.pdf</x:v>
      </x:c>
      <x:c r="O1392" s="25" t="str">
        <x:v>Heider, Florian, FarzadSaidi, andGlennSchepens, “LifebelowZero: BankLending under Negative Policy Rates,” Review of Financial Studies, 2019, forthcoming (10).</x:v>
      </x:c>
    </x:row>
    <x:row r="1393" ht="48" customHeight="1">
      <x:c r="A1393" s="24" t="str">
        <x:v>W02-R041</x:v>
      </x:c>
      <x:c r="B1393" s="24" t="str">
        <x:v>W02</x:v>
      </x:c>
      <x:c r="C1393" s="26" t="n">
        <x:v>41</x:v>
      </x:c>
      <x:c r="D1393" s="26" t="n">
        <x:v>44</x:v>
      </x:c>
      <x:c r="E1393" s="26" t="n">
        <x:v>44</x:v>
      </x:c>
      <x:c r="F1393" s="26" t="str">
        <x:v>Hubmer</x:v>
      </x:c>
      <x:c r="G1393" s="26" t="n">
        <x:v>2020</x:v>
      </x:c>
      <x:c r="H1393" s="25" t="str">
        <x:v>SourcesofU.S.Wealth Inequality: Past, Present, and Future</x:v>
      </x:c>
      <x:c r="I1393" s="25" t="str"/>
      <x:c r="J1393" s="25" t="str"/>
      <x:c r="K1393" s="25" t="str">
        <x:v>prior_manual_sample</x:v>
      </x:c>
      <x:c r="L1393" s="25" t="str">
        <x:v>accepted</x:v>
      </x:c>
      <x:c r="M1393" s="25" t="str">
        <x:v>no</x:v>
      </x:c>
      <x:c r="N1393" s="25" t="str">
        <x:v>saki_research/working_papers/bigio_sannikov_model_credit_money_interest_prices.pdf</x:v>
      </x:c>
      <x:c r="O1393" s="25" t="str">
        <x:v>Hubmer,Joachim,PerKrusell,andAnthonyA.SmithJr.,“SourcesofU.S.Wealth Inequality: Past, Present, and Future,,” NBER Macroeconomics Annual, 2020, 35.</x:v>
      </x:c>
    </x:row>
    <x:row r="1394" ht="48" customHeight="1">
      <x:c r="A1394" s="24" t="str">
        <x:v>W02-R042</x:v>
      </x:c>
      <x:c r="B1394" s="24" t="str">
        <x:v>W02</x:v>
      </x:c>
      <x:c r="C1394" s="26" t="n">
        <x:v>42</x:v>
      </x:c>
      <x:c r="D1394" s="26" t="n">
        <x:v>44</x:v>
      </x:c>
      <x:c r="E1394" s="26" t="n">
        <x:v>44</x:v>
      </x:c>
      <x:c r="F1394" s="26" t="str">
        <x:v>Huggett</x:v>
      </x:c>
      <x:c r="G1394" s="26" t="n">
        <x:v>1993</x:v>
      </x:c>
      <x:c r="H1394" s="25" t="str">
        <x:v>The risk-free rate in heterogeneous-agent incomplete-insurance economies</x:v>
      </x:c>
      <x:c r="I1394" s="25" t="str"/>
      <x:c r="J1394" s="25" t="str"/>
      <x:c r="K1394" s="25" t="str">
        <x:v>automatic_screen_pass</x:v>
      </x:c>
      <x:c r="L1394" s="25" t="str">
        <x:v>accepted</x:v>
      </x:c>
      <x:c r="M1394" s="25" t="str">
        <x:v>no</x:v>
      </x:c>
      <x:c r="N1394" s="25" t="str">
        <x:v>saki_research/working_papers/bigio_sannikov_model_credit_money_interest_prices.pdf</x:v>
      </x:c>
      <x:c r="O1394" s="25" t="str">
        <x:v>Huggett, Mark, “The risk-free rate in heterogeneous-agent incomplete-insurance economies,” Journal of Economic Dynamics and Control, 1993, 17 (5), 953–969.</x:v>
      </x:c>
    </x:row>
    <x:row r="1395" ht="48" customHeight="1">
      <x:c r="A1395" s="24" t="str">
        <x:v>W02-R043</x:v>
      </x:c>
      <x:c r="B1395" s="24" t="str">
        <x:v>W02</x:v>
      </x:c>
      <x:c r="C1395" s="26" t="n">
        <x:v>43</x:v>
      </x:c>
      <x:c r="D1395" s="26" t="n">
        <x:v>44</x:v>
      </x:c>
      <x:c r="E1395" s="26" t="n">
        <x:v>44</x:v>
      </x:c>
      <x:c r="F1395" s="26" t="str">
        <x:v>Kaplan</x:v>
      </x:c>
      <x:c r="G1395" s="26" t="n">
        <x:v>2018</x:v>
      </x:c>
      <x:c r="H1395" s="25" t="str">
        <x:v>Monetary policy according to HANK</x:v>
      </x:c>
      <x:c r="I1395" s="25" t="str"/>
      <x:c r="J1395" s="25" t="str"/>
      <x:c r="K1395" s="25" t="str">
        <x:v>prior_manual_sample</x:v>
      </x:c>
      <x:c r="L1395" s="25" t="str">
        <x:v>accepted</x:v>
      </x:c>
      <x:c r="M1395" s="25" t="str">
        <x:v>no</x:v>
      </x:c>
      <x:c r="N1395" s="25" t="str">
        <x:v>saki_research/working_papers/bigio_sannikov_model_credit_money_interest_prices.pdf</x:v>
      </x:c>
      <x:c r="O1395" s="25" t="str">
        <x:v>Kaplan, Greg, Benjamin Moll, and Giovanni L Violante, “Monetary policy according to HANK,” American Economic Review, 2018, 108 (3), 697–743.</x:v>
      </x:c>
    </x:row>
    <x:row r="1396" ht="48" customHeight="1">
      <x:c r="A1396" s="24" t="str">
        <x:v>W02-R044</x:v>
      </x:c>
      <x:c r="B1396" s="24" t="str">
        <x:v>W02</x:v>
      </x:c>
      <x:c r="C1396" s="26" t="n">
        <x:v>44</x:v>
      </x:c>
      <x:c r="D1396" s="26" t="n">
        <x:v>44</x:v>
      </x:c>
      <x:c r="E1396" s="26" t="n">
        <x:v>44</x:v>
      </x:c>
      <x:c r="F1396" s="26" t="str">
        <x:v>Kashyap</x:v>
      </x:c>
      <x:c r="G1396" s="26" t="n">
        <x:v>2000</x:v>
      </x:c>
      <x:c r="H1396" s="25" t="str">
        <x:v>What Do a Million Observations on Banks Say about the Transmission of Monetary Policy?</x:v>
      </x:c>
      <x:c r="I1396" s="25" t="str"/>
      <x:c r="J1396" s="25" t="str"/>
      <x:c r="K1396" s="25" t="str">
        <x:v>prior_manual_sample</x:v>
      </x:c>
      <x:c r="L1396" s="25" t="str">
        <x:v>accepted</x:v>
      </x:c>
      <x:c r="M1396" s="25" t="str">
        <x:v>no</x:v>
      </x:c>
      <x:c r="N1396" s="25" t="str">
        <x:v>saki_research/working_papers/bigio_sannikov_model_credit_money_interest_prices.pdf</x:v>
      </x:c>
      <x:c r="O1396" s="25" t="str">
        <x:v>Kashyap, Anil K and Jeremy C. Stein, “What Do a Million Observations on Banks Say about the Transmission of Monetary Policy?,” American Economic Review, 2000, 90 (3), pp. 407–428.</x:v>
      </x:c>
    </x:row>
    <x:row r="1397" ht="48" customHeight="1">
      <x:c r="A1397" s="24" t="str">
        <x:v>W02-R045</x:v>
      </x:c>
      <x:c r="B1397" s="24" t="str">
        <x:v>W02</x:v>
      </x:c>
      <x:c r="C1397" s="26" t="n">
        <x:v>45</x:v>
      </x:c>
      <x:c r="D1397" s="26" t="n">
        <x:v>44</x:v>
      </x:c>
      <x:c r="E1397" s="26" t="n">
        <x:v>44</x:v>
      </x:c>
      <x:c r="F1397" s="26" t="str">
        <x:v>Koby</x:v>
      </x:c>
      <x:c r="G1397" s="26" t="n">
        <x:v>2022</x:v>
      </x:c>
      <x:c r="H1397" s="25" t="str">
        <x:v>The Reversal Interest Rate</x:v>
      </x:c>
      <x:c r="I1397" s="25" t="str"/>
      <x:c r="J1397" s="25" t="str"/>
      <x:c r="K1397" s="25" t="str">
        <x:v>automatic_screen_pass</x:v>
      </x:c>
      <x:c r="L1397" s="25" t="str">
        <x:v>accepted</x:v>
      </x:c>
      <x:c r="M1397" s="25" t="str">
        <x:v>no</x:v>
      </x:c>
      <x:c r="N1397" s="25" t="str">
        <x:v>saki_research/working_papers/bigio_sannikov_model_credit_money_interest_prices.pdf</x:v>
      </x:c>
      <x:c r="O1397" s="25" t="str">
        <x:v>Koby, Yann and Markus Brunnermeier, “The Reversal Interest Rate,” 2022.</x:v>
      </x:c>
    </x:row>
    <x:row r="1398" ht="48" customHeight="1">
      <x:c r="A1398" s="24" t="str">
        <x:v>W02-R046</x:v>
      </x:c>
      <x:c r="B1398" s="24" t="str">
        <x:v>W02</x:v>
      </x:c>
      <x:c r="C1398" s="26" t="n">
        <x:v>46</x:v>
      </x:c>
      <x:c r="D1398" s="26" t="n">
        <x:v>44</x:v>
      </x:c>
      <x:c r="E1398" s="26" t="n">
        <x:v>44</x:v>
      </x:c>
      <x:c r="F1398" s="26" t="str">
        <x:v>Korinek</x:v>
      </x:c>
      <x:c r="G1398" s="26" t="n">
        <x:v>2016</x:v>
      </x:c>
      <x:c r="H1398" s="25" t="str">
        <x:v>Liquidity Trap and Excessive Leverage</x:v>
      </x:c>
      <x:c r="I1398" s="25" t="str"/>
      <x:c r="J1398" s="25" t="str"/>
      <x:c r="K1398" s="25" t="str">
        <x:v>automatic_screen_pass</x:v>
      </x:c>
      <x:c r="L1398" s="25" t="str">
        <x:v>accepted</x:v>
      </x:c>
      <x:c r="M1398" s="25" t="str">
        <x:v>no</x:v>
      </x:c>
      <x:c r="N1398" s="25" t="str">
        <x:v>saki_research/working_papers/bigio_sannikov_model_credit_money_interest_prices.pdf</x:v>
      </x:c>
      <x:c r="O1398" s="25" t="str">
        <x:v>Korinek, Anton and Alp Simsek, “Liquidity Trap and Excessive Leverage,” American Economic Review, March 2016, 106 (3), 699–738.</x:v>
      </x:c>
    </x:row>
    <x:row r="1399" ht="48" customHeight="1">
      <x:c r="A1399" s="24" t="str">
        <x:v>W02-R047</x:v>
      </x:c>
      <x:c r="B1399" s="24" t="str">
        <x:v>W02</x:v>
      </x:c>
      <x:c r="C1399" s="26" t="n">
        <x:v>47</x:v>
      </x:c>
      <x:c r="D1399" s="26" t="n">
        <x:v>44</x:v>
      </x:c>
      <x:c r="E1399" s="26" t="n">
        <x:v>44</x:v>
      </x:c>
      <x:c r="F1399" s="26" t="str">
        <x:v>Lagos</x:v>
      </x:c>
      <x:c r="G1399" s="26" t="n">
        <x:v>2005</x:v>
      </x:c>
      <x:c r="H1399" s="25" t="str">
        <x:v>Unified Framework for Monetary Theory and Policy Analysis</x:v>
      </x:c>
      <x:c r="I1399" s="25" t="str"/>
      <x:c r="J1399" s="25" t="str"/>
      <x:c r="K1399" s="25" t="str">
        <x:v>automatic_screen_pass</x:v>
      </x:c>
      <x:c r="L1399" s="25" t="str">
        <x:v>accepted</x:v>
      </x:c>
      <x:c r="M1399" s="25" t="str">
        <x:v>no</x:v>
      </x:c>
      <x:c r="N1399" s="25" t="str">
        <x:v>saki_research/working_papers/bigio_sannikov_model_credit_money_interest_prices.pdf</x:v>
      </x:c>
      <x:c r="O1399" s="25" t="str">
        <x:v>Lagos, Ricardo and Randall Wright, “Unified Framework for Monetary Theory and Policy Analysis,” Journal of Political Economy, 2005, 113 (3), 463–484.</x:v>
      </x:c>
    </x:row>
    <x:row r="1400" ht="48" customHeight="1">
      <x:c r="A1400" s="24" t="str">
        <x:v>W02-R048</x:v>
      </x:c>
      <x:c r="B1400" s="24" t="str">
        <x:v>W02</x:v>
      </x:c>
      <x:c r="C1400" s="26" t="n">
        <x:v>48</x:v>
      </x:c>
      <x:c r="D1400" s="26" t="n">
        <x:v>44</x:v>
      </x:c>
      <x:c r="E1400" s="26" t="n">
        <x:v>44</x:v>
      </x:c>
      <x:c r="F1400" s="26" t="str">
        <x:v>Lee</x:v>
      </x:c>
      <x:c r="G1400" s="26" t="n">
        <x:v>2020</x:v>
      </x:c>
      <x:c r="H1400" s="25" t="str">
        <x:v>Financial Frictions: Macro vs Micro Volatility</x:v>
      </x:c>
      <x:c r="I1400" s="25" t="str"/>
      <x:c r="J1400" s="25" t="str"/>
      <x:c r="K1400" s="25" t="str">
        <x:v>automatic_screen_pass</x:v>
      </x:c>
      <x:c r="L1400" s="25" t="str">
        <x:v>accepted</x:v>
      </x:c>
      <x:c r="M1400" s="25" t="str">
        <x:v>no</x:v>
      </x:c>
      <x:c r="N1400" s="25" t="str">
        <x:v>saki_research/working_papers/bigio_sannikov_model_credit_money_interest_prices.pdf</x:v>
      </x:c>
      <x:c r="O1400" s="25" t="str">
        <x:v>Lee, Seungcheol, Ralph Luetticke, and Morten Ravn, “Financial Frictions: Macro vs Micro Volatility,” CEPR Discussion Papers 15133 2020.</x:v>
      </x:c>
    </x:row>
    <x:row r="1401" ht="48" customHeight="1">
      <x:c r="A1401" s="24" t="str">
        <x:v>W02-R049</x:v>
      </x:c>
      <x:c r="B1401" s="24" t="str">
        <x:v>W02</x:v>
      </x:c>
      <x:c r="C1401" s="26" t="n">
        <x:v>49</x:v>
      </x:c>
      <x:c r="D1401" s="26" t="n">
        <x:v>44</x:v>
      </x:c>
      <x:c r="E1401" s="26" t="n">
        <x:v>44</x:v>
      </x:c>
      <x:c r="F1401" s="26" t="str">
        <x:v>Lippi</x:v>
      </x:c>
      <x:c r="G1401" s="26" t="n">
        <x:v>2015</x:v>
      </x:c>
      <x:c r="H1401" s="25" t="str">
        <x:v>Optimalmonetarypolicy with heterogeneous money holdings</x:v>
      </x:c>
      <x:c r="I1401" s="25" t="str"/>
      <x:c r="J1401" s="25" t="str"/>
      <x:c r="K1401" s="25" t="str">
        <x:v>automatic_screen_pass</x:v>
      </x:c>
      <x:c r="L1401" s="25" t="str">
        <x:v>accepted</x:v>
      </x:c>
      <x:c r="M1401" s="25" t="str">
        <x:v>no</x:v>
      </x:c>
      <x:c r="N1401" s="25" t="str">
        <x:v>saki_research/working_papers/bigio_sannikov_model_credit_money_interest_prices.pdf</x:v>
      </x:c>
      <x:c r="O1401" s="25" t="str">
        <x:v>Lippi, Francesco, StefaniaRagni, andNicholasTrachter, “Optimalmonetarypolicy with heterogeneous money holdings,” Journal of Economic Theory, 2015, 159, 339 – 368.</x:v>
      </x:c>
    </x:row>
    <x:row r="1402" ht="48" customHeight="1">
      <x:c r="A1402" s="24" t="str">
        <x:v>W02-R050</x:v>
      </x:c>
      <x:c r="B1402" s="24" t="str">
        <x:v>W02</x:v>
      </x:c>
      <x:c r="C1402" s="26" t="n">
        <x:v>50</x:v>
      </x:c>
      <x:c r="D1402" s="26" t="n">
        <x:v>44</x:v>
      </x:c>
      <x:c r="E1402" s="26" t="n">
        <x:v>44</x:v>
      </x:c>
      <x:c r="F1402" s="26" t="str">
        <x:v>Lucas</x:v>
      </x:c>
      <x:c r="G1402" s="26" t="n">
        <x:v>1980</x:v>
      </x:c>
      <x:c r="H1402" s="25" t="str">
        <x:v>Equilibrium in a Pure Currency Economy</x:v>
      </x:c>
      <x:c r="I1402" s="25" t="str"/>
      <x:c r="J1402" s="25" t="str"/>
      <x:c r="K1402" s="25" t="str">
        <x:v>automatic_screen_pass</x:v>
      </x:c>
      <x:c r="L1402" s="25" t="str">
        <x:v>accepted</x:v>
      </x:c>
      <x:c r="M1402" s="25" t="str">
        <x:v>no</x:v>
      </x:c>
      <x:c r="N1402" s="25" t="str">
        <x:v>saki_research/working_papers/bigio_sannikov_model_credit_money_interest_prices.pdf</x:v>
      </x:c>
      <x:c r="O1402" s="25" t="str">
        <x:v>Lucas, Robert E., “Equilibrium in a Pure Currency Economy,” Economic Inquiry, 1980, 18 (2), 203–220.</x:v>
      </x:c>
    </x:row>
    <x:row r="1403" ht="48" customHeight="1">
      <x:c r="A1403" s="24" t="str">
        <x:v>W02-R051</x:v>
      </x:c>
      <x:c r="B1403" s="24" t="str">
        <x:v>W02</x:v>
      </x:c>
      <x:c r="C1403" s="26" t="n">
        <x:v>51</x:v>
      </x:c>
      <x:c r="D1403" s="26" t="n">
        <x:v>44</x:v>
      </x:c>
      <x:c r="E1403" s="26" t="n">
        <x:v>44</x:v>
      </x:c>
      <x:c r="F1403" s="26" t="str">
        <x:v>Michaillat</x:v>
      </x:c>
      <x:c r="G1403" s="26" t="n">
        <x:v>2015</x:v>
      </x:c>
      <x:c r="H1403" s="25" t="str">
        <x:v>Aggregate Demand, Idle Time, and Unemployment</x:v>
      </x:c>
      <x:c r="I1403" s="25" t="str"/>
      <x:c r="J1403" s="25" t="str"/>
      <x:c r="K1403" s="25" t="str">
        <x:v>automatic_screen_pass</x:v>
      </x:c>
      <x:c r="L1403" s="25" t="str">
        <x:v>accepted</x:v>
      </x:c>
      <x:c r="M1403" s="25" t="str">
        <x:v>no</x:v>
      </x:c>
      <x:c r="N1403" s="25" t="str">
        <x:v>saki_research/working_papers/bigio_sannikov_model_credit_money_interest_prices.pdf</x:v>
      </x:c>
      <x:c r="O1403" s="25" t="str">
        <x:v>Michaillat, Pascal and Emmanuel Saez, “Aggregate Demand, Idle Time, and Unemployment,” The Quarterly Journal of Economics, 2015, 130 (2), 507–569.</x:v>
      </x:c>
    </x:row>
    <x:row r="1404" ht="48" customHeight="1">
      <x:c r="A1404" s="24" t="str">
        <x:v>W02-R052</x:v>
      </x:c>
      <x:c r="B1404" s="24" t="str">
        <x:v>W02</x:v>
      </x:c>
      <x:c r="C1404" s="26" t="n">
        <x:v>52</x:v>
      </x:c>
      <x:c r="D1404" s="26" t="n">
        <x:v>45</x:v>
      </x:c>
      <x:c r="E1404" s="26" t="n">
        <x:v>45</x:v>
      </x:c>
      <x:c r="F1404" s="26" t="str">
        <x:v>Niepelt</x:v>
      </x:c>
      <x:c r="G1404" s="26" t="n">
        <x:v>2022</x:v>
      </x:c>
      <x:c r="H1404" s="25" t="str">
        <x:v>Monetary Policy with Reserves and CBDC</x:v>
      </x:c>
      <x:c r="I1404" s="25" t="str"/>
      <x:c r="J1404" s="25" t="str"/>
      <x:c r="K1404" s="25" t="str">
        <x:v>automatic_screen_pass</x:v>
      </x:c>
      <x:c r="L1404" s="25" t="str">
        <x:v>accepted</x:v>
      </x:c>
      <x:c r="M1404" s="25" t="str">
        <x:v>no</x:v>
      </x:c>
      <x:c r="N1404" s="25" t="str">
        <x:v>saki_research/working_papers/bigio_sannikov_model_credit_money_interest_prices.pdf</x:v>
      </x:c>
      <x:c r="O1404" s="25" t="str">
        <x:v>Niepelt, Dirk, “Monetary Policy with Reserves and CBDC,” 2022. Unpublished Manuscript.</x:v>
      </x:c>
    </x:row>
    <x:row r="1405" ht="48" customHeight="1">
      <x:c r="A1405" s="24" t="str">
        <x:v>W02-R053</x:v>
      </x:c>
      <x:c r="B1405" s="24" t="str">
        <x:v>W02</x:v>
      </x:c>
      <x:c r="C1405" s="26" t="n">
        <x:v>53</x:v>
      </x:c>
      <x:c r="D1405" s="26" t="n">
        <x:v>45</x:v>
      </x:c>
      <x:c r="E1405" s="26" t="n">
        <x:v>45</x:v>
      </x:c>
      <x:c r="F1405" s="26" t="str">
        <x:v>Piazzesi</x:v>
      </x:c>
      <x:c r="G1405" s="26" t="n">
        <x:v>2019</x:v>
      </x:c>
      <x:c r="H1405" s="25" t="str">
        <x:v>Money and banking in a New Keynesian model</x:v>
      </x:c>
      <x:c r="I1405" s="25" t="str"/>
      <x:c r="J1405" s="25" t="str"/>
      <x:c r="K1405" s="25" t="str">
        <x:v>prior_manual_sample</x:v>
      </x:c>
      <x:c r="L1405" s="25" t="str">
        <x:v>accepted</x:v>
      </x:c>
      <x:c r="M1405" s="25" t="str">
        <x:v>no</x:v>
      </x:c>
      <x:c r="N1405" s="25" t="str">
        <x:v>saki_research/working_papers/bigio_sannikov_model_credit_money_interest_prices.pdf</x:v>
      </x:c>
      <x:c r="O1405" s="25" t="str">
        <x:v>Piazzesi, Monika, Ciaran Rogers, and Martin Schneider, “Money and banking in a New Keynesian model,” 2019.</x:v>
      </x:c>
    </x:row>
    <x:row r="1406" ht="48" customHeight="1">
      <x:c r="A1406" s="24" t="str">
        <x:v>W02-R054</x:v>
      </x:c>
      <x:c r="B1406" s="24" t="str">
        <x:v>W02</x:v>
      </x:c>
      <x:c r="C1406" s="26" t="n">
        <x:v>54</x:v>
      </x:c>
      <x:c r="D1406" s="26" t="n">
        <x:v>45</x:v>
      </x:c>
      <x:c r="E1406" s="26" t="n">
        <x:v>45</x:v>
      </x:c>
      <x:c r="F1406" s="26" t="str">
        <x:v>Ravn</x:v>
      </x:c>
      <x:c r="G1406" s="26" t="n">
        <x:v>2020</x:v>
      </x:c>
      <x:c r="H1406" s="25" t="str">
        <x:v>Macroeconomic Fluctuations with HANK &amp; SAM: an Analytical Approach</x:v>
      </x:c>
      <x:c r="I1406" s="25" t="str"/>
      <x:c r="J1406" s="25" t="str"/>
      <x:c r="K1406" s="25" t="str">
        <x:v>automatic_screen_pass</x:v>
      </x:c>
      <x:c r="L1406" s="25" t="str">
        <x:v>accepted</x:v>
      </x:c>
      <x:c r="M1406" s="25" t="str">
        <x:v>no</x:v>
      </x:c>
      <x:c r="N1406" s="25" t="str">
        <x:v>saki_research/working_papers/bigio_sannikov_model_credit_money_interest_prices.pdf</x:v>
      </x:c>
      <x:c r="O1406" s="25" t="str">
        <x:v>Ravn, Morten O and Vincent Sterk, “Macroeconomic Fluctuations with HANK &amp; SAM: an Analytical Approach,” Journal of the European Economic Association, 06 2020, 19 (2), 1162–1202. jvaa028.</x:v>
      </x:c>
    </x:row>
    <x:row r="1407" ht="48" customHeight="1">
      <x:c r="A1407" s="24" t="str">
        <x:v>W02-R055</x:v>
      </x:c>
      <x:c r="B1407" s="24" t="str">
        <x:v>W02</x:v>
      </x:c>
      <x:c r="C1407" s="26" t="n">
        <x:v>55</x:v>
      </x:c>
      <x:c r="D1407" s="26" t="n">
        <x:v>45</x:v>
      </x:c>
      <x:c r="E1407" s="26" t="n">
        <x:v>45</x:v>
      </x:c>
      <x:c r="F1407" s="26" t="str">
        <x:v>Rocheteau</x:v>
      </x:c>
      <x:c r="G1407" s="26" t="n">
        <x:v>2021</x:v>
      </x:c>
      <x:c r="H1407" s="25" t="str">
        <x:v>An heterogeneous-agentNew-Monetaristmodelwithanapplicationtounemployment</x:v>
      </x:c>
      <x:c r="I1407" s="25" t="str"/>
      <x:c r="J1407" s="25" t="str"/>
      <x:c r="K1407" s="25" t="str">
        <x:v>prior_manual_sample</x:v>
      </x:c>
      <x:c r="L1407" s="25" t="str">
        <x:v>accepted</x:v>
      </x:c>
      <x:c r="M1407" s="25" t="str">
        <x:v>no</x:v>
      </x:c>
      <x:c r="N1407" s="25" t="str">
        <x:v>saki_research/working_papers/bigio_sannikov_model_credit_money_interest_prices.pdf</x:v>
      </x:c>
      <x:c r="O1407" s="25" t="str">
        <x:v>Rocheteau, Guillaume, Pierre Olivier Weill, and Tsz Nga Wong, “An heterogeneous-agentNew-Monetaristmodelwithanapplicationtounemployment,” Journal of Monetary Economics, 1 2021, 117, 64–90.</x:v>
      </x:c>
    </x:row>
    <x:row r="1408" ht="48" customHeight="1">
      <x:c r="A1408" s="24" t="str">
        <x:v>W02-R056</x:v>
      </x:c>
      <x:c r="B1408" s="24" t="str">
        <x:v>W02</x:v>
      </x:c>
      <x:c r="C1408" s="26" t="n">
        <x:v>56</x:v>
      </x:c>
      <x:c r="D1408" s="26" t="n">
        <x:v>45</x:v>
      </x:c>
      <x:c r="E1408" s="26" t="n">
        <x:v>45</x:v>
      </x:c>
      <x:c r="F1408" s="26" t="str">
        <x:v>Schaab</x:v>
      </x:c>
      <x:c r="G1408" s="26" t="n">
        <x:v>2020</x:v>
      </x:c>
      <x:c r="H1408" s="25" t="str">
        <x:v>Micro and Macro Uncertainty</x:v>
      </x:c>
      <x:c r="I1408" s="25" t="str"/>
      <x:c r="J1408" s="25" t="str"/>
      <x:c r="K1408" s="25" t="str">
        <x:v>automatic_screen_pass</x:v>
      </x:c>
      <x:c r="L1408" s="25" t="str">
        <x:v>accepted</x:v>
      </x:c>
      <x:c r="M1408" s="25" t="str">
        <x:v>no</x:v>
      </x:c>
      <x:c r="N1408" s="25" t="str">
        <x:v>saki_research/working_papers/bigio_sannikov_model_credit_money_interest_prices.pdf</x:v>
      </x:c>
      <x:c r="O1408" s="25" t="str">
        <x:v>Schaab, Andreas, “Micro and Macro Uncertainty,” November 2020. Unpublished Manuscript.</x:v>
      </x:c>
    </x:row>
    <x:row r="1409" ht="48" customHeight="1">
      <x:c r="A1409" s="24" t="str">
        <x:v>W02-R057</x:v>
      </x:c>
      <x:c r="B1409" s="24" t="str">
        <x:v>W02</x:v>
      </x:c>
      <x:c r="C1409" s="26" t="n">
        <x:v>57</x:v>
      </x:c>
      <x:c r="D1409" s="26" t="n">
        <x:v>45</x:v>
      </x:c>
      <x:c r="E1409" s="26" t="n">
        <x:v>45</x:v>
      </x:c>
      <x:c r="F1409" s="26" t="str">
        <x:v>Schnabel</x:v>
      </x:c>
      <x:c r="G1409" s="26" t="n">
        <x:v>2023</x:v>
      </x:c>
      <x:c r="H1409" s="25" t="str">
        <x:v>Back to normal? Balance sheet size and interest rate control</x:v>
      </x:c>
      <x:c r="I1409" s="25" t="str"/>
      <x:c r="J1409" s="25" t="str"/>
      <x:c r="K1409" s="25" t="str">
        <x:v>automatic_screen_pass</x:v>
      </x:c>
      <x:c r="L1409" s="25" t="str">
        <x:v>accepted</x:v>
      </x:c>
      <x:c r="M1409" s="25" t="str">
        <x:v>no</x:v>
      </x:c>
      <x:c r="N1409" s="25" t="str">
        <x:v>saki_research/working_papers/bigio_sannikov_model_credit_money_interest_prices.pdf</x:v>
      </x:c>
      <x:c r="O1409" s="25" t="str">
        <x:v>Schnabel, Isabel, “Back to normal? Balance sheet size and interest rate control,” March 2023. Speech at an event organised by Columbia University and SGH Macro Advisors.</x:v>
      </x:c>
    </x:row>
    <x:row r="1410" ht="48" customHeight="1">
      <x:c r="A1410" s="24" t="str">
        <x:v>W02-R058</x:v>
      </x:c>
      <x:c r="B1410" s="24" t="str">
        <x:v>W02</x:v>
      </x:c>
      <x:c r="C1410" s="26" t="n">
        <x:v>58</x:v>
      </x:c>
      <x:c r="D1410" s="26" t="n">
        <x:v>45</x:v>
      </x:c>
      <x:c r="E1410" s="26" t="n">
        <x:v>45</x:v>
      </x:c>
      <x:c r="F1410" s="26" t="str">
        <x:v>Silva</x:v>
      </x:c>
      <x:c r="G1410" s="26" t="n">
        <x:v>2020</x:v>
      </x:c>
      <x:c r="H1410" s="25" t="str">
        <x:v>The Risk Channel of Unconventional Monetary Policy</x:v>
      </x:c>
      <x:c r="I1410" s="25" t="str"/>
      <x:c r="J1410" s="25" t="str"/>
      <x:c r="K1410" s="25" t="str">
        <x:v>automatic_screen_pass</x:v>
      </x:c>
      <x:c r="L1410" s="25" t="str">
        <x:v>accepted</x:v>
      </x:c>
      <x:c r="M1410" s="25" t="str">
        <x:v>no</x:v>
      </x:c>
      <x:c r="N1410" s="25" t="str">
        <x:v>saki_research/working_papers/bigio_sannikov_model_credit_money_interest_prices.pdf</x:v>
      </x:c>
      <x:c r="O1410" s="25" t="str">
        <x:v>Silva, Dejanir, “The Risk Channel of Unconventional Monetary Policy,” 2020. University of Illinois, Urbana-Champaign working paper.</x:v>
      </x:c>
    </x:row>
    <x:row r="1411" ht="48" customHeight="1">
      <x:c r="A1411" s="24" t="str">
        <x:v>W02-R059</x:v>
      </x:c>
      <x:c r="B1411" s="24" t="str">
        <x:v>W02</x:v>
      </x:c>
      <x:c r="C1411" s="26" t="n">
        <x:v>59</x:v>
      </x:c>
      <x:c r="D1411" s="26" t="n">
        <x:v>45</x:v>
      </x:c>
      <x:c r="E1411" s="26" t="n">
        <x:v>45</x:v>
      </x:c>
      <x:c r="F1411" s="26" t="str">
        <x:v>Stein</x:v>
      </x:c>
      <x:c r="G1411" s="26" t="n">
        <x:v>2012</x:v>
      </x:c>
      <x:c r="H1411" s="25" t="str">
        <x:v>Monetary Policy as Financial Stability Regulation</x:v>
      </x:c>
      <x:c r="I1411" s="25" t="str"/>
      <x:c r="J1411" s="25" t="str"/>
      <x:c r="K1411" s="25" t="str">
        <x:v>prior_manual_sample</x:v>
      </x:c>
      <x:c r="L1411" s="25" t="str">
        <x:v>accepted</x:v>
      </x:c>
      <x:c r="M1411" s="25" t="str">
        <x:v>no</x:v>
      </x:c>
      <x:c r="N1411" s="25" t="str">
        <x:v>saki_research/working_papers/bigio_sannikov_model_credit_money_interest_prices.pdf</x:v>
      </x:c>
      <x:c r="O1411" s="25" t="str">
        <x:v>Stein, Jeremy C., “Monetary Policy as Financial Stability Regulation,” The Quarterly Journal of Economics, 2012, 127 (1), pp. 57–95.</x:v>
      </x:c>
    </x:row>
    <x:row r="1412" ht="48" customHeight="1">
      <x:c r="A1412" s="24" t="str">
        <x:v>W02-R060</x:v>
      </x:c>
      <x:c r="B1412" s="24" t="str">
        <x:v>W02</x:v>
      </x:c>
      <x:c r="C1412" s="26" t="n">
        <x:v>60</x:v>
      </x:c>
      <x:c r="D1412" s="26" t="n">
        <x:v>45</x:v>
      </x:c>
      <x:c r="E1412" s="26" t="n">
        <x:v>45</x:v>
      </x:c>
      <x:c r="F1412" s="26" t="str">
        <x:v>Ulate</x:v>
      </x:c>
      <x:c r="G1412" s="26" t="n">
        <x:v>2020</x:v>
      </x:c>
      <x:c r="H1412" s="25" t="str">
        <x:v>Going Negative at the Zero Lower Bound: The Effects of Negative Nominal Interest Rates</x:v>
      </x:c>
      <x:c r="I1412" s="25" t="str"/>
      <x:c r="J1412" s="25" t="str"/>
      <x:c r="K1412" s="25" t="str">
        <x:v>prior_manual_sample</x:v>
      </x:c>
      <x:c r="L1412" s="25" t="str">
        <x:v>accepted</x:v>
      </x:c>
      <x:c r="M1412" s="25" t="str">
        <x:v>no</x:v>
      </x:c>
      <x:c r="N1412" s="25" t="str">
        <x:v>saki_research/working_papers/bigio_sannikov_model_credit_money_interest_prices.pdf</x:v>
      </x:c>
      <x:c r="O1412" s="25" t="str">
        <x:v>Ulate, Mauricio, “Going Negative at the Zero Lower Bound: The Effects of Negative Nominal Interest Rates,” American Economic Review, 2020, Forthcoming.</x:v>
      </x:c>
    </x:row>
    <x:row r="1413" ht="48" customHeight="1">
      <x:c r="A1413" s="24" t="str">
        <x:v>W02-R061</x:v>
      </x:c>
      <x:c r="B1413" s="24" t="str">
        <x:v>W02</x:v>
      </x:c>
      <x:c r="C1413" s="26" t="n">
        <x:v>61</x:v>
      </x:c>
      <x:c r="D1413" s="26" t="n">
        <x:v>45</x:v>
      </x:c>
      <x:c r="E1413" s="26" t="n">
        <x:v>45</x:v>
      </x:c>
      <x:c r="F1413" s="26" t="str">
        <x:v>Wallace</x:v>
      </x:c>
      <x:c r="G1413" s="26" t="n">
        <x:v>1981</x:v>
      </x:c>
      <x:c r="H1413" s="25" t="str">
        <x:v>A Modigliani-Miller Theorem for Open-Market Operations</x:v>
      </x:c>
      <x:c r="I1413" s="25" t="str"/>
      <x:c r="J1413" s="25" t="str"/>
      <x:c r="K1413" s="25" t="str">
        <x:v>automatic_screen_pass</x:v>
      </x:c>
      <x:c r="L1413" s="25" t="str">
        <x:v>accepted</x:v>
      </x:c>
      <x:c r="M1413" s="25" t="str">
        <x:v>no</x:v>
      </x:c>
      <x:c r="N1413" s="25" t="str">
        <x:v>saki_research/working_papers/bigio_sannikov_model_credit_money_interest_prices.pdf</x:v>
      </x:c>
      <x:c r="O1413" s="25" t="str">
        <x:v>Wallace, Neil, “A Modigliani-Miller Theorem for Open-Market Operations,” The American Economic Review, 1981, 71 (3), pp. 267–274.</x:v>
      </x:c>
    </x:row>
    <x:row r="1414" ht="48" customHeight="1">
      <x:c r="A1414" s="24" t="str">
        <x:v>W02-R062</x:v>
      </x:c>
      <x:c r="B1414" s="24" t="str">
        <x:v>W02</x:v>
      </x:c>
      <x:c r="C1414" s="26" t="n">
        <x:v>62</x:v>
      </x:c>
      <x:c r="D1414" s="26" t="n">
        <x:v>45</x:v>
      </x:c>
      <x:c r="E1414" s="26" t="n">
        <x:v>45</x:v>
      </x:c>
      <x:c r="F1414" s="26" t="str">
        <x:v>Wang</x:v>
      </x:c>
      <x:c r="G1414" s="26" t="n">
        <x:v>2019</x:v>
      </x:c>
      <x:c r="H1414" s="25" t="str">
        <x:v>Banks, Low Interest Rates, and Monetary Policy Transmission</x:v>
      </x:c>
      <x:c r="I1414" s="25" t="str"/>
      <x:c r="J1414" s="25" t="str"/>
      <x:c r="K1414" s="25" t="str">
        <x:v>automatic_screen_pass</x:v>
      </x:c>
      <x:c r="L1414" s="25" t="str">
        <x:v>accepted</x:v>
      </x:c>
      <x:c r="M1414" s="25" t="str">
        <x:v>no</x:v>
      </x:c>
      <x:c r="N1414" s="25" t="str">
        <x:v>saki_research/working_papers/bigio_sannikov_model_credit_money_interest_prices.pdf</x:v>
      </x:c>
      <x:c r="O1414" s="25" t="str">
        <x:v>Wang, Olivier, “Banks, Low Interest Rates, and Monetary Policy Transmission,” 2019. Unpublished manuscript.</x:v>
      </x:c>
    </x:row>
    <x:row r="1415" ht="48" customHeight="1">
      <x:c r="A1415" s="24" t="str">
        <x:v>W02-R063</x:v>
      </x:c>
      <x:c r="B1415" s="24" t="str">
        <x:v>W02</x:v>
      </x:c>
      <x:c r="C1415" s="26" t="n">
        <x:v>63</x:v>
      </x:c>
      <x:c r="D1415" s="26" t="n">
        <x:v>45</x:v>
      </x:c>
      <x:c r="E1415" s="26" t="n">
        <x:v>45</x:v>
      </x:c>
      <x:c r="F1415" s="26" t="str">
        <x:v>Weingarden</x:v>
      </x:c>
      <x:c r="G1415" s="26" t="n">
        <x:v>2020</x:v>
      </x:c>
      <x:c r="H1415" s="25" t="str">
        <x:v>Worker Churn at Establishments over the Business Cycle</x:v>
      </x:c>
      <x:c r="I1415" s="25" t="str"/>
      <x:c r="J1415" s="25" t="str"/>
      <x:c r="K1415" s="25" t="str">
        <x:v>prior_manual_sample</x:v>
      </x:c>
      <x:c r="L1415" s="25" t="str">
        <x:v>accepted</x:v>
      </x:c>
      <x:c r="M1415" s="25" t="str">
        <x:v>no</x:v>
      </x:c>
      <x:c r="N1415" s="25" t="str">
        <x:v>saki_research/working_papers/bigio_sannikov_model_credit_money_interest_prices.pdf</x:v>
      </x:c>
      <x:c r="O1415" s="25" t="str">
        <x:v>Weingarden, Alison, “Worker Churn at Establishments over the Business Cycle,” FEDS Notes Board of Governors of the Federal Reserve System, August 2020.</x:v>
      </x:c>
    </x:row>
    <x:row r="1416" ht="48" customHeight="1">
      <x:c r="A1416" s="24" t="str">
        <x:v>W02-R064</x:v>
      </x:c>
      <x:c r="B1416" s="24" t="str">
        <x:v>W02</x:v>
      </x:c>
      <x:c r="C1416" s="26" t="n">
        <x:v>64</x:v>
      </x:c>
      <x:c r="D1416" s="26" t="n">
        <x:v>45</x:v>
      </x:c>
      <x:c r="E1416" s="26" t="n">
        <x:v>45</x:v>
      </x:c>
      <x:c r="F1416" s="26" t="str">
        <x:v>Werning</x:v>
      </x:c>
      <x:c r="G1416" s="26" t="n">
        <x:v>2015</x:v>
      </x:c>
      <x:c r="H1416" s="25" t="str">
        <x:v>Incompletemarketsandaggregatedemand</x:v>
      </x:c>
      <x:c r="I1416" s="25" t="str"/>
      <x:c r="J1416" s="25" t="str"/>
      <x:c r="K1416" s="25" t="str">
        <x:v>automatic_screen_pass</x:v>
      </x:c>
      <x:c r="L1416" s="25" t="str">
        <x:v>accepted</x:v>
      </x:c>
      <x:c r="M1416" s="25" t="str">
        <x:v>no</x:v>
      </x:c>
      <x:c r="N1416" s="25" t="str">
        <x:v>saki_research/working_papers/bigio_sannikov_model_credit_money_interest_prices.pdf</x:v>
      </x:c>
      <x:c r="O1416" s="25" t="str">
        <x:v>Werning, Iv ́an, “Incompletemarketsandaggregatedemand,” TechnicalReport, National Bureau of Economic Research 2015.</x:v>
      </x:c>
    </x:row>
    <x:row r="1417" ht="48" customHeight="1">
      <x:c r="A1417" s="24" t="str">
        <x:v>W02-R065</x:v>
      </x:c>
      <x:c r="B1417" s="24" t="str">
        <x:v>W02</x:v>
      </x:c>
      <x:c r="C1417" s="26" t="n">
        <x:v>65</x:v>
      </x:c>
      <x:c r="D1417" s="26" t="n">
        <x:v>46</x:v>
      </x:c>
      <x:c r="E1417" s="26" t="n">
        <x:v>46</x:v>
      </x:c>
      <x:c r="F1417" s="26" t="str">
        <x:v>Williamson</x:v>
      </x:c>
      <x:c r="G1417" s="26" t="n">
        <x:v>2012</x:v>
      </x:c>
      <x:c r="H1417" s="25" t="str">
        <x:v>Liquidity, Monetary Policy, and the Financial Crisis: A New Monetarist Approach</x:v>
      </x:c>
      <x:c r="I1417" s="25" t="str"/>
      <x:c r="J1417" s="25" t="str"/>
      <x:c r="K1417" s="25" t="str">
        <x:v>prior_manual_sample</x:v>
      </x:c>
      <x:c r="L1417" s="25" t="str">
        <x:v>accepted</x:v>
      </x:c>
      <x:c r="M1417" s="25" t="str">
        <x:v>no</x:v>
      </x:c>
      <x:c r="N1417" s="25" t="str">
        <x:v>saki_research/working_papers/bigio_sannikov_model_credit_money_interest_prices.pdf</x:v>
      </x:c>
      <x:c r="O1417" s="25" t="str">
        <x:v>Williamson, Stephen, “Liquidity, Monetary Policy, and the Financial Crisis: A New Monetarist Approach,” American Economic Review, 2012, 102 (6), 2570–2605.</x:v>
      </x:c>
    </x:row>
    <x:row r="1418" ht="48" customHeight="1">
      <x:c r="A1418" s="24" t="str">
        <x:v>W02-R066</x:v>
      </x:c>
      <x:c r="B1418" s="24" t="str">
        <x:v>W02</x:v>
      </x:c>
      <x:c r="C1418" s="26" t="n">
        <x:v>66</x:v>
      </x:c>
      <x:c r="D1418" s="26" t="n">
        <x:v>46</x:v>
      </x:c>
      <x:c r="E1418" s="26" t="n">
        <x:v>46</x:v>
      </x:c>
      <x:c r="F1418" s="26" t="str">
        <x:v>Wong</x:v>
      </x:c>
      <x:c r="G1418" s="26" t="n">
        <x:v>2019</x:v>
      </x:c>
      <x:c r="H1418" s="25" t="str">
        <x:v>Refinancing and the transmission of monetary policy to consumption</x:v>
      </x:c>
      <x:c r="I1418" s="25" t="str"/>
      <x:c r="J1418" s="25" t="str"/>
      <x:c r="K1418" s="25" t="str">
        <x:v>prior_manual_sample</x:v>
      </x:c>
      <x:c r="L1418" s="25" t="str">
        <x:v>accepted</x:v>
      </x:c>
      <x:c r="M1418" s="25" t="str">
        <x:v>no</x:v>
      </x:c>
      <x:c r="N1418" s="25" t="str">
        <x:v>saki_research/working_papers/bigio_sannikov_model_credit_money_interest_prices.pdf</x:v>
      </x:c>
      <x:c r="O1418" s="25" t="str">
        <x:v>Wong, Arlene, “Refinancing and the transmission of monetary policy to consumption,” Unpublished manuscript, 2019.</x:v>
      </x:c>
    </x:row>
    <x:row r="1419" ht="48" customHeight="1">
      <x:c r="A1419" s="24" t="str">
        <x:v>W06-R001</x:v>
      </x:c>
      <x:c r="B1419" s="24" t="str">
        <x:v>W06</x:v>
      </x:c>
      <x:c r="C1419" s="26" t="n">
        <x:v>1</x:v>
      </x:c>
      <x:c r="D1419" s="26" t="n">
        <x:v>25</x:v>
      </x:c>
      <x:c r="E1419" s="26" t="n">
        <x:v>25</x:v>
      </x:c>
      <x:c r="F1419" s="26" t="str">
        <x:v>Alvarez</x:v>
      </x:c>
      <x:c r="G1419" s="26" t="n">
        <x:v>2020</x:v>
      </x:c>
      <x:c r="H1419" s="25" t="str">
        <x:v>A simple planning problem for covid-19 lockdown</x:v>
      </x:c>
      <x:c r="I1419" s="25" t="str"/>
      <x:c r="J1419" s="25" t="str"/>
      <x:c r="K1419" s="25" t="str">
        <x:v>automatic_screen_pass</x:v>
      </x:c>
      <x:c r="L1419" s="25" t="str">
        <x:v>accepted</x:v>
      </x:c>
      <x:c r="M1419" s="25" t="str">
        <x:v>no</x:v>
      </x:c>
      <x:c r="N1419" s="25" t="str">
        <x:v>saki_research/working_papers/bigio_zhang_zilberman_transfers_credit_policy_macroeconomic_policy_trade_offs_during_covid_19.pdf</x:v>
      </x:c>
      <x:c r="O1419" s="25" t="str">
        <x:v>Alvarez, Fernando E, David Argente, and Francesco Lippi, “A simple planning problem for covid-19 lockdown,” Technical Report 26981, National Bureau of Economic Research 2020.</x:v>
      </x:c>
    </x:row>
    <x:row r="1420" ht="48" customHeight="1">
      <x:c r="A1420" s="24" t="str">
        <x:v>W06-R002</x:v>
      </x:c>
      <x:c r="B1420" s="24" t="str">
        <x:v>W06</x:v>
      </x:c>
      <x:c r="C1420" s="26" t="n">
        <x:v>2</x:v>
      </x:c>
      <x:c r="D1420" s="26" t="n">
        <x:v>25</x:v>
      </x:c>
      <x:c r="E1420" s="26" t="n">
        <x:v>25</x:v>
      </x:c>
      <x:c r="F1420" s="26" t="str">
        <x:v>Atkeson</x:v>
      </x:c>
      <x:c r="G1420" s="26" t="n">
        <x:v>2020</x:v>
      </x:c>
      <x:c r="H1420" s="25" t="str">
        <x:v>What will be the economic impact of COVID-19 in the US? Rough estimates of disease scenarios</x:v>
      </x:c>
      <x:c r="I1420" s="25" t="str"/>
      <x:c r="J1420" s="25" t="str"/>
      <x:c r="K1420" s="25" t="str">
        <x:v>automatic_screen_pass</x:v>
      </x:c>
      <x:c r="L1420" s="25" t="str">
        <x:v>accepted</x:v>
      </x:c>
      <x:c r="M1420" s="25" t="str">
        <x:v>no</x:v>
      </x:c>
      <x:c r="N1420" s="25" t="str">
        <x:v>saki_research/working_papers/bigio_zhang_zilberman_transfers_credit_policy_macroeconomic_policy_trade_offs_during_covid_19.pdf</x:v>
      </x:c>
      <x:c r="O1420" s="25" t="str">
        <x:v>Atkeson, Andrew, “What will be the economic impact of COVID-19 in the US? Rough estimates of disease scenarios,” Technical Report 26867, National Bureau of Economic Research 2020.</x:v>
      </x:c>
    </x:row>
    <x:row r="1421" ht="48" customHeight="1">
      <x:c r="A1421" s="24" t="str">
        <x:v>W06-R003</x:v>
      </x:c>
      <x:c r="B1421" s="24" t="str">
        <x:v>W06</x:v>
      </x:c>
      <x:c r="C1421" s="26" t="n">
        <x:v>3</x:v>
      </x:c>
      <x:c r="D1421" s="26" t="n">
        <x:v>25</x:v>
      </x:c>
      <x:c r="E1421" s="26" t="n">
        <x:v>25</x:v>
      </x:c>
      <x:c r="F1421" s="26" t="str">
        <x:v>Barro</x:v>
      </x:c>
      <x:c r="G1421" s="26" t="n">
        <x:v>2020</x:v>
      </x:c>
      <x:c r="H1421" s="25" t="str">
        <x:v>The coronavirus and the great influenza pandemic: Lessonsfromthe“spanishflu"forthecoronavirus’spotentialeffectsonmortalityandeconomicactivity</x:v>
      </x:c>
      <x:c r="I1421" s="25" t="str"/>
      <x:c r="J1421" s="25" t="str"/>
      <x:c r="K1421" s="25" t="str">
        <x:v>prior_manual_sample</x:v>
      </x:c>
      <x:c r="L1421" s="25" t="str">
        <x:v>accepted</x:v>
      </x:c>
      <x:c r="M1421" s="25" t="str">
        <x:v>sí</x:v>
      </x:c>
      <x:c r="N1421" s="25" t="str">
        <x:v>saki_research/working_papers/bigio_zhang_zilberman_transfers_credit_policy_macroeconomic_policy_trade_offs_during_covid_19.pdf</x:v>
      </x:c>
      <x:c r="O1421" s="25" t="str">
        <x:v>Barro, Robert J, José F Ursúa, and Joanna Weng, “The coronavirus and the great influenza pandemic: Lessonsfromthe“spanishflu"forthecoronavirus’spotentialeffectsonmortalityandeconomicactivity,” Technical Report 26866, National Bureau of Economic Research 2020.</x:v>
      </x:c>
    </x:row>
    <x:row r="1422" ht="48" customHeight="1">
      <x:c r="A1422" s="24" t="str">
        <x:v>W06-R004</x:v>
      </x:c>
      <x:c r="B1422" s="24" t="str">
        <x:v>W06</x:v>
      </x:c>
      <x:c r="C1422" s="26" t="n">
        <x:v>4</x:v>
      </x:c>
      <x:c r="D1422" s="26" t="n">
        <x:v>25</x:v>
      </x:c>
      <x:c r="E1422" s="26" t="n">
        <x:v>25</x:v>
      </x:c>
      <x:c r="F1422" s="26" t="str">
        <x:v>Berger</x:v>
      </x:c>
      <x:c r="G1422" s="26" t="n">
        <x:v>2020</x:v>
      </x:c>
      <x:c r="H1422" s="25" t="str">
        <x:v>An seir infectious disease model with testing and conditional quarantine</x:v>
      </x:c>
      <x:c r="I1422" s="25" t="str"/>
      <x:c r="J1422" s="25" t="str"/>
      <x:c r="K1422" s="25" t="str">
        <x:v>automatic_screen_pass</x:v>
      </x:c>
      <x:c r="L1422" s="25" t="str">
        <x:v>accepted</x:v>
      </x:c>
      <x:c r="M1422" s="25" t="str">
        <x:v>no</x:v>
      </x:c>
      <x:c r="N1422" s="25" t="str">
        <x:v>saki_research/working_papers/bigio_zhang_zilberman_transfers_credit_policy_macroeconomic_policy_trade_offs_during_covid_19.pdf</x:v>
      </x:c>
      <x:c r="O1422" s="25" t="str">
        <x:v>Berger, David W, Kyle F Herkenhoff, and Simon Mongey, “An seir infectious disease model with testing and conditional quarantine,” Technical Report 26901, National Bureau of Economic Research 2020.</x:v>
      </x:c>
    </x:row>
    <x:row r="1423" ht="48" customHeight="1">
      <x:c r="A1423" s="24" t="str">
        <x:v>W06-R005</x:v>
      </x:c>
      <x:c r="B1423" s="24" t="str">
        <x:v>W06</x:v>
      </x:c>
      <x:c r="C1423" s="26" t="n">
        <x:v>5</x:v>
      </x:c>
      <x:c r="D1423" s="26" t="n">
        <x:v>25</x:v>
      </x:c>
      <x:c r="E1423" s="26" t="n">
        <x:v>25</x:v>
      </x:c>
      <x:c r="F1423" s="26" t="str">
        <x:v>Berriel</x:v>
      </x:c>
      <x:c r="G1423" s="26" t="n">
        <x:v>2011</x:v>
      </x:c>
      <x:c r="H1423" s="25" t="str">
        <x:v>TargetingthePoor: AMacroeconomicAnalysisofCashTransfer Programs</x:v>
      </x:c>
      <x:c r="I1423" s="25" t="str"/>
      <x:c r="J1423" s="25" t="str"/>
      <x:c r="K1423" s="25" t="str">
        <x:v>prior_manual_sample</x:v>
      </x:c>
      <x:c r="L1423" s="25" t="str">
        <x:v>accepted</x:v>
      </x:c>
      <x:c r="M1423" s="25" t="str">
        <x:v>no</x:v>
      </x:c>
      <x:c r="N1423" s="25" t="str">
        <x:v>saki_research/working_papers/bigio_zhang_zilberman_transfers_credit_policy_macroeconomic_policy_trade_offs_during_covid_19.pdf</x:v>
      </x:c>
      <x:c r="O1423" s="25" t="str">
        <x:v>Berriel,TiagoandEduardoZilberman,“TargetingthePoor: AMacroeconomicAnalysisofCashTransfer Programs,” 2011. Draft, PUC-Rio.</x:v>
      </x:c>
    </x:row>
    <x:row r="1424" ht="48" customHeight="1">
      <x:c r="A1424" s="24" t="str">
        <x:v>W06-R006</x:v>
      </x:c>
      <x:c r="B1424" s="24" t="str">
        <x:v>W06</x:v>
      </x:c>
      <x:c r="C1424" s="26" t="n">
        <x:v>6</x:v>
      </x:c>
      <x:c r="D1424" s="26" t="n">
        <x:v>25</x:v>
      </x:c>
      <x:c r="E1424" s="26" t="n">
        <x:v>25</x:v>
      </x:c>
      <x:c r="F1424" s="26" t="str">
        <x:v>Bethune</x:v>
      </x:c>
      <x:c r="G1424" s="26" t="n">
        <x:v>2020</x:v>
      </x:c>
      <x:c r="H1424" s="25" t="str">
        <x:v>Covid-19InfectionExternalities: TradingOffLivesvs.Livelihoods</x:v>
      </x:c>
      <x:c r="I1424" s="25" t="str"/>
      <x:c r="J1424" s="25" t="str"/>
      <x:c r="K1424" s="25" t="str">
        <x:v>automatic_screen_pass</x:v>
      </x:c>
      <x:c r="L1424" s="25" t="str">
        <x:v>accepted</x:v>
      </x:c>
      <x:c r="M1424" s="25" t="str">
        <x:v>no</x:v>
      </x:c>
      <x:c r="N1424" s="25" t="str">
        <x:v>saki_research/working_papers/bigio_zhang_zilberman_transfers_credit_policy_macroeconomic_policy_trade_offs_during_covid_19.pdf</x:v>
      </x:c>
      <x:c r="O1424" s="25" t="str">
        <x:v>Bethune,ZacharyAandAntonKorinek,“Covid-19InfectionExternalities: TradingOffLivesvs.Livelihoods,” Working Paper 27009, National Bureau of Economic Research April 2020.</x:v>
      </x:c>
    </x:row>
    <x:row r="1425" ht="48" customHeight="1">
      <x:c r="A1425" s="24" t="str">
        <x:v>W06-R007</x:v>
      </x:c>
      <x:c r="B1425" s="24" t="str">
        <x:v>W06</x:v>
      </x:c>
      <x:c r="C1425" s="26" t="n">
        <x:v>7</x:v>
      </x:c>
      <x:c r="D1425" s="26" t="n">
        <x:v>25</x:v>
      </x:c>
      <x:c r="E1425" s="26" t="n">
        <x:v>25</x:v>
      </x:c>
      <x:c r="F1425" s="26" t="str">
        <x:v>Bigio</x:v>
      </x:c>
      <x:c r="G1425" s="26" t="n">
        <x:v>2019</x:v>
      </x:c>
      <x:c r="H1425" s="25" t="str">
        <x:v>A Model of Credit, Money, Interest, and Prices</x:v>
      </x:c>
      <x:c r="I1425" s="25" t="str"/>
      <x:c r="J1425" s="25" t="str"/>
      <x:c r="K1425" s="25" t="str">
        <x:v>prior_manual_sample</x:v>
      </x:c>
      <x:c r="L1425" s="25" t="str">
        <x:v>accepted</x:v>
      </x:c>
      <x:c r="M1425" s="25" t="str">
        <x:v>no</x:v>
      </x:c>
      <x:c r="N1425" s="25" t="str">
        <x:v>saki_research/working_papers/bigio_zhang_zilberman_transfers_credit_policy_macroeconomic_policy_trade_offs_during_covid_19.pdf</x:v>
      </x:c>
      <x:c r="O1425" s="25" t="str">
        <x:v>Bigio, Saki and Yuliy Sannikov, “A Model of Credit, Money, Interest, and Prices,” 2019. Draft, UCLA.</x:v>
      </x:c>
    </x:row>
    <x:row r="1426" ht="48" customHeight="1">
      <x:c r="A1426" s="24" t="str">
        <x:v>W06-R008</x:v>
      </x:c>
      <x:c r="B1426" s="24" t="str">
        <x:v>W06</x:v>
      </x:c>
      <x:c r="C1426" s="26" t="n">
        <x:v>8</x:v>
      </x:c>
      <x:c r="D1426" s="26" t="n">
        <x:v>25</x:v>
      </x:c>
      <x:c r="E1426" s="26" t="n">
        <x:v>25</x:v>
      </x:c>
      <x:c r="F1426" s="26" t="str">
        <x:v>Brunnermeier</x:v>
      </x:c>
      <x:c r="G1426" s="26" t="n">
        <x:v>2020</x:v>
      </x:c>
      <x:c r="H1426" s="25" t="str">
        <x:v>ThrowingCOVIDLiquidity Life-Line</x:v>
      </x:c>
      <x:c r="I1426" s="25" t="str"/>
      <x:c r="J1426" s="25" t="str"/>
      <x:c r="K1426" s="25" t="str">
        <x:v>automatic_screen_pass</x:v>
      </x:c>
      <x:c r="L1426" s="25" t="str">
        <x:v>accepted</x:v>
      </x:c>
      <x:c r="M1426" s="25" t="str">
        <x:v>no</x:v>
      </x:c>
      <x:c r="N1426" s="25" t="str">
        <x:v>saki_research/working_papers/bigio_zhang_zilberman_transfers_credit_policy_macroeconomic_policy_trade_offs_during_covid_19.pdf</x:v>
      </x:c>
      <x:c r="O1426" s="25" t="str">
        <x:v>Brunnermeier,Markus,Jean-PierreLandau,MarcoPagano,andRicardoReis,“ThrowingCOVIDLiquidity Life-Line,” 2020.</x:v>
      </x:c>
    </x:row>
    <x:row r="1427" ht="48" customHeight="1">
      <x:c r="A1427" s="24" t="str">
        <x:v>W06-R009</x:v>
      </x:c>
      <x:c r="B1427" s="24" t="str">
        <x:v>W06</x:v>
      </x:c>
      <x:c r="C1427" s="26" t="n">
        <x:v>9</x:v>
      </x:c>
      <x:c r="D1427" s="26" t="n">
        <x:v>25</x:v>
      </x:c>
      <x:c r="E1427" s="26" t="n">
        <x:v>25</x:v>
      </x:c>
      <x:c r="F1427" s="26" t="str">
        <x:v>Buera</x:v>
      </x:c>
      <x:c r="G1427" s="26" t="n">
        <x:v>2020</x:v>
      </x:c>
      <x:c r="H1427" s="25" t="str">
        <x:v>The Economic Ripple Effects of COVID-19</x:v>
      </x:c>
      <x:c r="I1427" s="25" t="str"/>
      <x:c r="J1427" s="25" t="str"/>
      <x:c r="K1427" s="25" t="str">
        <x:v>automatic_screen_pass</x:v>
      </x:c>
      <x:c r="L1427" s="25" t="str">
        <x:v>accepted</x:v>
      </x:c>
      <x:c r="M1427" s="25" t="str">
        <x:v>no</x:v>
      </x:c>
      <x:c r="N1427" s="25" t="str">
        <x:v>saki_research/working_papers/bigio_zhang_zilberman_transfers_credit_policy_macroeconomic_policy_trade_offs_during_covid_19.pdf</x:v>
      </x:c>
      <x:c r="O1427" s="25" t="str">
        <x:v>Buera, Francisco J., Roberto N. Fattal-Jaef, P. André Neumeyer, and Yongseok Shin, “The Economic Ripple Effects of COVID-19,” Draft,WorldBank, 2020.</x:v>
      </x:c>
    </x:row>
    <x:row r="1428" ht="48" customHeight="1">
      <x:c r="A1428" s="24" t="str">
        <x:v>W06-R010</x:v>
      </x:c>
      <x:c r="B1428" s="24" t="str">
        <x:v>W06</x:v>
      </x:c>
      <x:c r="C1428" s="26" t="n">
        <x:v>10</x:v>
      </x:c>
      <x:c r="D1428" s="26" t="n">
        <x:v>25</x:v>
      </x:c>
      <x:c r="E1428" s="26" t="n">
        <x:v>25</x:v>
      </x:c>
      <x:c r="F1428" s="26" t="str">
        <x:v>Caballero</x:v>
      </x:c>
      <x:c r="G1428" s="26" t="n">
        <x:v>2020</x:v>
      </x:c>
      <x:c r="H1428" s="25" t="str">
        <x:v>A Model of Asset Price Spirals and Aggregate Demand Amplification of a “Covid-19" Shock</x:v>
      </x:c>
      <x:c r="I1428" s="25" t="str"/>
      <x:c r="J1428" s="25" t="str"/>
      <x:c r="K1428" s="25" t="str">
        <x:v>exhaustive_visual_multiwork_pattern_accepted</x:v>
      </x:c>
      <x:c r="L1428" s="25" t="str">
        <x:v>accepted</x:v>
      </x:c>
      <x:c r="M1428" s="25" t="str">
        <x:v>sí</x:v>
      </x:c>
      <x:c r="N1428" s="25" t="str">
        <x:v>saki_research/working_papers/bigio_zhang_zilberman_transfers_credit_policy_macroeconomic_policy_trade_offs_during_covid_19.pdf</x:v>
      </x:c>
      <x:c r="O1428" s="25" t="str">
        <x:v>Caballero, Ricardo and Alp Simsek, “A Model of Asset Price Spirals and Aggregate Demand Amplification of a “Covid-19" Shock,” 2020. Draft, MIT.</x:v>
      </x:c>
    </x:row>
    <x:row r="1429" ht="48" customHeight="1">
      <x:c r="A1429" s="24" t="str">
        <x:v>W06-R011</x:v>
      </x:c>
      <x:c r="B1429" s="24" t="str">
        <x:v>W06</x:v>
      </x:c>
      <x:c r="C1429" s="26" t="n">
        <x:v>11</x:v>
      </x:c>
      <x:c r="D1429" s="26" t="n">
        <x:v>25</x:v>
      </x:c>
      <x:c r="E1429" s="26" t="n">
        <x:v>25</x:v>
      </x:c>
      <x:c r="F1429" s="26" t="str">
        <x:v>Correia</x:v>
      </x:c>
      <x:c r="G1429" s="26" t="n">
        <x:v>2020</x:v>
      </x:c>
      <x:c r="H1429" s="25" t="str">
        <x:v>Pandemics Depress the Economy, Public Health Interventions Do Not: Evidence from the 1918 Flu</x:v>
      </x:c>
      <x:c r="I1429" s="25" t="str"/>
      <x:c r="J1429" s="25" t="str"/>
      <x:c r="K1429" s="25" t="str">
        <x:v>automatic_screen_pass</x:v>
      </x:c>
      <x:c r="L1429" s="25" t="str">
        <x:v>accepted</x:v>
      </x:c>
      <x:c r="M1429" s="25" t="str">
        <x:v>no</x:v>
      </x:c>
      <x:c r="N1429" s="25" t="str">
        <x:v>saki_research/working_papers/bigio_zhang_zilberman_transfers_credit_policy_macroeconomic_policy_trade_offs_during_covid_19.pdf</x:v>
      </x:c>
      <x:c r="O1429" s="25" t="str">
        <x:v>Correia, Sergio, Stephan Luck, and Emil Verner, “Pandemics Depress the Economy, Public Health Interventions Do Not: Evidence from the 1918 Flu,” 2020. Draft, MIT.</x:v>
      </x:c>
    </x:row>
    <x:row r="1430" ht="48" customHeight="1">
      <x:c r="A1430" s="24" t="str">
        <x:v>W06-R012</x:v>
      </x:c>
      <x:c r="B1430" s="24" t="str">
        <x:v>W06</x:v>
      </x:c>
      <x:c r="C1430" s="26" t="n">
        <x:v>12</x:v>
      </x:c>
      <x:c r="D1430" s="26" t="n">
        <x:v>25</x:v>
      </x:c>
      <x:c r="E1430" s="26" t="n">
        <x:v>25</x:v>
      </x:c>
      <x:c r="F1430" s="26" t="str">
        <x:v>e Castro</x:v>
      </x:c>
      <x:c r="G1430" s="26" t="n">
        <x:v>2020</x:v>
      </x:c>
      <x:c r="H1430" s="25" t="str">
        <x:v>Fiscal Policy during a Pandemic</x:v>
      </x:c>
      <x:c r="I1430" s="25" t="str">
        <x:v>inherited_author_notation</x:v>
      </x:c>
      <x:c r="J1430" s="25" t="str"/>
      <x:c r="K1430" s="25" t="str">
        <x:v>automatic_screen_pass</x:v>
      </x:c>
      <x:c r="L1430" s="25" t="str">
        <x:v>accepted</x:v>
      </x:c>
      <x:c r="M1430" s="25" t="str">
        <x:v>no</x:v>
      </x:c>
      <x:c r="N1430" s="25" t="str">
        <x:v>saki_research/working_papers/bigio_zhang_zilberman_transfers_credit_policy_macroeconomic_policy_trade_offs_during_covid_19.pdf</x:v>
      </x:c>
      <x:c r="O1430" s="25" t="str">
        <x:v>e Castro, Miguel Faria, “Fiscal Policy during a Pandemic,” 2020. Draft, FRB St. Louis.</x:v>
      </x:c>
    </x:row>
    <x:row r="1431" ht="48" customHeight="1">
      <x:c r="A1431" s="24" t="str">
        <x:v>W06-R013</x:v>
      </x:c>
      <x:c r="B1431" s="24" t="str">
        <x:v>W06</x:v>
      </x:c>
      <x:c r="C1431" s="26" t="n">
        <x:v>13</x:v>
      </x:c>
      <x:c r="D1431" s="26" t="n">
        <x:v>25</x:v>
      </x:c>
      <x:c r="E1431" s="26" t="n">
        <x:v>25</x:v>
      </x:c>
      <x:c r="F1431" s="26" t="str">
        <x:v>Eichenbaum</x:v>
      </x:c>
      <x:c r="G1431" s="26" t="n">
        <x:v>2020</x:v>
      </x:c>
      <x:c r="H1431" s="25" t="str">
        <x:v>The macroeconomics of epidemics</x:v>
      </x:c>
      <x:c r="I1431" s="25" t="str"/>
      <x:c r="J1431" s="25" t="str"/>
      <x:c r="K1431" s="25" t="str">
        <x:v>automatic_screen_pass</x:v>
      </x:c>
      <x:c r="L1431" s="25" t="str">
        <x:v>accepted</x:v>
      </x:c>
      <x:c r="M1431" s="25" t="str">
        <x:v>no</x:v>
      </x:c>
      <x:c r="N1431" s="25" t="str">
        <x:v>saki_research/working_papers/bigio_zhang_zilberman_transfers_credit_policy_macroeconomic_policy_trade_offs_during_covid_19.pdf</x:v>
      </x:c>
      <x:c r="O1431" s="25" t="str">
        <x:v>Eichenbaum, Martin S, Sergio Rebelo, and Mathias Trabandt, “The macroeconomics of epidemics,” Technical Report 26882, National Bureau of Economic Research 2020.</x:v>
      </x:c>
    </x:row>
    <x:row r="1432" ht="48" customHeight="1">
      <x:c r="A1432" s="24" t="str">
        <x:v>W06-R014</x:v>
      </x:c>
      <x:c r="B1432" s="24" t="str">
        <x:v>W06</x:v>
      </x:c>
      <x:c r="C1432" s="26" t="n">
        <x:v>14</x:v>
      </x:c>
      <x:c r="D1432" s="26" t="n">
        <x:v>25</x:v>
      </x:c>
      <x:c r="E1432" s="26" t="n">
        <x:v>25</x:v>
      </x:c>
      <x:c r="F1432" s="26" t="str">
        <x:v>Gourinchas</x:v>
      </x:c>
      <x:c r="G1432" s="26" t="n">
        <x:v>2020</x:v>
      </x:c>
      <x:c r="H1432" s="25" t="str">
        <x:v>Flattening the Pandemic and Recession Curves</x:v>
      </x:c>
      <x:c r="I1432" s="25" t="str"/>
      <x:c r="J1432" s="25" t="str"/>
      <x:c r="K1432" s="25" t="str">
        <x:v>automatic_screen_pass</x:v>
      </x:c>
      <x:c r="L1432" s="25" t="str">
        <x:v>accepted</x:v>
      </x:c>
      <x:c r="M1432" s="25" t="str">
        <x:v>no</x:v>
      </x:c>
      <x:c r="N1432" s="25" t="str">
        <x:v>saki_research/working_papers/bigio_zhang_zilberman_transfers_credit_policy_macroeconomic_policy_trade_offs_during_covid_19.pdf</x:v>
      </x:c>
      <x:c r="O1432" s="25" t="str">
        <x:v>Gourinchas, Pierre-Olivier, “Flattening the Pandemic and Recession Curves,” 2020.</x:v>
      </x:c>
    </x:row>
    <x:row r="1433" ht="48" customHeight="1">
      <x:c r="A1433" s="24" t="str">
        <x:v>W06-R015</x:v>
      </x:c>
      <x:c r="B1433" s="24" t="str">
        <x:v>W06</x:v>
      </x:c>
      <x:c r="C1433" s="26" t="n">
        <x:v>15</x:v>
      </x:c>
      <x:c r="D1433" s="26" t="n">
        <x:v>25</x:v>
      </x:c>
      <x:c r="E1433" s="26" t="n">
        <x:v>25</x:v>
      </x:c>
      <x:c r="F1433" s="26" t="str">
        <x:v>Guerrieri</x:v>
      </x:c>
      <x:c r="G1433" s="26" t="n">
        <x:v>2020</x:v>
      </x:c>
      <x:c r="H1433" s="25" t="str">
        <x:v>Macroeconomic Implications of COVID-19: Can Negative Supply Shocks Cause Demand Shortages?</x:v>
      </x:c>
      <x:c r="I1433" s="25" t="str"/>
      <x:c r="J1433" s="25" t="str"/>
      <x:c r="K1433" s="25" t="str">
        <x:v>automatic_screen_pass</x:v>
      </x:c>
      <x:c r="L1433" s="25" t="str">
        <x:v>accepted</x:v>
      </x:c>
      <x:c r="M1433" s="25" t="str">
        <x:v>no</x:v>
      </x:c>
      <x:c r="N1433" s="25" t="str">
        <x:v>saki_research/working_papers/bigio_zhang_zilberman_transfers_credit_policy_macroeconomic_policy_trade_offs_during_covid_19.pdf</x:v>
      </x:c>
      <x:c r="O1433" s="25" t="str">
        <x:v>Guerrieri, Veronica, Guido Lorenzoni, Ludwig Straub, and Iván Werning, “Macroeconomic Implications of COVID-19: Can Negative Supply Shocks Cause Demand Shortages?,” Technical Report, National Bureau of Economic Research 2020.</x:v>
      </x:c>
    </x:row>
    <x:row r="1434" ht="48" customHeight="1">
      <x:c r="A1434" s="24" t="str">
        <x:v>W06-R016</x:v>
      </x:c>
      <x:c r="B1434" s="24" t="str">
        <x:v>W06</x:v>
      </x:c>
      <x:c r="C1434" s="26" t="n">
        <x:v>16</x:v>
      </x:c>
      <x:c r="D1434" s="26" t="n">
        <x:v>26</x:v>
      </x:c>
      <x:c r="E1434" s="26" t="n">
        <x:v>26</x:v>
      </x:c>
      <x:c r="F1434" s="26" t="str">
        <x:v>Jones</x:v>
      </x:c>
      <x:c r="G1434" s="26" t="n">
        <x:v>2020</x:v>
      </x:c>
      <x:c r="H1434" s="25" t="str">
        <x:v>Optimal Mitigation Policies in a Pandemic: Social Distancing and Working from Home</x:v>
      </x:c>
      <x:c r="I1434" s="25" t="str"/>
      <x:c r="J1434" s="25" t="str"/>
      <x:c r="K1434" s="25" t="str">
        <x:v>automatic_screen_pass</x:v>
      </x:c>
      <x:c r="L1434" s="25" t="str">
        <x:v>accepted</x:v>
      </x:c>
      <x:c r="M1434" s="25" t="str">
        <x:v>no</x:v>
      </x:c>
      <x:c r="N1434" s="25" t="str">
        <x:v>saki_research/working_papers/bigio_zhang_zilberman_transfers_credit_policy_macroeconomic_policy_trade_offs_during_covid_19.pdf</x:v>
      </x:c>
      <x:c r="O1434" s="25" t="str">
        <x:v>Jones, Callum J, Thomas Philippon, and Venky Venkateswaran, “Optimal Mitigation Policies in a Pandemic: Social Distancing and Working from Home,” Working Paper 26984, National Bureau of Economic Research April 2020.</x:v>
      </x:c>
    </x:row>
    <x:row r="1435" ht="48" customHeight="1">
      <x:c r="A1435" s="24" t="str">
        <x:v>W06-R017</x:v>
      </x:c>
      <x:c r="B1435" s="24" t="str">
        <x:v>W06</x:v>
      </x:c>
      <x:c r="C1435" s="26" t="n">
        <x:v>17</x:v>
      </x:c>
      <x:c r="D1435" s="26" t="n">
        <x:v>26</x:v>
      </x:c>
      <x:c r="E1435" s="26" t="n">
        <x:v>26</x:v>
      </x:c>
      <x:c r="F1435" s="26" t="str">
        <x:v>Kaplan</x:v>
      </x:c>
      <x:c r="G1435" s="26" t="n">
        <x:v>2020</x:v>
      </x:c>
      <x:c r="H1435" s="25" t="str">
        <x:v>Pandemics according to hank</x:v>
      </x:c>
      <x:c r="I1435" s="25" t="str"/>
      <x:c r="J1435" s="25" t="str"/>
      <x:c r="K1435" s="25" t="str">
        <x:v>automatic_screen_pass</x:v>
      </x:c>
      <x:c r="L1435" s="25" t="str">
        <x:v>accepted</x:v>
      </x:c>
      <x:c r="M1435" s="25" t="str">
        <x:v>no</x:v>
      </x:c>
      <x:c r="N1435" s="25" t="str">
        <x:v>saki_research/working_papers/bigio_zhang_zilberman_transfers_credit_policy_macroeconomic_policy_trade_offs_during_covid_19.pdf</x:v>
      </x:c>
      <x:c r="O1435" s="25" t="str">
        <x:v>Kaplan, Greg, Benjamin Moll, and Gianluca Violante, “Pandemics according to hank,” 2020. Draft, University of Chicago.</x:v>
      </x:c>
    </x:row>
    <x:row r="1436" ht="48" customHeight="1">
      <x:c r="A1436" s="24" t="str">
        <x:v>W06-R018</x:v>
      </x:c>
      <x:c r="B1436" s="24" t="str">
        <x:v>W06</x:v>
      </x:c>
      <x:c r="C1436" s="26" t="n">
        <x:v>18</x:v>
      </x:c>
      <x:c r="D1436" s="26" t="n">
        <x:v>26</x:v>
      </x:c>
      <x:c r="E1436" s="26" t="n">
        <x:v>26</x:v>
      </x:c>
      <x:c r="F1436" s="26" t="str">
        <x:v>Krüger</x:v>
      </x:c>
      <x:c r="G1436" s="26" t="n">
        <x:v>2020</x:v>
      </x:c>
      <x:c r="H1436" s="25" t="str">
        <x:v>Macroeconomic Dynamics and Reallocation in an Epidemic</x:v>
      </x:c>
      <x:c r="I1436" s="25" t="str"/>
      <x:c r="J1436" s="25" t="str"/>
      <x:c r="K1436" s="25" t="str">
        <x:v>automatic_screen_pass</x:v>
      </x:c>
      <x:c r="L1436" s="25" t="str">
        <x:v>accepted</x:v>
      </x:c>
      <x:c r="M1436" s="25" t="str">
        <x:v>no</x:v>
      </x:c>
      <x:c r="N1436" s="25" t="str">
        <x:v>saki_research/working_papers/bigio_zhang_zilberman_transfers_credit_policy_macroeconomic_policy_trade_offs_during_covid_19.pdf</x:v>
      </x:c>
      <x:c r="O1436" s="25" t="str">
        <x:v>Krüger, Dirk, Harald Uhlig, and Taojun Xie, “Macroeconomic Dynamics and Reallocation in an Epidemic,” 2020. Draft, University of Chicago.</x:v>
      </x:c>
    </x:row>
    <x:row r="1437" ht="48" customHeight="1">
      <x:c r="A1437" s="24" t="str">
        <x:v>W06-R019</x:v>
      </x:c>
      <x:c r="B1437" s="24" t="str">
        <x:v>W06</x:v>
      </x:c>
      <x:c r="C1437" s="26" t="n">
        <x:v>19</x:v>
      </x:c>
      <x:c r="D1437" s="26" t="n">
        <x:v>26</x:v>
      </x:c>
      <x:c r="E1437" s="26" t="n">
        <x:v>26</x:v>
      </x:c>
      <x:c r="F1437" s="26" t="str">
        <x:v>Ljungqvist</x:v>
      </x:c>
      <x:c r="G1437" s="26" t="n">
        <x:v>2012</x:v>
      </x:c>
      <x:c r="H1437" s="25" t="str">
        <x:v>Recursive Macroeconomic Theory</x:v>
      </x:c>
      <x:c r="I1437" s="25" t="str"/>
      <x:c r="J1437" s="25" t="str">
        <x:v>local_citation_grammar_v3; exhaustive_title_boundary_audit_2026-09-17</x:v>
      </x:c>
      <x:c r="K1437" s="25" t="str">
        <x:v>exhaustive_visual_correction</x:v>
      </x:c>
      <x:c r="L1437" s="25" t="str">
        <x:v>corrected</x:v>
      </x:c>
      <x:c r="M1437" s="25" t="str">
        <x:v>no</x:v>
      </x:c>
      <x:c r="N1437" s="25" t="str">
        <x:v>saki_research/working_papers/bigio_zhang_zilberman_transfers_credit_policy_macroeconomic_policy_trade_offs_during_covid_19.pdf</x:v>
      </x:c>
      <x:c r="O1437" s="25" t="str">
        <x:v>Ljungqvist, Lars and Thomas J. Sargent, Recursive Macroeconomic Theory, 3rd edition ed., Boston: MIT Press, 2012.</x:v>
      </x:c>
    </x:row>
    <x:row r="1438" ht="48" customHeight="1">
      <x:c r="A1438" s="24" t="str">
        <x:v>W06-R020</x:v>
      </x:c>
      <x:c r="B1438" s="24" t="str">
        <x:v>W06</x:v>
      </x:c>
      <x:c r="C1438" s="26" t="n">
        <x:v>20</x:v>
      </x:c>
      <x:c r="D1438" s="26" t="n">
        <x:v>26</x:v>
      </x:c>
      <x:c r="E1438" s="26" t="n">
        <x:v>26</x:v>
      </x:c>
      <x:c r="F1438" s="26" t="str">
        <x:v>Jordà</x:v>
      </x:c>
      <x:c r="G1438" s="26" t="n">
        <x:v>2020</x:v>
      </x:c>
      <x:c r="H1438" s="25" t="str">
        <x:v>Longer-run economic consequences of pandemics</x:v>
      </x:c>
      <x:c r="I1438" s="25" t="str"/>
      <x:c r="J1438" s="25" t="str"/>
      <x:c r="K1438" s="25" t="str">
        <x:v>prior_manual_sample</x:v>
      </x:c>
      <x:c r="L1438" s="25" t="str">
        <x:v>accepted</x:v>
      </x:c>
      <x:c r="M1438" s="25" t="str">
        <x:v>no</x:v>
      </x:c>
      <x:c r="N1438" s="25" t="str">
        <x:v>saki_research/working_papers/bigio_zhang_zilberman_transfers_credit_policy_macroeconomic_policy_trade_offs_during_covid_19.pdf</x:v>
      </x:c>
      <x:c r="O1438" s="25" t="str">
        <x:v>Òscar Jordà, Sanjay R Singh, and Alan M Taylor, “Longer-run economic consequences of pandemics,” Technical Report 2020.</x:v>
      </x:c>
    </x:row>
    <x:row r="1439" ht="48" customHeight="1">
      <x:c r="A1439" s="24" t="str">
        <x:v>W06-R021</x:v>
      </x:c>
      <x:c r="B1439" s="24" t="str">
        <x:v>W06</x:v>
      </x:c>
      <x:c r="C1439" s="26" t="n">
        <x:v>21</x:v>
      </x:c>
      <x:c r="D1439" s="26" t="n">
        <x:v>26</x:v>
      </x:c>
      <x:c r="E1439" s="26" t="n">
        <x:v>26</x:v>
      </x:c>
      <x:c r="F1439" s="26" t="str">
        <x:v>Werning</x:v>
      </x:c>
      <x:c r="G1439" s="26" t="n">
        <x:v>2015</x:v>
      </x:c>
      <x:c r="H1439" s="25" t="str">
        <x:v>Incomplete Markets and Aggregate Demand</x:v>
      </x:c>
      <x:c r="I1439" s="25" t="str"/>
      <x:c r="J1439" s="25" t="str"/>
      <x:c r="K1439" s="25" t="str">
        <x:v>prior_manual_sample</x:v>
      </x:c>
      <x:c r="L1439" s="25" t="str">
        <x:v>accepted</x:v>
      </x:c>
      <x:c r="M1439" s="25" t="str">
        <x:v>no</x:v>
      </x:c>
      <x:c r="N1439" s="25" t="str">
        <x:v>saki_research/working_papers/bigio_zhang_zilberman_transfers_credit_policy_macroeconomic_policy_trade_offs_during_covid_19.pdf</x:v>
      </x:c>
      <x:c r="O1439" s="25" t="str">
        <x:v>Werning, Ivan, “Incomplete Markets and Aggregate Demand,” October 2015. Draft, MIT.</x:v>
      </x:c>
    </x:row>
  </x:sheetData>
  <x:conditionalFormatting sqref="I5:I1439">
    <x:cfRule type="containsText" dxfId="22" priority="1" operator="containsText" text="missing_year"/>
  </x:conditionalFormatting>
  <x:conditionalFormatting sqref="L5:L1439">
    <x:cfRule type="containsText" dxfId="23" priority="2" operator="containsText" text="corrected"/>
  </x:conditionalFormatting>
  <x:pageMargins left="0.7" right="0.7" top="0.75" bottom="0.75" header="0.3" footer="0.3"/>
</x:worksheet>
</file>